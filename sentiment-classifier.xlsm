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milyxie/Downloads/LABS/Assignment 2/"/>
    </mc:Choice>
  </mc:AlternateContent>
  <xr:revisionPtr revIDLastSave="0" documentId="8_{16799B63-33D1-E44C-A483-2123D6247BE1}" xr6:coauthVersionLast="47" xr6:coauthVersionMax="47" xr10:uidLastSave="{00000000-0000-0000-0000-000000000000}"/>
  <bookViews>
    <workbookView xWindow="13760" yWindow="60" windowWidth="14660" windowHeight="17440" activeTab="2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8" i="4" l="1"/>
  <c r="C27" i="4"/>
  <c r="C26" i="4"/>
  <c r="C25" i="4"/>
  <c r="C24" i="4"/>
  <c r="C23" i="4"/>
  <c r="C22" i="4"/>
  <c r="C21" i="4"/>
  <c r="C20" i="4"/>
  <c r="C19" i="4"/>
  <c r="C18" i="4"/>
  <c r="C17" i="4"/>
  <c r="H17" i="4"/>
  <c r="H26" i="4"/>
  <c r="H18" i="4"/>
  <c r="H19" i="4"/>
  <c r="H20" i="4"/>
  <c r="H21" i="4"/>
  <c r="H22" i="4"/>
  <c r="H23" i="4"/>
  <c r="H24" i="4"/>
  <c r="H25" i="4"/>
  <c r="G11" i="4"/>
  <c r="G12" i="4"/>
  <c r="G10" i="4"/>
  <c r="G9" i="4"/>
  <c r="C12" i="4"/>
  <c r="C11" i="4" a="1"/>
  <c r="C11" i="4" s="1"/>
  <c r="C10" i="4"/>
  <c r="C9" i="4"/>
  <c r="C6" i="4"/>
  <c r="C5" i="4"/>
  <c r="C4" i="4"/>
  <c r="C3" i="4"/>
  <c r="K3" i="2" a="1"/>
  <c r="K7" i="2" a="1"/>
  <c r="K11" i="2" a="1"/>
  <c r="K15" i="2" a="1"/>
  <c r="K4" i="2" a="1"/>
  <c r="K8" i="2" a="1"/>
  <c r="K12" i="2" a="1"/>
  <c r="K16" i="2" a="1"/>
  <c r="K20" i="2" a="1"/>
  <c r="K24" i="2" a="1"/>
  <c r="K28" i="2" a="1"/>
  <c r="K32" i="2" a="1"/>
  <c r="K36" i="2" a="1"/>
  <c r="K40" i="2" a="1"/>
  <c r="K44" i="2" a="1"/>
  <c r="K48" i="2" a="1"/>
  <c r="K52" i="2" a="1"/>
  <c r="K56" i="2" a="1"/>
  <c r="K60" i="2" a="1"/>
  <c r="K64" i="2" a="1"/>
  <c r="K68" i="2" a="1"/>
  <c r="K72" i="2" a="1"/>
  <c r="K76" i="2" a="1"/>
  <c r="K80" i="2" a="1"/>
  <c r="K84" i="2" a="1"/>
  <c r="K88" i="2" a="1"/>
  <c r="K92" i="2" a="1"/>
  <c r="K96" i="2" a="1"/>
  <c r="K100" i="2" a="1"/>
  <c r="K104" i="2" a="1"/>
  <c r="K108" i="2" a="1"/>
  <c r="K112" i="2" a="1"/>
  <c r="K116" i="2" a="1"/>
  <c r="K120" i="2" a="1"/>
  <c r="K124" i="2" a="1"/>
  <c r="K128" i="2" a="1"/>
  <c r="K132" i="2" a="1"/>
  <c r="K136" i="2" a="1"/>
  <c r="K140" i="2" a="1"/>
  <c r="K144" i="2" a="1"/>
  <c r="K148" i="2" a="1"/>
  <c r="K152" i="2" a="1"/>
  <c r="K156" i="2" a="1"/>
  <c r="K160" i="2" a="1"/>
  <c r="K164" i="2" a="1"/>
  <c r="K168" i="2" a="1"/>
  <c r="K172" i="2" a="1"/>
  <c r="K176" i="2" a="1"/>
  <c r="K180" i="2" a="1"/>
  <c r="K184" i="2" a="1"/>
  <c r="K188" i="2" a="1"/>
  <c r="K5" i="2" a="1"/>
  <c r="K9" i="2" a="1"/>
  <c r="K13" i="2" a="1"/>
  <c r="K17" i="2" a="1"/>
  <c r="K6" i="2" a="1"/>
  <c r="K19" i="2" a="1"/>
  <c r="K27" i="2" a="1"/>
  <c r="K35" i="2" a="1"/>
  <c r="K43" i="2" a="1"/>
  <c r="K51" i="2" a="1"/>
  <c r="K59" i="2" a="1"/>
  <c r="K67" i="2" a="1"/>
  <c r="K75" i="2" a="1"/>
  <c r="K83" i="2" a="1"/>
  <c r="K91" i="2" a="1"/>
  <c r="K99" i="2" a="1"/>
  <c r="K105" i="2" a="1"/>
  <c r="K110" i="2" a="1"/>
  <c r="K115" i="2" a="1"/>
  <c r="K121" i="2" a="1"/>
  <c r="K126" i="2" a="1"/>
  <c r="K131" i="2" a="1"/>
  <c r="K137" i="2" a="1"/>
  <c r="K142" i="2" a="1"/>
  <c r="K147" i="2" a="1"/>
  <c r="K153" i="2" a="1"/>
  <c r="K158" i="2" a="1"/>
  <c r="K163" i="2" a="1"/>
  <c r="K169" i="2" a="1"/>
  <c r="K174" i="2" a="1"/>
  <c r="K179" i="2" a="1"/>
  <c r="K185" i="2" a="1"/>
  <c r="K190" i="2" a="1"/>
  <c r="K199" i="2" a="1"/>
  <c r="K204" i="2" a="1"/>
  <c r="K213" i="2" a="1"/>
  <c r="K222" i="2" a="1"/>
  <c r="K231" i="2" a="1"/>
  <c r="K236" i="2" a="1"/>
  <c r="K245" i="2" a="1"/>
  <c r="K254" i="2" a="1"/>
  <c r="K263" i="2" a="1"/>
  <c r="K268" i="2" a="1"/>
  <c r="K277" i="2" a="1"/>
  <c r="K286" i="2" a="1"/>
  <c r="K295" i="2" a="1"/>
  <c r="K300" i="2" a="1"/>
  <c r="K309" i="2" a="1"/>
  <c r="K318" i="2" a="1"/>
  <c r="K327" i="2" a="1"/>
  <c r="K332" i="2" a="1"/>
  <c r="K341" i="2" a="1"/>
  <c r="K21" i="2" a="1"/>
  <c r="K29" i="2" a="1"/>
  <c r="K37" i="2" a="1"/>
  <c r="K45" i="2" a="1"/>
  <c r="K53" i="2" a="1"/>
  <c r="K61" i="2" a="1"/>
  <c r="K69" i="2" a="1"/>
  <c r="K77" i="2" a="1"/>
  <c r="K85" i="2" a="1"/>
  <c r="K93" i="2" a="1"/>
  <c r="K195" i="2" a="1"/>
  <c r="K200" i="2" a="1"/>
  <c r="K209" i="2" a="1"/>
  <c r="K218" i="2" a="1"/>
  <c r="K227" i="2" a="1"/>
  <c r="K232" i="2" a="1"/>
  <c r="K241" i="2" a="1"/>
  <c r="K250" i="2" a="1"/>
  <c r="K259" i="2" a="1"/>
  <c r="K264" i="2" a="1"/>
  <c r="K273" i="2" a="1"/>
  <c r="K282" i="2" a="1"/>
  <c r="K291" i="2" a="1"/>
  <c r="K296" i="2" a="1"/>
  <c r="K305" i="2" a="1"/>
  <c r="K314" i="2" a="1"/>
  <c r="K323" i="2" a="1"/>
  <c r="K328" i="2" a="1"/>
  <c r="K337" i="2" a="1"/>
  <c r="K10" i="2" a="1"/>
  <c r="K22" i="2" a="1"/>
  <c r="K30" i="2" a="1"/>
  <c r="K38" i="2" a="1"/>
  <c r="K46" i="2" a="1"/>
  <c r="K54" i="2" a="1"/>
  <c r="K62" i="2" a="1"/>
  <c r="K70" i="2" a="1"/>
  <c r="K78" i="2" a="1"/>
  <c r="K86" i="2" a="1"/>
  <c r="K94" i="2" a="1"/>
  <c r="K101" i="2" a="1"/>
  <c r="K106" i="2" a="1"/>
  <c r="K111" i="2" a="1"/>
  <c r="K117" i="2" a="1"/>
  <c r="K122" i="2" a="1"/>
  <c r="K127" i="2" a="1"/>
  <c r="K133" i="2" a="1"/>
  <c r="K138" i="2" a="1"/>
  <c r="K143" i="2" a="1"/>
  <c r="K149" i="2" a="1"/>
  <c r="K154" i="2" a="1"/>
  <c r="K159" i="2" a="1"/>
  <c r="K165" i="2" a="1"/>
  <c r="K170" i="2" a="1"/>
  <c r="K175" i="2" a="1"/>
  <c r="K181" i="2" a="1"/>
  <c r="K186" i="2" a="1"/>
  <c r="K191" i="2" a="1"/>
  <c r="K196" i="2" a="1"/>
  <c r="K205" i="2" a="1"/>
  <c r="K214" i="2" a="1"/>
  <c r="K223" i="2" a="1"/>
  <c r="K228" i="2" a="1"/>
  <c r="K237" i="2" a="1"/>
  <c r="K246" i="2" a="1"/>
  <c r="K255" i="2" a="1"/>
  <c r="K260" i="2" a="1"/>
  <c r="K269" i="2" a="1"/>
  <c r="K278" i="2" a="1"/>
  <c r="K287" i="2" a="1"/>
  <c r="K292" i="2" a="1"/>
  <c r="K301" i="2" a="1"/>
  <c r="K310" i="2" a="1"/>
  <c r="K319" i="2" a="1"/>
  <c r="K324" i="2" a="1"/>
  <c r="K333" i="2" a="1"/>
  <c r="K342" i="2" a="1"/>
  <c r="K346" i="2" a="1"/>
  <c r="K350" i="2" a="1"/>
  <c r="K354" i="2" a="1"/>
  <c r="K358" i="2" a="1"/>
  <c r="K362" i="2" a="1"/>
  <c r="K366" i="2" a="1"/>
  <c r="K370" i="2" a="1"/>
  <c r="K374" i="2" a="1"/>
  <c r="K378" i="2" a="1"/>
  <c r="K382" i="2" a="1"/>
  <c r="K386" i="2" a="1"/>
  <c r="K390" i="2" a="1"/>
  <c r="K394" i="2" a="1"/>
  <c r="K398" i="2" a="1"/>
  <c r="K402" i="2" a="1"/>
  <c r="K406" i="2" a="1"/>
  <c r="K410" i="2" a="1"/>
  <c r="K414" i="2" a="1"/>
  <c r="K418" i="2" a="1"/>
  <c r="K422" i="2" a="1"/>
  <c r="K426" i="2" a="1"/>
  <c r="K430" i="2" a="1"/>
  <c r="K434" i="2" a="1"/>
  <c r="K438" i="2" a="1"/>
  <c r="K442" i="2" a="1"/>
  <c r="K446" i="2" a="1"/>
  <c r="K450" i="2" a="1"/>
  <c r="K454" i="2" a="1"/>
  <c r="K458" i="2" a="1"/>
  <c r="K462" i="2" a="1"/>
  <c r="K466" i="2" a="1"/>
  <c r="K470" i="2" a="1"/>
  <c r="K474" i="2" a="1"/>
  <c r="K478" i="2" a="1"/>
  <c r="K482" i="2" a="1"/>
  <c r="K486" i="2" a="1"/>
  <c r="K490" i="2" a="1"/>
  <c r="K494" i="2" a="1"/>
  <c r="K498" i="2" a="1"/>
  <c r="K502" i="2" a="1"/>
  <c r="K506" i="2" a="1"/>
  <c r="K510" i="2" a="1"/>
  <c r="K514" i="2" a="1"/>
  <c r="K518" i="2" a="1"/>
  <c r="K522" i="2" a="1"/>
  <c r="K526" i="2" a="1"/>
  <c r="K530" i="2" a="1"/>
  <c r="K534" i="2" a="1"/>
  <c r="K538" i="2" a="1"/>
  <c r="K542" i="2" a="1"/>
  <c r="K546" i="2" a="1"/>
  <c r="K550" i="2" a="1"/>
  <c r="K554" i="2" a="1"/>
  <c r="K558" i="2" a="1"/>
  <c r="K562" i="2" a="1"/>
  <c r="K192" i="2" a="1"/>
  <c r="K201" i="2" a="1"/>
  <c r="K210" i="2" a="1"/>
  <c r="K219" i="2" a="1"/>
  <c r="K224" i="2" a="1"/>
  <c r="K233" i="2" a="1"/>
  <c r="K242" i="2" a="1"/>
  <c r="K251" i="2" a="1"/>
  <c r="K256" i="2" a="1"/>
  <c r="K265" i="2" a="1"/>
  <c r="K274" i="2" a="1"/>
  <c r="K283" i="2" a="1"/>
  <c r="K288" i="2" a="1"/>
  <c r="K297" i="2" a="1"/>
  <c r="K306" i="2" a="1"/>
  <c r="K315" i="2" a="1"/>
  <c r="K320" i="2" a="1"/>
  <c r="K329" i="2" a="1"/>
  <c r="K338" i="2" a="1"/>
  <c r="K14" i="2" a="1"/>
  <c r="K23" i="2" a="1"/>
  <c r="K31" i="2" a="1"/>
  <c r="K39" i="2" a="1"/>
  <c r="K47" i="2" a="1"/>
  <c r="K55" i="2" a="1"/>
  <c r="K63" i="2" a="1"/>
  <c r="K71" i="2" a="1"/>
  <c r="K79" i="2" a="1"/>
  <c r="K87" i="2" a="1"/>
  <c r="K95" i="2" a="1"/>
  <c r="K102" i="2" a="1"/>
  <c r="K107" i="2" a="1"/>
  <c r="K113" i="2" a="1"/>
  <c r="K118" i="2" a="1"/>
  <c r="K123" i="2" a="1"/>
  <c r="K129" i="2" a="1"/>
  <c r="K134" i="2" a="1"/>
  <c r="K139" i="2" a="1"/>
  <c r="K145" i="2" a="1"/>
  <c r="K150" i="2" a="1"/>
  <c r="K155" i="2" a="1"/>
  <c r="K161" i="2" a="1"/>
  <c r="K166" i="2" a="1"/>
  <c r="K171" i="2" a="1"/>
  <c r="K177" i="2" a="1"/>
  <c r="K25" i="2" a="1"/>
  <c r="K33" i="2" a="1"/>
  <c r="K41" i="2" a="1"/>
  <c r="K49" i="2" a="1"/>
  <c r="K57" i="2" a="1"/>
  <c r="K65" i="2" a="1"/>
  <c r="K73" i="2" a="1"/>
  <c r="K81" i="2" a="1"/>
  <c r="K89" i="2" a="1"/>
  <c r="K97" i="2" a="1"/>
  <c r="K193" i="2" a="1"/>
  <c r="K202" i="2" a="1"/>
  <c r="K211" i="2" a="1"/>
  <c r="K216" i="2" a="1"/>
  <c r="K225" i="2" a="1"/>
  <c r="K18" i="2" a="1"/>
  <c r="K26" i="2" a="1"/>
  <c r="K34" i="2" a="1"/>
  <c r="K42" i="2" a="1"/>
  <c r="K50" i="2" a="1"/>
  <c r="K58" i="2" a="1"/>
  <c r="K66" i="2" a="1"/>
  <c r="K74" i="2" a="1"/>
  <c r="K82" i="2" a="1"/>
  <c r="K90" i="2" a="1"/>
  <c r="K98" i="2" a="1"/>
  <c r="K103" i="2" a="1"/>
  <c r="K109" i="2" a="1"/>
  <c r="K114" i="2" a="1"/>
  <c r="K119" i="2" a="1"/>
  <c r="K125" i="2" a="1"/>
  <c r="K130" i="2" a="1"/>
  <c r="K135" i="2" a="1"/>
  <c r="K141" i="2" a="1"/>
  <c r="K146" i="2" a="1"/>
  <c r="K151" i="2" a="1"/>
  <c r="K157" i="2" a="1"/>
  <c r="K162" i="2" a="1"/>
  <c r="K167" i="2" a="1"/>
  <c r="K173" i="2" a="1"/>
  <c r="K194" i="2" a="1"/>
  <c r="K203" i="2" a="1"/>
  <c r="K208" i="2" a="1"/>
  <c r="K217" i="2" a="1"/>
  <c r="K226" i="2" a="1"/>
  <c r="K235" i="2" a="1"/>
  <c r="K240" i="2" a="1"/>
  <c r="K249" i="2" a="1"/>
  <c r="K258" i="2" a="1"/>
  <c r="K267" i="2" a="1"/>
  <c r="K272" i="2" a="1"/>
  <c r="K281" i="2" a="1"/>
  <c r="K178" i="2" a="1"/>
  <c r="K198" i="2" a="1"/>
  <c r="K234" i="2" a="1"/>
  <c r="K247" i="2" a="1"/>
  <c r="K284" i="2" a="1"/>
  <c r="K293" i="2" a="1"/>
  <c r="K302" i="2" a="1"/>
  <c r="K311" i="2" a="1"/>
  <c r="K345" i="2" a="1"/>
  <c r="K352" i="2" a="1"/>
  <c r="K359" i="2" a="1"/>
  <c r="K377" i="2" a="1"/>
  <c r="K384" i="2" a="1"/>
  <c r="K391" i="2" a="1"/>
  <c r="K409" i="2" a="1"/>
  <c r="K416" i="2" a="1"/>
  <c r="K423" i="2" a="1"/>
  <c r="K441" i="2" a="1"/>
  <c r="K448" i="2" a="1"/>
  <c r="K455" i="2" a="1"/>
  <c r="K567" i="2" a="1"/>
  <c r="K576" i="2" a="1"/>
  <c r="K585" i="2" a="1"/>
  <c r="K590" i="2" a="1"/>
  <c r="K599" i="2" a="1"/>
  <c r="K608" i="2" a="1"/>
  <c r="K617" i="2" a="1"/>
  <c r="K622" i="2" a="1"/>
  <c r="K631" i="2" a="1"/>
  <c r="K640" i="2" a="1"/>
  <c r="K649" i="2" a="1"/>
  <c r="K654" i="2" a="1"/>
  <c r="K663" i="2" a="1"/>
  <c r="K672" i="2" a="1"/>
  <c r="K681" i="2" a="1"/>
  <c r="K686" i="2" a="1"/>
  <c r="K695" i="2" a="1"/>
  <c r="K704" i="2" a="1"/>
  <c r="K713" i="2" a="1"/>
  <c r="K718" i="2" a="1"/>
  <c r="K722" i="2" a="1"/>
  <c r="K726" i="2" a="1"/>
  <c r="K730" i="2" a="1"/>
  <c r="K734" i="2" a="1"/>
  <c r="K738" i="2" a="1"/>
  <c r="K742" i="2" a="1"/>
  <c r="K746" i="2" a="1"/>
  <c r="K750" i="2" a="1"/>
  <c r="K754" i="2" a="1"/>
  <c r="K758" i="2" a="1"/>
  <c r="K762" i="2" a="1"/>
  <c r="K766" i="2" a="1"/>
  <c r="K770" i="2" a="1"/>
  <c r="K774" i="2" a="1"/>
  <c r="K778" i="2" a="1"/>
  <c r="K782" i="2" a="1"/>
  <c r="K786" i="2" a="1"/>
  <c r="K790" i="2" a="1"/>
  <c r="K182" i="2" a="1"/>
  <c r="K220" i="2" a="1"/>
  <c r="K248" i="2" a="1"/>
  <c r="K261" i="2" a="1"/>
  <c r="K271" i="2" a="1"/>
  <c r="K312" i="2" a="1"/>
  <c r="K321" i="2" a="1"/>
  <c r="K330" i="2" a="1"/>
  <c r="K339" i="2" a="1"/>
  <c r="K347" i="2" a="1"/>
  <c r="K365" i="2" a="1"/>
  <c r="K372" i="2" a="1"/>
  <c r="K379" i="2" a="1"/>
  <c r="K397" i="2" a="1"/>
  <c r="K404" i="2" a="1"/>
  <c r="K411" i="2" a="1"/>
  <c r="K429" i="2" a="1"/>
  <c r="K436" i="2" a="1"/>
  <c r="K443" i="2" a="1"/>
  <c r="K461" i="2" a="1"/>
  <c r="K467" i="2" a="1"/>
  <c r="K472" i="2" a="1"/>
  <c r="K477" i="2" a="1"/>
  <c r="K483" i="2" a="1"/>
  <c r="K488" i="2" a="1"/>
  <c r="K493" i="2" a="1"/>
  <c r="K499" i="2" a="1"/>
  <c r="K504" i="2" a="1"/>
  <c r="K509" i="2" a="1"/>
  <c r="K515" i="2" a="1"/>
  <c r="K520" i="2" a="1"/>
  <c r="K525" i="2" a="1"/>
  <c r="K531" i="2" a="1"/>
  <c r="K536" i="2" a="1"/>
  <c r="K541" i="2" a="1"/>
  <c r="K547" i="2" a="1"/>
  <c r="K552" i="2" a="1"/>
  <c r="K557" i="2" a="1"/>
  <c r="K563" i="2" a="1"/>
  <c r="K572" i="2" a="1"/>
  <c r="K581" i="2" a="1"/>
  <c r="K586" i="2" a="1"/>
  <c r="K595" i="2" a="1"/>
  <c r="K604" i="2" a="1"/>
  <c r="K613" i="2" a="1"/>
  <c r="K618" i="2" a="1"/>
  <c r="K627" i="2" a="1"/>
  <c r="K636" i="2" a="1"/>
  <c r="K645" i="2" a="1"/>
  <c r="K650" i="2" a="1"/>
  <c r="K659" i="2" a="1"/>
  <c r="K668" i="2" a="1"/>
  <c r="K677" i="2" a="1"/>
  <c r="K682" i="2" a="1"/>
  <c r="K691" i="2" a="1"/>
  <c r="K700" i="2" a="1"/>
  <c r="K709" i="2" a="1"/>
  <c r="K714" i="2" a="1"/>
  <c r="K183" i="2" a="1"/>
  <c r="K221" i="2" a="1"/>
  <c r="K238" i="2" a="1"/>
  <c r="K285" i="2" a="1"/>
  <c r="K294" i="2" a="1"/>
  <c r="K303" i="2" a="1"/>
  <c r="K340" i="2" a="1"/>
  <c r="K353" i="2" a="1"/>
  <c r="K360" i="2" a="1"/>
  <c r="K367" i="2" a="1"/>
  <c r="K385" i="2" a="1"/>
  <c r="K392" i="2" a="1"/>
  <c r="K399" i="2" a="1"/>
  <c r="K417" i="2" a="1"/>
  <c r="K424" i="2" a="1"/>
  <c r="K431" i="2" a="1"/>
  <c r="K449" i="2" a="1"/>
  <c r="K456" i="2" a="1"/>
  <c r="K568" i="2" a="1"/>
  <c r="K577" i="2" a="1"/>
  <c r="K582" i="2" a="1"/>
  <c r="K591" i="2" a="1"/>
  <c r="K600" i="2" a="1"/>
  <c r="K187" i="2" a="1"/>
  <c r="K206" i="2" a="1"/>
  <c r="K252" i="2" a="1"/>
  <c r="K262" i="2" a="1"/>
  <c r="K275" i="2" a="1"/>
  <c r="K304" i="2" a="1"/>
  <c r="K313" i="2" a="1"/>
  <c r="K322" i="2" a="1"/>
  <c r="K331" i="2" a="1"/>
  <c r="K348" i="2" a="1"/>
  <c r="K355" i="2" a="1"/>
  <c r="K373" i="2" a="1"/>
  <c r="K380" i="2" a="1"/>
  <c r="K387" i="2" a="1"/>
  <c r="K405" i="2" a="1"/>
  <c r="K412" i="2" a="1"/>
  <c r="K419" i="2" a="1"/>
  <c r="K437" i="2" a="1"/>
  <c r="K444" i="2" a="1"/>
  <c r="K451" i="2" a="1"/>
  <c r="K463" i="2" a="1"/>
  <c r="K468" i="2" a="1"/>
  <c r="K473" i="2" a="1"/>
  <c r="K479" i="2" a="1"/>
  <c r="K484" i="2" a="1"/>
  <c r="K489" i="2" a="1"/>
  <c r="K495" i="2" a="1"/>
  <c r="K500" i="2" a="1"/>
  <c r="K505" i="2" a="1"/>
  <c r="K511" i="2" a="1"/>
  <c r="K516" i="2" a="1"/>
  <c r="K521" i="2" a="1"/>
  <c r="K527" i="2" a="1"/>
  <c r="K532" i="2" a="1"/>
  <c r="K537" i="2" a="1"/>
  <c r="K189" i="2" a="1"/>
  <c r="K207" i="2" a="1"/>
  <c r="K239" i="2" a="1"/>
  <c r="K276" i="2" a="1"/>
  <c r="K316" i="2" a="1"/>
  <c r="K325" i="2" a="1"/>
  <c r="K334" i="2" a="1"/>
  <c r="K343" i="2" a="1"/>
  <c r="K361" i="2" a="1"/>
  <c r="K368" i="2" a="1"/>
  <c r="K375" i="2" a="1"/>
  <c r="K393" i="2" a="1"/>
  <c r="K400" i="2" a="1"/>
  <c r="K229" i="2" a="1"/>
  <c r="K253" i="2" a="1"/>
  <c r="K266" i="2" a="1"/>
  <c r="K279" i="2" a="1"/>
  <c r="K289" i="2" a="1"/>
  <c r="K298" i="2" a="1"/>
  <c r="K307" i="2" a="1"/>
  <c r="K349" i="2" a="1"/>
  <c r="K356" i="2" a="1"/>
  <c r="K363" i="2" a="1"/>
  <c r="K381" i="2" a="1"/>
  <c r="K388" i="2" a="1"/>
  <c r="K395" i="2" a="1"/>
  <c r="K212" i="2" a="1"/>
  <c r="K230" i="2" a="1"/>
  <c r="K243" i="2" a="1"/>
  <c r="K280" i="2" a="1"/>
  <c r="K308" i="2" a="1"/>
  <c r="K317" i="2" a="1"/>
  <c r="K326" i="2" a="1"/>
  <c r="K335" i="2" a="1"/>
  <c r="K344" i="2" a="1"/>
  <c r="K351" i="2" a="1"/>
  <c r="K369" i="2" a="1"/>
  <c r="K376" i="2" a="1"/>
  <c r="K383" i="2" a="1"/>
  <c r="K401" i="2" a="1"/>
  <c r="K197" i="2" a="1"/>
  <c r="K215" i="2" a="1"/>
  <c r="K244" i="2" a="1"/>
  <c r="K257" i="2" a="1"/>
  <c r="K270" i="2" a="1"/>
  <c r="K290" i="2" a="1"/>
  <c r="K299" i="2" a="1"/>
  <c r="K336" i="2" a="1"/>
  <c r="K357" i="2" a="1"/>
  <c r="K364" i="2" a="1"/>
  <c r="K371" i="2" a="1"/>
  <c r="K389" i="2" a="1"/>
  <c r="K396" i="2" a="1"/>
  <c r="K403" i="2" a="1"/>
  <c r="K407" i="2" a="1"/>
  <c r="K433" i="2" a="1"/>
  <c r="K447" i="2" a="1"/>
  <c r="K544" i="2" a="1"/>
  <c r="K553" i="2" a="1"/>
  <c r="K569" i="2" a="1"/>
  <c r="K598" i="2" a="1"/>
  <c r="K605" i="2" a="1"/>
  <c r="K611" i="2" a="1"/>
  <c r="K629" i="2" a="1"/>
  <c r="K635" i="2" a="1"/>
  <c r="K642" i="2" a="1"/>
  <c r="K653" i="2" a="1"/>
  <c r="K660" i="2" a="1"/>
  <c r="K666" i="2" a="1"/>
  <c r="K684" i="2" a="1"/>
  <c r="K690" i="2" a="1"/>
  <c r="K708" i="2" a="1"/>
  <c r="K715" i="2" a="1"/>
  <c r="K795" i="2" a="1"/>
  <c r="K804" i="2" a="1"/>
  <c r="K813" i="2" a="1"/>
  <c r="K822" i="2" a="1"/>
  <c r="K827" i="2" a="1"/>
  <c r="K831" i="2" a="1"/>
  <c r="K835" i="2" a="1"/>
  <c r="K839" i="2" a="1"/>
  <c r="K843" i="2" a="1"/>
  <c r="K847" i="2" a="1"/>
  <c r="K851" i="2" a="1"/>
  <c r="K855" i="2" a="1"/>
  <c r="K859" i="2" a="1"/>
  <c r="K863" i="2" a="1"/>
  <c r="K867" i="2" a="1"/>
  <c r="K871" i="2" a="1"/>
  <c r="K875" i="2" a="1"/>
  <c r="K879" i="2" a="1"/>
  <c r="K883" i="2" a="1"/>
  <c r="K887" i="2" a="1"/>
  <c r="K891" i="2" a="1"/>
  <c r="K895" i="2" a="1"/>
  <c r="K899" i="2" a="1"/>
  <c r="K903" i="2" a="1"/>
  <c r="K907" i="2" a="1"/>
  <c r="K911" i="2" a="1"/>
  <c r="K915" i="2" a="1"/>
  <c r="K919" i="2" a="1"/>
  <c r="K923" i="2" a="1"/>
  <c r="K927" i="2" a="1"/>
  <c r="K931" i="2" a="1"/>
  <c r="K935" i="2" a="1"/>
  <c r="K939" i="2" a="1"/>
  <c r="K943" i="2" a="1"/>
  <c r="K947" i="2" a="1"/>
  <c r="K951" i="2" a="1"/>
  <c r="K955" i="2" a="1"/>
  <c r="K959" i="2" a="1"/>
  <c r="K963" i="2" a="1"/>
  <c r="K967" i="2" a="1"/>
  <c r="K971" i="2" a="1"/>
  <c r="K975" i="2" a="1"/>
  <c r="K979" i="2" a="1"/>
  <c r="K983" i="2" a="1"/>
  <c r="K987" i="2" a="1"/>
  <c r="K991" i="2" a="1"/>
  <c r="K995" i="2" a="1"/>
  <c r="K999" i="2" a="1"/>
  <c r="K1003" i="2" a="1"/>
  <c r="K1007" i="2" a="1"/>
  <c r="K1011" i="2" a="1"/>
  <c r="K1015" i="2" a="1"/>
  <c r="K1019" i="2" a="1"/>
  <c r="K1023" i="2" a="1"/>
  <c r="K1027" i="2" a="1"/>
  <c r="K1031" i="2" a="1"/>
  <c r="K1035" i="2" a="1"/>
  <c r="K1039" i="2" a="1"/>
  <c r="K1043" i="2" a="1"/>
  <c r="K1047" i="2" a="1"/>
  <c r="K1051" i="2" a="1"/>
  <c r="K1055" i="2" a="1"/>
  <c r="K1059" i="2" a="1"/>
  <c r="K1063" i="2" a="1"/>
  <c r="K1067" i="2" a="1"/>
  <c r="K1071" i="2" a="1"/>
  <c r="K1075" i="2" a="1"/>
  <c r="K1079" i="2" a="1"/>
  <c r="K1083" i="2" a="1"/>
  <c r="K1087" i="2" a="1"/>
  <c r="K1091" i="2" a="1"/>
  <c r="K1095" i="2" a="1"/>
  <c r="K1099" i="2" a="1"/>
  <c r="K1103" i="2" a="1"/>
  <c r="K1107" i="2" a="1"/>
  <c r="K1111" i="2" a="1"/>
  <c r="K1115" i="2" a="1"/>
  <c r="K1119" i="2" a="1"/>
  <c r="K1123" i="2" a="1"/>
  <c r="K1127" i="2" a="1"/>
  <c r="K1131" i="2" a="1"/>
  <c r="K1135" i="2" a="1"/>
  <c r="K1139" i="2" a="1"/>
  <c r="K1143" i="2" a="1"/>
  <c r="K1147" i="2" a="1"/>
  <c r="K1151" i="2" a="1"/>
  <c r="K1155" i="2" a="1"/>
  <c r="K1159" i="2" a="1"/>
  <c r="K1163" i="2" a="1"/>
  <c r="K421" i="2" a="1"/>
  <c r="K435" i="2" a="1"/>
  <c r="K460" i="2" a="1"/>
  <c r="K471" i="2" a="1"/>
  <c r="K481" i="2" a="1"/>
  <c r="K492" i="2" a="1"/>
  <c r="K503" i="2" a="1"/>
  <c r="K513" i="2" a="1"/>
  <c r="K524" i="2" a="1"/>
  <c r="K535" i="2" a="1"/>
  <c r="K561" i="2" a="1"/>
  <c r="K570" i="2" a="1"/>
  <c r="K578" i="2" a="1"/>
  <c r="K584" i="2" a="1"/>
  <c r="K592" i="2" a="1"/>
  <c r="K606" i="2" a="1"/>
  <c r="K624" i="2" a="1"/>
  <c r="K630" i="2" a="1"/>
  <c r="K648" i="2" a="1"/>
  <c r="K655" i="2" a="1"/>
  <c r="K673" i="2" a="1"/>
  <c r="K679" i="2" a="1"/>
  <c r="K697" i="2" a="1"/>
  <c r="K703" i="2" a="1"/>
  <c r="K710" i="2" a="1"/>
  <c r="K721" i="2" a="1"/>
  <c r="K727" i="2" a="1"/>
  <c r="K732" i="2" a="1"/>
  <c r="K737" i="2" a="1"/>
  <c r="K743" i="2" a="1"/>
  <c r="K748" i="2" a="1"/>
  <c r="K753" i="2" a="1"/>
  <c r="K759" i="2" a="1"/>
  <c r="K764" i="2" a="1"/>
  <c r="K769" i="2" a="1"/>
  <c r="K775" i="2" a="1"/>
  <c r="K780" i="2" a="1"/>
  <c r="K785" i="2" a="1"/>
  <c r="K791" i="2" a="1"/>
  <c r="K800" i="2" a="1"/>
  <c r="K809" i="2" a="1"/>
  <c r="K818" i="2" a="1"/>
  <c r="K823" i="2" a="1"/>
  <c r="K408" i="2" a="1"/>
  <c r="K425" i="2" a="1"/>
  <c r="K439" i="2" a="1"/>
  <c r="K545" i="2" a="1"/>
  <c r="K555" i="2" a="1"/>
  <c r="K564" i="2" a="1"/>
  <c r="K612" i="2" a="1"/>
  <c r="K619" i="2" a="1"/>
  <c r="K637" i="2" a="1"/>
  <c r="K643" i="2" a="1"/>
  <c r="K661" i="2" a="1"/>
  <c r="K667" i="2" a="1"/>
  <c r="K674" i="2" a="1"/>
  <c r="K685" i="2" a="1"/>
  <c r="K692" i="2" a="1"/>
  <c r="K698" i="2" a="1"/>
  <c r="K716" i="2" a="1"/>
  <c r="K796" i="2" a="1"/>
  <c r="K805" i="2" a="1"/>
  <c r="K814" i="2" a="1"/>
  <c r="K819" i="2" a="1"/>
  <c r="K828" i="2" a="1"/>
  <c r="K832" i="2" a="1"/>
  <c r="K836" i="2" a="1"/>
  <c r="K840" i="2" a="1"/>
  <c r="K844" i="2" a="1"/>
  <c r="K848" i="2" a="1"/>
  <c r="K852" i="2" a="1"/>
  <c r="K856" i="2" a="1"/>
  <c r="K860" i="2" a="1"/>
  <c r="K864" i="2" a="1"/>
  <c r="K868" i="2" a="1"/>
  <c r="K872" i="2" a="1"/>
  <c r="K876" i="2" a="1"/>
  <c r="K880" i="2" a="1"/>
  <c r="K884" i="2" a="1"/>
  <c r="K427" i="2" a="1"/>
  <c r="K452" i="2" a="1"/>
  <c r="K464" i="2" a="1"/>
  <c r="K475" i="2" a="1"/>
  <c r="K485" i="2" a="1"/>
  <c r="K496" i="2" a="1"/>
  <c r="K507" i="2" a="1"/>
  <c r="K517" i="2" a="1"/>
  <c r="K528" i="2" a="1"/>
  <c r="K539" i="2" a="1"/>
  <c r="K548" i="2" a="1"/>
  <c r="K571" i="2" a="1"/>
  <c r="K579" i="2" a="1"/>
  <c r="K587" i="2" a="1"/>
  <c r="K593" i="2" a="1"/>
  <c r="K601" i="2" a="1"/>
  <c r="K607" i="2" a="1"/>
  <c r="K614" i="2" a="1"/>
  <c r="K625" i="2" a="1"/>
  <c r="K632" i="2" a="1"/>
  <c r="K638" i="2" a="1"/>
  <c r="K656" i="2" a="1"/>
  <c r="K662" i="2" a="1"/>
  <c r="K680" i="2" a="1"/>
  <c r="K687" i="2" a="1"/>
  <c r="K705" i="2" a="1"/>
  <c r="K711" i="2" a="1"/>
  <c r="K723" i="2" a="1"/>
  <c r="K728" i="2" a="1"/>
  <c r="K733" i="2" a="1"/>
  <c r="K739" i="2" a="1"/>
  <c r="K744" i="2" a="1"/>
  <c r="K749" i="2" a="1"/>
  <c r="K755" i="2" a="1"/>
  <c r="K760" i="2" a="1"/>
  <c r="K765" i="2" a="1"/>
  <c r="K771" i="2" a="1"/>
  <c r="K776" i="2" a="1"/>
  <c r="K781" i="2" a="1"/>
  <c r="K787" i="2" a="1"/>
  <c r="K792" i="2" a="1"/>
  <c r="K801" i="2" a="1"/>
  <c r="K810" i="2" a="1"/>
  <c r="K815" i="2" a="1"/>
  <c r="K824" i="2" a="1"/>
  <c r="K413" i="2" a="1"/>
  <c r="K440" i="2" a="1"/>
  <c r="K556" i="2" a="1"/>
  <c r="K565" i="2" a="1"/>
  <c r="K573" i="2" a="1"/>
  <c r="K594" i="2" a="1"/>
  <c r="K602" i="2" a="1"/>
  <c r="K620" i="2" a="1"/>
  <c r="K626" i="2" a="1"/>
  <c r="K644" i="2" a="1"/>
  <c r="K651" i="2" a="1"/>
  <c r="K669" i="2" a="1"/>
  <c r="K675" i="2" a="1"/>
  <c r="K693" i="2" a="1"/>
  <c r="K699" i="2" a="1"/>
  <c r="K706" i="2" a="1"/>
  <c r="K717" i="2" a="1"/>
  <c r="K797" i="2" a="1"/>
  <c r="K415" i="2" a="1"/>
  <c r="K428" i="2" a="1"/>
  <c r="K453" i="2" a="1"/>
  <c r="K465" i="2" a="1"/>
  <c r="K476" i="2" a="1"/>
  <c r="K487" i="2" a="1"/>
  <c r="K497" i="2" a="1"/>
  <c r="K508" i="2" a="1"/>
  <c r="K519" i="2" a="1"/>
  <c r="K529" i="2" a="1"/>
  <c r="K540" i="2" a="1"/>
  <c r="K549" i="2" a="1"/>
  <c r="K559" i="2" a="1"/>
  <c r="K566" i="2" a="1"/>
  <c r="K574" i="2" a="1"/>
  <c r="K580" i="2" a="1"/>
  <c r="K588" i="2" a="1"/>
  <c r="K596" i="2" a="1"/>
  <c r="K609" i="2" a="1"/>
  <c r="K615" i="2" a="1"/>
  <c r="K633" i="2" a="1"/>
  <c r="K639" i="2" a="1"/>
  <c r="K646" i="2" a="1"/>
  <c r="K657" i="2" a="1"/>
  <c r="K664" i="2" a="1"/>
  <c r="K670" i="2" a="1"/>
  <c r="K688" i="2" a="1"/>
  <c r="K694" i="2" a="1"/>
  <c r="K712" i="2" a="1"/>
  <c r="K719" i="2" a="1"/>
  <c r="K724" i="2" a="1"/>
  <c r="K432" i="2" a="1"/>
  <c r="K457" i="2" a="1"/>
  <c r="K543" i="2" a="1"/>
  <c r="K603" i="2" a="1"/>
  <c r="K610" i="2" a="1"/>
  <c r="K621" i="2" a="1"/>
  <c r="K628" i="2" a="1"/>
  <c r="K634" i="2" a="1"/>
  <c r="K652" i="2" a="1"/>
  <c r="K658" i="2" a="1"/>
  <c r="K676" i="2" a="1"/>
  <c r="K683" i="2" a="1"/>
  <c r="K701" i="2" a="1"/>
  <c r="K707" i="2" a="1"/>
  <c r="K798" i="2" a="1"/>
  <c r="K803" i="2" a="1"/>
  <c r="K812" i="2" a="1"/>
  <c r="K821" i="2" a="1"/>
  <c r="K420" i="2" a="1"/>
  <c r="K445" i="2" a="1"/>
  <c r="K459" i="2" a="1"/>
  <c r="K469" i="2" a="1"/>
  <c r="K480" i="2" a="1"/>
  <c r="K491" i="2" a="1"/>
  <c r="K501" i="2" a="1"/>
  <c r="K512" i="2" a="1"/>
  <c r="K523" i="2" a="1"/>
  <c r="K533" i="2" a="1"/>
  <c r="K551" i="2" a="1"/>
  <c r="K560" i="2" a="1"/>
  <c r="K575" i="2" a="1"/>
  <c r="K583" i="2" a="1"/>
  <c r="K589" i="2" a="1"/>
  <c r="K597" i="2" a="1"/>
  <c r="K616" i="2" a="1"/>
  <c r="K623" i="2" a="1"/>
  <c r="K641" i="2" a="1"/>
  <c r="K647" i="2" a="1"/>
  <c r="K665" i="2" a="1"/>
  <c r="K671" i="2" a="1"/>
  <c r="K678" i="2" a="1"/>
  <c r="K689" i="2" a="1"/>
  <c r="K696" i="2" a="1"/>
  <c r="K702" i="2" a="1"/>
  <c r="K720" i="2" a="1"/>
  <c r="K725" i="2" a="1"/>
  <c r="K731" i="2" a="1"/>
  <c r="K736" i="2" a="1"/>
  <c r="K741" i="2" a="1"/>
  <c r="K747" i="2" a="1"/>
  <c r="K752" i="2" a="1"/>
  <c r="K757" i="2" a="1"/>
  <c r="K729" i="2" a="1"/>
  <c r="K767" i="2" a="1"/>
  <c r="K788" i="2" a="1"/>
  <c r="K806" i="2" a="1"/>
  <c r="K817" i="2" a="1"/>
  <c r="K829" i="2" a="1"/>
  <c r="K837" i="2" a="1"/>
  <c r="K845" i="2" a="1"/>
  <c r="K853" i="2" a="1"/>
  <c r="K861" i="2" a="1"/>
  <c r="K869" i="2" a="1"/>
  <c r="K877" i="2" a="1"/>
  <c r="K885" i="2" a="1"/>
  <c r="K904" i="2" a="1"/>
  <c r="K910" i="2" a="1"/>
  <c r="K917" i="2" a="1"/>
  <c r="K936" i="2" a="1"/>
  <c r="K942" i="2" a="1"/>
  <c r="K948" i="2" a="1"/>
  <c r="K953" i="2" a="1"/>
  <c r="K958" i="2" a="1"/>
  <c r="K964" i="2" a="1"/>
  <c r="K969" i="2" a="1"/>
  <c r="K974" i="2" a="1"/>
  <c r="K980" i="2" a="1"/>
  <c r="K985" i="2" a="1"/>
  <c r="K990" i="2" a="1"/>
  <c r="K996" i="2" a="1"/>
  <c r="K1001" i="2" a="1"/>
  <c r="K1006" i="2" a="1"/>
  <c r="K1012" i="2" a="1"/>
  <c r="K1017" i="2" a="1"/>
  <c r="K1022" i="2" a="1"/>
  <c r="K1028" i="2" a="1"/>
  <c r="K1033" i="2" a="1"/>
  <c r="K1038" i="2" a="1"/>
  <c r="K1044" i="2" a="1"/>
  <c r="K1049" i="2" a="1"/>
  <c r="K1054" i="2" a="1"/>
  <c r="K1060" i="2" a="1"/>
  <c r="K1065" i="2" a="1"/>
  <c r="K1070" i="2" a="1"/>
  <c r="K1076" i="2" a="1"/>
  <c r="K1081" i="2" a="1"/>
  <c r="K1086" i="2" a="1"/>
  <c r="K1092" i="2" a="1"/>
  <c r="K1097" i="2" a="1"/>
  <c r="K1102" i="2" a="1"/>
  <c r="K1108" i="2" a="1"/>
  <c r="K1113" i="2" a="1"/>
  <c r="K1118" i="2" a="1"/>
  <c r="K1124" i="2" a="1"/>
  <c r="K1129" i="2" a="1"/>
  <c r="K1134" i="2" a="1"/>
  <c r="K1140" i="2" a="1"/>
  <c r="K735" i="2" a="1"/>
  <c r="K768" i="2" a="1"/>
  <c r="K789" i="2" a="1"/>
  <c r="K807" i="2" a="1"/>
  <c r="K820" i="2" a="1"/>
  <c r="K892" i="2" a="1"/>
  <c r="K898" i="2" a="1"/>
  <c r="K905" i="2" a="1"/>
  <c r="K924" i="2" a="1"/>
  <c r="K930" i="2" a="1"/>
  <c r="K937" i="2" a="1"/>
  <c r="K1171" i="2" a="1"/>
  <c r="K1176" i="2" a="1"/>
  <c r="K1185" i="2" a="1"/>
  <c r="K1194" i="2" a="1"/>
  <c r="K1203" i="2" a="1"/>
  <c r="K1208" i="2" a="1"/>
  <c r="K1217" i="2" a="1"/>
  <c r="K1226" i="2" a="1"/>
  <c r="K1235" i="2" a="1"/>
  <c r="K1240" i="2" a="1"/>
  <c r="K1249" i="2" a="1"/>
  <c r="K1258" i="2" a="1"/>
  <c r="K1267" i="2" a="1"/>
  <c r="K1272" i="2" a="1"/>
  <c r="K1281" i="2" a="1"/>
  <c r="K1290" i="2" a="1"/>
  <c r="K1299" i="2" a="1"/>
  <c r="K1304" i="2" a="1"/>
  <c r="K1313" i="2" a="1"/>
  <c r="K1322" i="2" a="1"/>
  <c r="K740" i="2" a="1"/>
  <c r="K772" i="2" a="1"/>
  <c r="K793" i="2" a="1"/>
  <c r="K808" i="2" a="1"/>
  <c r="K830" i="2" a="1"/>
  <c r="K838" i="2" a="1"/>
  <c r="K846" i="2" a="1"/>
  <c r="K854" i="2" a="1"/>
  <c r="K862" i="2" a="1"/>
  <c r="K870" i="2" a="1"/>
  <c r="K878" i="2" a="1"/>
  <c r="K886" i="2" a="1"/>
  <c r="K893" i="2" a="1"/>
  <c r="K912" i="2" a="1"/>
  <c r="K918" i="2" a="1"/>
  <c r="K925" i="2" a="1"/>
  <c r="K944" i="2" a="1"/>
  <c r="K949" i="2" a="1"/>
  <c r="K954" i="2" a="1"/>
  <c r="K960" i="2" a="1"/>
  <c r="K965" i="2" a="1"/>
  <c r="K970" i="2" a="1"/>
  <c r="K976" i="2" a="1"/>
  <c r="K981" i="2" a="1"/>
  <c r="K986" i="2" a="1"/>
  <c r="K992" i="2" a="1"/>
  <c r="K997" i="2" a="1"/>
  <c r="K1002" i="2" a="1"/>
  <c r="K1008" i="2" a="1"/>
  <c r="K1013" i="2" a="1"/>
  <c r="K1018" i="2" a="1"/>
  <c r="K1024" i="2" a="1"/>
  <c r="K1029" i="2" a="1"/>
  <c r="K1034" i="2" a="1"/>
  <c r="K1040" i="2" a="1"/>
  <c r="K1045" i="2" a="1"/>
  <c r="K1050" i="2" a="1"/>
  <c r="K1056" i="2" a="1"/>
  <c r="K1061" i="2" a="1"/>
  <c r="K1066" i="2" a="1"/>
  <c r="K1072" i="2" a="1"/>
  <c r="K1077" i="2" a="1"/>
  <c r="K1082" i="2" a="1"/>
  <c r="K1088" i="2" a="1"/>
  <c r="K1093" i="2" a="1"/>
  <c r="K1098" i="2" a="1"/>
  <c r="K1104" i="2" a="1"/>
  <c r="K1109" i="2" a="1"/>
  <c r="K1114" i="2" a="1"/>
  <c r="K1120" i="2" a="1"/>
  <c r="K1125" i="2" a="1"/>
  <c r="K1130" i="2" a="1"/>
  <c r="K1136" i="2" a="1"/>
  <c r="K1141" i="2" a="1"/>
  <c r="K1146" i="2" a="1"/>
  <c r="K1152" i="2" a="1"/>
  <c r="K1157" i="2" a="1"/>
  <c r="K1162" i="2" a="1"/>
  <c r="K1167" i="2" a="1"/>
  <c r="K1172" i="2" a="1"/>
  <c r="K1181" i="2" a="1"/>
  <c r="K1190" i="2" a="1"/>
  <c r="K1199" i="2" a="1"/>
  <c r="K1204" i="2" a="1"/>
  <c r="K1213" i="2" a="1"/>
  <c r="K1222" i="2" a="1"/>
  <c r="K1231" i="2" a="1"/>
  <c r="K1236" i="2" a="1"/>
  <c r="K1245" i="2" a="1"/>
  <c r="K1254" i="2" a="1"/>
  <c r="K1263" i="2" a="1"/>
  <c r="K1268" i="2" a="1"/>
  <c r="K1277" i="2" a="1"/>
  <c r="K1286" i="2" a="1"/>
  <c r="K1295" i="2" a="1"/>
  <c r="K1300" i="2" a="1"/>
  <c r="K1309" i="2" a="1"/>
  <c r="K1318" i="2" a="1"/>
  <c r="K1327" i="2" a="1"/>
  <c r="K1331" i="2" a="1"/>
  <c r="K1335" i="2" a="1"/>
  <c r="K1339" i="2" a="1"/>
  <c r="K1343" i="2" a="1"/>
  <c r="K1347" i="2" a="1"/>
  <c r="K1351" i="2" a="1"/>
  <c r="K1355" i="2" a="1"/>
  <c r="K1359" i="2" a="1"/>
  <c r="K1363" i="2" a="1"/>
  <c r="K1367" i="2" a="1"/>
  <c r="K1371" i="2" a="1"/>
  <c r="K1375" i="2" a="1"/>
  <c r="K1379" i="2" a="1"/>
  <c r="K1383" i="2" a="1"/>
  <c r="K1387" i="2" a="1"/>
  <c r="K1391" i="2" a="1"/>
  <c r="K1395" i="2" a="1"/>
  <c r="K1399" i="2" a="1"/>
  <c r="K745" i="2" a="1"/>
  <c r="K773" i="2" a="1"/>
  <c r="K794" i="2" a="1"/>
  <c r="K811" i="2" a="1"/>
  <c r="K900" i="2" a="1"/>
  <c r="K906" i="2" a="1"/>
  <c r="K913" i="2" a="1"/>
  <c r="K932" i="2" a="1"/>
  <c r="K938" i="2" a="1"/>
  <c r="K1168" i="2" a="1"/>
  <c r="K1177" i="2" a="1"/>
  <c r="K1186" i="2" a="1"/>
  <c r="K1195" i="2" a="1"/>
  <c r="K1200" i="2" a="1"/>
  <c r="K1209" i="2" a="1"/>
  <c r="K1218" i="2" a="1"/>
  <c r="K1227" i="2" a="1"/>
  <c r="K1232" i="2" a="1"/>
  <c r="K1241" i="2" a="1"/>
  <c r="K1250" i="2" a="1"/>
  <c r="K1259" i="2" a="1"/>
  <c r="K1264" i="2" a="1"/>
  <c r="K1273" i="2" a="1"/>
  <c r="K751" i="2" a="1"/>
  <c r="K777" i="2" a="1"/>
  <c r="K833" i="2" a="1"/>
  <c r="K841" i="2" a="1"/>
  <c r="K849" i="2" a="1"/>
  <c r="K857" i="2" a="1"/>
  <c r="K865" i="2" a="1"/>
  <c r="K873" i="2" a="1"/>
  <c r="K881" i="2" a="1"/>
  <c r="K888" i="2" a="1"/>
  <c r="K894" i="2" a="1"/>
  <c r="K901" i="2" a="1"/>
  <c r="K920" i="2" a="1"/>
  <c r="K926" i="2" a="1"/>
  <c r="K933" i="2" a="1"/>
  <c r="K945" i="2" a="1"/>
  <c r="K950" i="2" a="1"/>
  <c r="K956" i="2" a="1"/>
  <c r="K961" i="2" a="1"/>
  <c r="K966" i="2" a="1"/>
  <c r="K972" i="2" a="1"/>
  <c r="K977" i="2" a="1"/>
  <c r="K982" i="2" a="1"/>
  <c r="K988" i="2" a="1"/>
  <c r="K993" i="2" a="1"/>
  <c r="K998" i="2" a="1"/>
  <c r="K1004" i="2" a="1"/>
  <c r="K756" i="2" a="1"/>
  <c r="K779" i="2" a="1"/>
  <c r="K799" i="2" a="1"/>
  <c r="K825" i="2" a="1"/>
  <c r="K889" i="2" a="1"/>
  <c r="K908" i="2" a="1"/>
  <c r="K914" i="2" a="1"/>
  <c r="K921" i="2" a="1"/>
  <c r="K940" i="2" a="1"/>
  <c r="K1169" i="2" a="1"/>
  <c r="K761" i="2" a="1"/>
  <c r="K783" i="2" a="1"/>
  <c r="K802" i="2" a="1"/>
  <c r="K834" i="2" a="1"/>
  <c r="K842" i="2" a="1"/>
  <c r="K850" i="2" a="1"/>
  <c r="K858" i="2" a="1"/>
  <c r="K866" i="2" a="1"/>
  <c r="K874" i="2" a="1"/>
  <c r="K882" i="2" a="1"/>
  <c r="K896" i="2" a="1"/>
  <c r="K902" i="2" a="1"/>
  <c r="K909" i="2" a="1"/>
  <c r="K928" i="2" a="1"/>
  <c r="K934" i="2" a="1"/>
  <c r="K941" i="2" a="1"/>
  <c r="K946" i="2" a="1"/>
  <c r="K952" i="2" a="1"/>
  <c r="K957" i="2" a="1"/>
  <c r="K962" i="2" a="1"/>
  <c r="K968" i="2" a="1"/>
  <c r="K973" i="2" a="1"/>
  <c r="K978" i="2" a="1"/>
  <c r="K984" i="2" a="1"/>
  <c r="K989" i="2" a="1"/>
  <c r="K994" i="2" a="1"/>
  <c r="K1000" i="2" a="1"/>
  <c r="K1005" i="2" a="1"/>
  <c r="K763" i="2" a="1"/>
  <c r="K784" i="2" a="1"/>
  <c r="K816" i="2" a="1"/>
  <c r="K826" i="2" a="1"/>
  <c r="K890" i="2" a="1"/>
  <c r="K897" i="2" a="1"/>
  <c r="K916" i="2" a="1"/>
  <c r="K922" i="2" a="1"/>
  <c r="K929" i="2" a="1"/>
  <c r="K1170" i="2" a="1"/>
  <c r="K1179" i="2" a="1"/>
  <c r="K1009" i="2" a="1"/>
  <c r="K1030" i="2" a="1"/>
  <c r="K1052" i="2" a="1"/>
  <c r="K1073" i="2" a="1"/>
  <c r="K1094" i="2" a="1"/>
  <c r="K1116" i="2" a="1"/>
  <c r="K1137" i="2" a="1"/>
  <c r="K1153" i="2" a="1"/>
  <c r="K1166" i="2" a="1"/>
  <c r="K1221" i="2" a="1"/>
  <c r="K1229" i="2" a="1"/>
  <c r="K1237" i="2" a="1"/>
  <c r="K1243" i="2" a="1"/>
  <c r="K1251" i="2" a="1"/>
  <c r="K1280" i="2" a="1"/>
  <c r="K1298" i="2" a="1"/>
  <c r="K1305" i="2" a="1"/>
  <c r="K1323" i="2" a="1"/>
  <c r="K1403" i="2" a="1"/>
  <c r="K1412" i="2" a="1"/>
  <c r="K1421" i="2" a="1"/>
  <c r="K1430" i="2" a="1"/>
  <c r="K1435" i="2" a="1"/>
  <c r="K1444" i="2" a="1"/>
  <c r="K1453" i="2" a="1"/>
  <c r="K1462" i="2" a="1"/>
  <c r="K1467" i="2" a="1"/>
  <c r="K1476" i="2" a="1"/>
  <c r="K1485" i="2" a="1"/>
  <c r="K1494" i="2" a="1"/>
  <c r="K1499" i="2" a="1"/>
  <c r="K1508" i="2" a="1"/>
  <c r="K1517" i="2" a="1"/>
  <c r="K1526" i="2" a="1"/>
  <c r="K1531" i="2" a="1"/>
  <c r="K1540" i="2" a="1"/>
  <c r="K1010" i="2" a="1"/>
  <c r="K1032" i="2" a="1"/>
  <c r="K1053" i="2" a="1"/>
  <c r="K1074" i="2" a="1"/>
  <c r="K1096" i="2" a="1"/>
  <c r="K1117" i="2" a="1"/>
  <c r="K1138" i="2" a="1"/>
  <c r="K1154" i="2" a="1"/>
  <c r="K1178" i="2" a="1"/>
  <c r="K1193" i="2" a="1"/>
  <c r="K1201" i="2" a="1"/>
  <c r="K1207" i="2" a="1"/>
  <c r="K1215" i="2" a="1"/>
  <c r="K1223" i="2" a="1"/>
  <c r="K1244" i="2" a="1"/>
  <c r="K1252" i="2" a="1"/>
  <c r="K1260" i="2" a="1"/>
  <c r="K1266" i="2" a="1"/>
  <c r="K1274" i="2" a="1"/>
  <c r="K1287" i="2" a="1"/>
  <c r="K1293" i="2" a="1"/>
  <c r="K1311" i="2" a="1"/>
  <c r="K1317" i="2" a="1"/>
  <c r="K1324" i="2" a="1"/>
  <c r="K1329" i="2" a="1"/>
  <c r="K1334" i="2" a="1"/>
  <c r="K1340" i="2" a="1"/>
  <c r="K1345" i="2" a="1"/>
  <c r="K1350" i="2" a="1"/>
  <c r="K1356" i="2" a="1"/>
  <c r="K1361" i="2" a="1"/>
  <c r="K1366" i="2" a="1"/>
  <c r="K1372" i="2" a="1"/>
  <c r="K1377" i="2" a="1"/>
  <c r="K1382" i="2" a="1"/>
  <c r="K1388" i="2" a="1"/>
  <c r="K1393" i="2" a="1"/>
  <c r="K1398" i="2" a="1"/>
  <c r="K1408" i="2" a="1"/>
  <c r="K1417" i="2" a="1"/>
  <c r="K1426" i="2" a="1"/>
  <c r="K1431" i="2" a="1"/>
  <c r="K1440" i="2" a="1"/>
  <c r="K1449" i="2" a="1"/>
  <c r="K1458" i="2" a="1"/>
  <c r="K1463" i="2" a="1"/>
  <c r="K1472" i="2" a="1"/>
  <c r="K1481" i="2" a="1"/>
  <c r="K1490" i="2" a="1"/>
  <c r="K1495" i="2" a="1"/>
  <c r="K1504" i="2" a="1"/>
  <c r="K1513" i="2" a="1"/>
  <c r="K1522" i="2" a="1"/>
  <c r="K1527" i="2" a="1"/>
  <c r="K1536" i="2" a="1"/>
  <c r="K1545" i="2" a="1"/>
  <c r="K1549" i="2" a="1"/>
  <c r="K1553" i="2" a="1"/>
  <c r="K1557" i="2" a="1"/>
  <c r="K1561" i="2" a="1"/>
  <c r="K1565" i="2" a="1"/>
  <c r="K1569" i="2" a="1"/>
  <c r="K1573" i="2" a="1"/>
  <c r="K1577" i="2" a="1"/>
  <c r="K1581" i="2" a="1"/>
  <c r="K1585" i="2" a="1"/>
  <c r="K1589" i="2" a="1"/>
  <c r="K1593" i="2" a="1"/>
  <c r="K1597" i="2" a="1"/>
  <c r="K1601" i="2" a="1"/>
  <c r="K1605" i="2" a="1"/>
  <c r="K1609" i="2" a="1"/>
  <c r="K1613" i="2" a="1"/>
  <c r="K1617" i="2" a="1"/>
  <c r="K1621" i="2" a="1"/>
  <c r="K1625" i="2" a="1"/>
  <c r="K1629" i="2" a="1"/>
  <c r="K1633" i="2" a="1"/>
  <c r="K1637" i="2" a="1"/>
  <c r="K1641" i="2" a="1"/>
  <c r="K1645" i="2" a="1"/>
  <c r="K1649" i="2" a="1"/>
  <c r="K1653" i="2" a="1"/>
  <c r="K1657" i="2" a="1"/>
  <c r="K1661" i="2" a="1"/>
  <c r="K1665" i="2" a="1"/>
  <c r="K1669" i="2" a="1"/>
  <c r="K1673" i="2" a="1"/>
  <c r="K1677" i="2" a="1"/>
  <c r="K1681" i="2" a="1"/>
  <c r="K1685" i="2" a="1"/>
  <c r="K1689" i="2" a="1"/>
  <c r="K1693" i="2" a="1"/>
  <c r="K1697" i="2" a="1"/>
  <c r="K1701" i="2" a="1"/>
  <c r="K1705" i="2" a="1"/>
  <c r="K1709" i="2" a="1"/>
  <c r="K1713" i="2" a="1"/>
  <c r="K1717" i="2" a="1"/>
  <c r="K1721" i="2" a="1"/>
  <c r="K1725" i="2" a="1"/>
  <c r="K1729" i="2" a="1"/>
  <c r="K1733" i="2" a="1"/>
  <c r="K1737" i="2" a="1"/>
  <c r="K1741" i="2" a="1"/>
  <c r="K1745" i="2" a="1"/>
  <c r="K1014" i="2" a="1"/>
  <c r="K1036" i="2" a="1"/>
  <c r="K1057" i="2" a="1"/>
  <c r="K1078" i="2" a="1"/>
  <c r="K1100" i="2" a="1"/>
  <c r="K1121" i="2" a="1"/>
  <c r="K1142" i="2" a="1"/>
  <c r="K1156" i="2" a="1"/>
  <c r="K1187" i="2" a="1"/>
  <c r="K1216" i="2" a="1"/>
  <c r="K1224" i="2" a="1"/>
  <c r="K1230" i="2" a="1"/>
  <c r="K1238" i="2" a="1"/>
  <c r="K1246" i="2" a="1"/>
  <c r="K1282" i="2" a="1"/>
  <c r="K1288" i="2" a="1"/>
  <c r="K1306" i="2" a="1"/>
  <c r="K1312" i="2" a="1"/>
  <c r="K1404" i="2" a="1"/>
  <c r="K1413" i="2" a="1"/>
  <c r="K1422" i="2" a="1"/>
  <c r="K1427" i="2" a="1"/>
  <c r="K1436" i="2" a="1"/>
  <c r="K1445" i="2" a="1"/>
  <c r="K1454" i="2" a="1"/>
  <c r="K1459" i="2" a="1"/>
  <c r="K1468" i="2" a="1"/>
  <c r="K1477" i="2" a="1"/>
  <c r="K1486" i="2" a="1"/>
  <c r="K1491" i="2" a="1"/>
  <c r="K1500" i="2" a="1"/>
  <c r="K1016" i="2" a="1"/>
  <c r="K1037" i="2" a="1"/>
  <c r="K1058" i="2" a="1"/>
  <c r="K1080" i="2" a="1"/>
  <c r="K1101" i="2" a="1"/>
  <c r="K1122" i="2" a="1"/>
  <c r="K1144" i="2" a="1"/>
  <c r="K1158" i="2" a="1"/>
  <c r="K1180" i="2" a="1"/>
  <c r="K1188" i="2" a="1"/>
  <c r="K1196" i="2" a="1"/>
  <c r="K1202" i="2" a="1"/>
  <c r="K1210" i="2" a="1"/>
  <c r="K1253" i="2" a="1"/>
  <c r="K1261" i="2" a="1"/>
  <c r="K1269" i="2" a="1"/>
  <c r="K1275" i="2" a="1"/>
  <c r="K1294" i="2" a="1"/>
  <c r="K1301" i="2" a="1"/>
  <c r="K1319" i="2" a="1"/>
  <c r="K1325" i="2" a="1"/>
  <c r="K1330" i="2" a="1"/>
  <c r="K1336" i="2" a="1"/>
  <c r="K1341" i="2" a="1"/>
  <c r="K1346" i="2" a="1"/>
  <c r="K1352" i="2" a="1"/>
  <c r="K1357" i="2" a="1"/>
  <c r="K1362" i="2" a="1"/>
  <c r="K1368" i="2" a="1"/>
  <c r="K1373" i="2" a="1"/>
  <c r="K1378" i="2" a="1"/>
  <c r="K1384" i="2" a="1"/>
  <c r="K1389" i="2" a="1"/>
  <c r="K1394" i="2" a="1"/>
  <c r="K1400" i="2" a="1"/>
  <c r="K1409" i="2" a="1"/>
  <c r="K1418" i="2" a="1"/>
  <c r="K1423" i="2" a="1"/>
  <c r="K1432" i="2" a="1"/>
  <c r="K1441" i="2" a="1"/>
  <c r="K1450" i="2" a="1"/>
  <c r="K1455" i="2" a="1"/>
  <c r="K1464" i="2" a="1"/>
  <c r="K1473" i="2" a="1"/>
  <c r="K1020" i="2" a="1"/>
  <c r="K1041" i="2" a="1"/>
  <c r="K1062" i="2" a="1"/>
  <c r="K1084" i="2" a="1"/>
  <c r="K1105" i="2" a="1"/>
  <c r="K1126" i="2" a="1"/>
  <c r="K1145" i="2" a="1"/>
  <c r="K1160" i="2" a="1"/>
  <c r="K1173" i="2" a="1"/>
  <c r="K1182" i="2" a="1"/>
  <c r="K1225" i="2" a="1"/>
  <c r="K1233" i="2" a="1"/>
  <c r="K1239" i="2" a="1"/>
  <c r="K1247" i="2" a="1"/>
  <c r="K1255" i="2" a="1"/>
  <c r="K1276" i="2" a="1"/>
  <c r="K1283" i="2" a="1"/>
  <c r="K1289" i="2" a="1"/>
  <c r="K1296" i="2" a="1"/>
  <c r="K1307" i="2" a="1"/>
  <c r="K1314" i="2" a="1"/>
  <c r="K1320" i="2" a="1"/>
  <c r="K1405" i="2" a="1"/>
  <c r="K1414" i="2" a="1"/>
  <c r="K1419" i="2" a="1"/>
  <c r="K1428" i="2" a="1"/>
  <c r="K1437" i="2" a="1"/>
  <c r="K1446" i="2" a="1"/>
  <c r="K1451" i="2" a="1"/>
  <c r="K1460" i="2" a="1"/>
  <c r="K1469" i="2" a="1"/>
  <c r="K1478" i="2" a="1"/>
  <c r="K1483" i="2" a="1"/>
  <c r="K1492" i="2" a="1"/>
  <c r="K1501" i="2" a="1"/>
  <c r="K1021" i="2" a="1"/>
  <c r="K1042" i="2" a="1"/>
  <c r="K1064" i="2" a="1"/>
  <c r="K1085" i="2" a="1"/>
  <c r="K1106" i="2" a="1"/>
  <c r="K1128" i="2" a="1"/>
  <c r="K1148" i="2" a="1"/>
  <c r="K1161" i="2" a="1"/>
  <c r="K1189" i="2" a="1"/>
  <c r="K1197" i="2" a="1"/>
  <c r="K1205" i="2" a="1"/>
  <c r="K1211" i="2" a="1"/>
  <c r="K1219" i="2" a="1"/>
  <c r="K1248" i="2" a="1"/>
  <c r="K1256" i="2" a="1"/>
  <c r="K1262" i="2" a="1"/>
  <c r="K1270" i="2" a="1"/>
  <c r="K1278" i="2" a="1"/>
  <c r="K1284" i="2" a="1"/>
  <c r="K1302" i="2" a="1"/>
  <c r="K1308" i="2" a="1"/>
  <c r="K1326" i="2" a="1"/>
  <c r="K1332" i="2" a="1"/>
  <c r="K1337" i="2" a="1"/>
  <c r="K1342" i="2" a="1"/>
  <c r="K1348" i="2" a="1"/>
  <c r="K1353" i="2" a="1"/>
  <c r="K1358" i="2" a="1"/>
  <c r="K1364" i="2" a="1"/>
  <c r="K1369" i="2" a="1"/>
  <c r="K1374" i="2" a="1"/>
  <c r="K1380" i="2" a="1"/>
  <c r="K1385" i="2" a="1"/>
  <c r="K1390" i="2" a="1"/>
  <c r="K1396" i="2" a="1"/>
  <c r="K1401" i="2" a="1"/>
  <c r="K1410" i="2" a="1"/>
  <c r="K1415" i="2" a="1"/>
  <c r="K1424" i="2" a="1"/>
  <c r="K1433" i="2" a="1"/>
  <c r="K1442" i="2" a="1"/>
  <c r="K1447" i="2" a="1"/>
  <c r="K1456" i="2" a="1"/>
  <c r="K1465" i="2" a="1"/>
  <c r="K1025" i="2" a="1"/>
  <c r="K1046" i="2" a="1"/>
  <c r="K1068" i="2" a="1"/>
  <c r="K1089" i="2" a="1"/>
  <c r="K1110" i="2" a="1"/>
  <c r="K1132" i="2" a="1"/>
  <c r="K1149" i="2" a="1"/>
  <c r="K1164" i="2" a="1"/>
  <c r="K1174" i="2" a="1"/>
  <c r="K1183" i="2" a="1"/>
  <c r="K1191" i="2" a="1"/>
  <c r="K1212" i="2" a="1"/>
  <c r="K1220" i="2" a="1"/>
  <c r="K1228" i="2" a="1"/>
  <c r="K1234" i="2" a="1"/>
  <c r="K1242" i="2" a="1"/>
  <c r="K1291" i="2" a="1"/>
  <c r="K1297" i="2" a="1"/>
  <c r="K1315" i="2" a="1"/>
  <c r="K1321" i="2" a="1"/>
  <c r="K1406" i="2" a="1"/>
  <c r="K1411" i="2" a="1"/>
  <c r="K1420" i="2" a="1"/>
  <c r="K1026" i="2" a="1"/>
  <c r="K1048" i="2" a="1"/>
  <c r="K1069" i="2" a="1"/>
  <c r="K1090" i="2" a="1"/>
  <c r="K1112" i="2" a="1"/>
  <c r="K1133" i="2" a="1"/>
  <c r="K1150" i="2" a="1"/>
  <c r="K1165" i="2" a="1"/>
  <c r="K1175" i="2" a="1"/>
  <c r="K1184" i="2" a="1"/>
  <c r="K1192" i="2" a="1"/>
  <c r="K1198" i="2" a="1"/>
  <c r="K1206" i="2" a="1"/>
  <c r="K1214" i="2" a="1"/>
  <c r="K1257" i="2" a="1"/>
  <c r="K1265" i="2" a="1"/>
  <c r="K1271" i="2" a="1"/>
  <c r="K1279" i="2" a="1"/>
  <c r="K1285" i="2" a="1"/>
  <c r="K1292" i="2" a="1"/>
  <c r="K1303" i="2" a="1"/>
  <c r="K1310" i="2" a="1"/>
  <c r="K1316" i="2" a="1"/>
  <c r="K1328" i="2" a="1"/>
  <c r="K1333" i="2" a="1"/>
  <c r="K1338" i="2" a="1"/>
  <c r="K1344" i="2" a="1"/>
  <c r="K1349" i="2" a="1"/>
  <c r="K1354" i="2" a="1"/>
  <c r="K1360" i="2" a="1"/>
  <c r="K1365" i="2" a="1"/>
  <c r="K1370" i="2" a="1"/>
  <c r="K1434" i="2" a="1"/>
  <c r="K1470" i="2" a="1"/>
  <c r="K1480" i="2" a="1"/>
  <c r="K1489" i="2" a="1"/>
  <c r="K1498" i="2" a="1"/>
  <c r="K1506" i="2" a="1"/>
  <c r="K1512" i="2" a="1"/>
  <c r="K1519" i="2" a="1"/>
  <c r="K1530" i="2" a="1"/>
  <c r="K1537" i="2" a="1"/>
  <c r="K1543" i="2" a="1"/>
  <c r="K1548" i="2" a="1"/>
  <c r="K1554" i="2" a="1"/>
  <c r="K1559" i="2" a="1"/>
  <c r="K1564" i="2" a="1"/>
  <c r="K1570" i="2" a="1"/>
  <c r="K1575" i="2" a="1"/>
  <c r="K1580" i="2" a="1"/>
  <c r="K1586" i="2" a="1"/>
  <c r="K1591" i="2" a="1"/>
  <c r="K1596" i="2" a="1"/>
  <c r="K1602" i="2" a="1"/>
  <c r="K1607" i="2" a="1"/>
  <c r="K1612" i="2" a="1"/>
  <c r="K1618" i="2" a="1"/>
  <c r="K1623" i="2" a="1"/>
  <c r="K1628" i="2" a="1"/>
  <c r="K1634" i="2" a="1"/>
  <c r="K1639" i="2" a="1"/>
  <c r="K1644" i="2" a="1"/>
  <c r="K1650" i="2" a="1"/>
  <c r="K1655" i="2" a="1"/>
  <c r="K1660" i="2" a="1"/>
  <c r="K1666" i="2" a="1"/>
  <c r="K1671" i="2" a="1"/>
  <c r="K1676" i="2" a="1"/>
  <c r="K1682" i="2" a="1"/>
  <c r="K1687" i="2" a="1"/>
  <c r="K1692" i="2" a="1"/>
  <c r="K1698" i="2" a="1"/>
  <c r="K1703" i="2" a="1"/>
  <c r="K1708" i="2" a="1"/>
  <c r="K1714" i="2" a="1"/>
  <c r="K1719" i="2" a="1"/>
  <c r="K1724" i="2" a="1"/>
  <c r="K1730" i="2" a="1"/>
  <c r="K1735" i="2" a="1"/>
  <c r="K1740" i="2" a="1"/>
  <c r="K1746" i="2" a="1"/>
  <c r="K1755" i="2" a="1"/>
  <c r="K1764" i="2" a="1"/>
  <c r="K1769" i="2" a="1"/>
  <c r="K1778" i="2" a="1"/>
  <c r="K1787" i="2" a="1"/>
  <c r="K1796" i="2" a="1"/>
  <c r="K1801" i="2" a="1"/>
  <c r="K1810" i="2" a="1"/>
  <c r="K1819" i="2" a="1"/>
  <c r="K1828" i="2" a="1"/>
  <c r="K1833" i="2" a="1"/>
  <c r="K1842" i="2" a="1"/>
  <c r="K1851" i="2" a="1"/>
  <c r="K1860" i="2" a="1"/>
  <c r="K1865" i="2" a="1"/>
  <c r="K1874" i="2" a="1"/>
  <c r="K1883" i="2" a="1"/>
  <c r="K1892" i="2" a="1"/>
  <c r="K1897" i="2" a="1"/>
  <c r="K1906" i="2" a="1"/>
  <c r="K1915" i="2" a="1"/>
  <c r="K1924" i="2" a="1"/>
  <c r="K1929" i="2" a="1"/>
  <c r="K1938" i="2" a="1"/>
  <c r="K1947" i="2" a="1"/>
  <c r="K1956" i="2" a="1"/>
  <c r="K1961" i="2" a="1"/>
  <c r="K1376" i="2" a="1"/>
  <c r="K1416" i="2" a="1"/>
  <c r="K1438" i="2" a="1"/>
  <c r="K1471" i="2" a="1"/>
  <c r="K1482" i="2" a="1"/>
  <c r="K1507" i="2" a="1"/>
  <c r="K1525" i="2" a="1"/>
  <c r="K1532" i="2" a="1"/>
  <c r="K1751" i="2" a="1"/>
  <c r="K1760" i="2" a="1"/>
  <c r="K1765" i="2" a="1"/>
  <c r="K1774" i="2" a="1"/>
  <c r="K1783" i="2" a="1"/>
  <c r="K1792" i="2" a="1"/>
  <c r="K1797" i="2" a="1"/>
  <c r="K1806" i="2" a="1"/>
  <c r="K1815" i="2" a="1"/>
  <c r="K1824" i="2" a="1"/>
  <c r="K1829" i="2" a="1"/>
  <c r="K1838" i="2" a="1"/>
  <c r="K1847" i="2" a="1"/>
  <c r="K1856" i="2" a="1"/>
  <c r="K1861" i="2" a="1"/>
  <c r="K1870" i="2" a="1"/>
  <c r="K1879" i="2" a="1"/>
  <c r="K1888" i="2" a="1"/>
  <c r="K1893" i="2" a="1"/>
  <c r="K1902" i="2" a="1"/>
  <c r="K1911" i="2" a="1"/>
  <c r="K1920" i="2" a="1"/>
  <c r="K1925" i="2" a="1"/>
  <c r="K1934" i="2" a="1"/>
  <c r="K1943" i="2" a="1"/>
  <c r="K1952" i="2" a="1"/>
  <c r="K1957" i="2" a="1"/>
  <c r="K1966" i="2" a="1"/>
  <c r="K1970" i="2" a="1"/>
  <c r="K1974" i="2" a="1"/>
  <c r="K1978" i="2" a="1"/>
  <c r="K1982" i="2" a="1"/>
  <c r="K1986" i="2" a="1"/>
  <c r="K1990" i="2" a="1"/>
  <c r="K1994" i="2" a="1"/>
  <c r="K1998" i="2" a="1"/>
  <c r="K2002" i="2" a="1"/>
  <c r="K2006" i="2" a="1"/>
  <c r="K2010" i="2" a="1"/>
  <c r="K2014" i="2" a="1"/>
  <c r="K2018" i="2" a="1"/>
  <c r="K2022" i="2" a="1"/>
  <c r="K2026" i="2" a="1"/>
  <c r="K2030" i="2" a="1"/>
  <c r="K2034" i="2" a="1"/>
  <c r="K2038" i="2" a="1"/>
  <c r="K2042" i="2" a="1"/>
  <c r="K2046" i="2" a="1"/>
  <c r="K2050" i="2" a="1"/>
  <c r="K2054" i="2" a="1"/>
  <c r="K2058" i="2" a="1"/>
  <c r="K2062" i="2" a="1"/>
  <c r="K2066" i="2" a="1"/>
  <c r="K2070" i="2" a="1"/>
  <c r="K2074" i="2" a="1"/>
  <c r="K2078" i="2" a="1"/>
  <c r="K2082" i="2" a="1"/>
  <c r="K2086" i="2" a="1"/>
  <c r="K2090" i="2" a="1"/>
  <c r="K2094" i="2" a="1"/>
  <c r="K2098" i="2" a="1"/>
  <c r="K2102" i="2" a="1"/>
  <c r="K2106" i="2" a="1"/>
  <c r="K2110" i="2" a="1"/>
  <c r="K2114" i="2" a="1"/>
  <c r="K2118" i="2" a="1"/>
  <c r="K2122" i="2" a="1"/>
  <c r="K2126" i="2" a="1"/>
  <c r="K2130" i="2" a="1"/>
  <c r="K2134" i="2" a="1"/>
  <c r="K2138" i="2" a="1"/>
  <c r="K2142" i="2" a="1"/>
  <c r="K2146" i="2" a="1"/>
  <c r="K2150" i="2" a="1"/>
  <c r="K2154" i="2" a="1"/>
  <c r="K2158" i="2" a="1"/>
  <c r="K2162" i="2" a="1"/>
  <c r="K2166" i="2" a="1"/>
  <c r="K2170" i="2" a="1"/>
  <c r="K2174" i="2" a="1"/>
  <c r="K2178" i="2" a="1"/>
  <c r="K2182" i="2" a="1"/>
  <c r="K2186" i="2" a="1"/>
  <c r="K2190" i="2" a="1"/>
  <c r="K2194" i="2" a="1"/>
  <c r="K2198" i="2" a="1"/>
  <c r="K2202" i="2" a="1"/>
  <c r="K2206" i="2" a="1"/>
  <c r="K2210" i="2" a="1"/>
  <c r="K1381" i="2" a="1"/>
  <c r="K1439" i="2" a="1"/>
  <c r="K1457" i="2" a="1"/>
  <c r="K1474" i="2" a="1"/>
  <c r="K1514" i="2" a="1"/>
  <c r="K1520" i="2" a="1"/>
  <c r="K1538" i="2" a="1"/>
  <c r="K1544" i="2" a="1"/>
  <c r="K1550" i="2" a="1"/>
  <c r="K1555" i="2" a="1"/>
  <c r="K1560" i="2" a="1"/>
  <c r="K1566" i="2" a="1"/>
  <c r="K1571" i="2" a="1"/>
  <c r="K1576" i="2" a="1"/>
  <c r="K1582" i="2" a="1"/>
  <c r="K1587" i="2" a="1"/>
  <c r="K1592" i="2" a="1"/>
  <c r="K1598" i="2" a="1"/>
  <c r="K1603" i="2" a="1"/>
  <c r="K1608" i="2" a="1"/>
  <c r="K1614" i="2" a="1"/>
  <c r="K1619" i="2" a="1"/>
  <c r="K1624" i="2" a="1"/>
  <c r="K1630" i="2" a="1"/>
  <c r="K1635" i="2" a="1"/>
  <c r="K1640" i="2" a="1"/>
  <c r="K1646" i="2" a="1"/>
  <c r="K1651" i="2" a="1"/>
  <c r="K1656" i="2" a="1"/>
  <c r="K1662" i="2" a="1"/>
  <c r="K1667" i="2" a="1"/>
  <c r="K1672" i="2" a="1"/>
  <c r="K1678" i="2" a="1"/>
  <c r="K1683" i="2" a="1"/>
  <c r="K1688" i="2" a="1"/>
  <c r="K1694" i="2" a="1"/>
  <c r="K1699" i="2" a="1"/>
  <c r="K1704" i="2" a="1"/>
  <c r="K1710" i="2" a="1"/>
  <c r="K1715" i="2" a="1"/>
  <c r="K1720" i="2" a="1"/>
  <c r="K1726" i="2" a="1"/>
  <c r="K1731" i="2" a="1"/>
  <c r="K1736" i="2" a="1"/>
  <c r="K1742" i="2" a="1"/>
  <c r="K1747" i="2" a="1"/>
  <c r="K1756" i="2" a="1"/>
  <c r="K1761" i="2" a="1"/>
  <c r="K1770" i="2" a="1"/>
  <c r="K1779" i="2" a="1"/>
  <c r="K1788" i="2" a="1"/>
  <c r="K1793" i="2" a="1"/>
  <c r="K1802" i="2" a="1"/>
  <c r="K1811" i="2" a="1"/>
  <c r="K1820" i="2" a="1"/>
  <c r="K1825" i="2" a="1"/>
  <c r="K1834" i="2" a="1"/>
  <c r="K1843" i="2" a="1"/>
  <c r="K1852" i="2" a="1"/>
  <c r="K1857" i="2" a="1"/>
  <c r="K1866" i="2" a="1"/>
  <c r="K1875" i="2" a="1"/>
  <c r="K1884" i="2" a="1"/>
  <c r="K1889" i="2" a="1"/>
  <c r="K1898" i="2" a="1"/>
  <c r="K1386" i="2" a="1"/>
  <c r="K1443" i="2" a="1"/>
  <c r="K1461" i="2" a="1"/>
  <c r="K1475" i="2" a="1"/>
  <c r="K1484" i="2" a="1"/>
  <c r="K1493" i="2" a="1"/>
  <c r="K1502" i="2" a="1"/>
  <c r="K1509" i="2" a="1"/>
  <c r="K1515" i="2" a="1"/>
  <c r="K1533" i="2" a="1"/>
  <c r="K1539" i="2" a="1"/>
  <c r="K1752" i="2" a="1"/>
  <c r="K1757" i="2" a="1"/>
  <c r="K1766" i="2" a="1"/>
  <c r="K1775" i="2" a="1"/>
  <c r="K1784" i="2" a="1"/>
  <c r="K1789" i="2" a="1"/>
  <c r="K1798" i="2" a="1"/>
  <c r="K1807" i="2" a="1"/>
  <c r="K1816" i="2" a="1"/>
  <c r="K1821" i="2" a="1"/>
  <c r="K1830" i="2" a="1"/>
  <c r="K1839" i="2" a="1"/>
  <c r="K1848" i="2" a="1"/>
  <c r="K1853" i="2" a="1"/>
  <c r="K1862" i="2" a="1"/>
  <c r="K1871" i="2" a="1"/>
  <c r="K1880" i="2" a="1"/>
  <c r="K1885" i="2" a="1"/>
  <c r="K1894" i="2" a="1"/>
  <c r="K1903" i="2" a="1"/>
  <c r="K1912" i="2" a="1"/>
  <c r="K1917" i="2" a="1"/>
  <c r="K1926" i="2" a="1"/>
  <c r="K1935" i="2" a="1"/>
  <c r="K1944" i="2" a="1"/>
  <c r="K1949" i="2" a="1"/>
  <c r="K1958" i="2" a="1"/>
  <c r="K1967" i="2" a="1"/>
  <c r="K1971" i="2" a="1"/>
  <c r="K1975" i="2" a="1"/>
  <c r="K1979" i="2" a="1"/>
  <c r="K1983" i="2" a="1"/>
  <c r="K1987" i="2" a="1"/>
  <c r="K1991" i="2" a="1"/>
  <c r="K1995" i="2" a="1"/>
  <c r="K1999" i="2" a="1"/>
  <c r="K2003" i="2" a="1"/>
  <c r="K1392" i="2" a="1"/>
  <c r="K1425" i="2" a="1"/>
  <c r="K1503" i="2" a="1"/>
  <c r="K1521" i="2" a="1"/>
  <c r="K1528" i="2" a="1"/>
  <c r="K1546" i="2" a="1"/>
  <c r="K1551" i="2" a="1"/>
  <c r="K1556" i="2" a="1"/>
  <c r="K1562" i="2" a="1"/>
  <c r="K1567" i="2" a="1"/>
  <c r="K1572" i="2" a="1"/>
  <c r="K1578" i="2" a="1"/>
  <c r="K1583" i="2" a="1"/>
  <c r="K1588" i="2" a="1"/>
  <c r="K1594" i="2" a="1"/>
  <c r="K1599" i="2" a="1"/>
  <c r="K1604" i="2" a="1"/>
  <c r="K1610" i="2" a="1"/>
  <c r="K1615" i="2" a="1"/>
  <c r="K1620" i="2" a="1"/>
  <c r="K1626" i="2" a="1"/>
  <c r="K1631" i="2" a="1"/>
  <c r="K1636" i="2" a="1"/>
  <c r="K1642" i="2" a="1"/>
  <c r="K1647" i="2" a="1"/>
  <c r="K1652" i="2" a="1"/>
  <c r="K1658" i="2" a="1"/>
  <c r="K1663" i="2" a="1"/>
  <c r="K1668" i="2" a="1"/>
  <c r="K1674" i="2" a="1"/>
  <c r="K1679" i="2" a="1"/>
  <c r="K1684" i="2" a="1"/>
  <c r="K1690" i="2" a="1"/>
  <c r="K1695" i="2" a="1"/>
  <c r="K1700" i="2" a="1"/>
  <c r="K1706" i="2" a="1"/>
  <c r="K1711" i="2" a="1"/>
  <c r="K1716" i="2" a="1"/>
  <c r="K1722" i="2" a="1"/>
  <c r="K1727" i="2" a="1"/>
  <c r="K1732" i="2" a="1"/>
  <c r="K1738" i="2" a="1"/>
  <c r="K1743" i="2" a="1"/>
  <c r="K1748" i="2" a="1"/>
  <c r="K1753" i="2" a="1"/>
  <c r="K1762" i="2" a="1"/>
  <c r="K1771" i="2" a="1"/>
  <c r="K1780" i="2" a="1"/>
  <c r="K1785" i="2" a="1"/>
  <c r="K1397" i="2" a="1"/>
  <c r="K1429" i="2" a="1"/>
  <c r="K1487" i="2" a="1"/>
  <c r="K1496" i="2" a="1"/>
  <c r="K1510" i="2" a="1"/>
  <c r="K1516" i="2" a="1"/>
  <c r="K1523" i="2" a="1"/>
  <c r="K1534" i="2" a="1"/>
  <c r="K1541" i="2" a="1"/>
  <c r="K1749" i="2" a="1"/>
  <c r="K1758" i="2" a="1"/>
  <c r="K1767" i="2" a="1"/>
  <c r="K1776" i="2" a="1"/>
  <c r="K1781" i="2" a="1"/>
  <c r="K1790" i="2" a="1"/>
  <c r="K1799" i="2" a="1"/>
  <c r="K1808" i="2" a="1"/>
  <c r="K1813" i="2" a="1"/>
  <c r="K1822" i="2" a="1"/>
  <c r="K1831" i="2" a="1"/>
  <c r="K1840" i="2" a="1"/>
  <c r="K1845" i="2" a="1"/>
  <c r="K1854" i="2" a="1"/>
  <c r="K1863" i="2" a="1"/>
  <c r="K1872" i="2" a="1"/>
  <c r="K1877" i="2" a="1"/>
  <c r="K1886" i="2" a="1"/>
  <c r="K1895" i="2" a="1"/>
  <c r="K1904" i="2" a="1"/>
  <c r="K1909" i="2" a="1"/>
  <c r="K1918" i="2" a="1"/>
  <c r="K1402" i="2" a="1"/>
  <c r="K1448" i="2" a="1"/>
  <c r="K1466" i="2" a="1"/>
  <c r="K1479" i="2" a="1"/>
  <c r="K1488" i="2" a="1"/>
  <c r="K1497" i="2" a="1"/>
  <c r="K1505" i="2" a="1"/>
  <c r="K1511" i="2" a="1"/>
  <c r="K1529" i="2" a="1"/>
  <c r="K1535" i="2" a="1"/>
  <c r="K1547" i="2" a="1"/>
  <c r="K1552" i="2" a="1"/>
  <c r="K1558" i="2" a="1"/>
  <c r="K1563" i="2" a="1"/>
  <c r="K1568" i="2" a="1"/>
  <c r="K1574" i="2" a="1"/>
  <c r="K1579" i="2" a="1"/>
  <c r="K1584" i="2" a="1"/>
  <c r="K1590" i="2" a="1"/>
  <c r="K1595" i="2" a="1"/>
  <c r="K1600" i="2" a="1"/>
  <c r="K1606" i="2" a="1"/>
  <c r="K1611" i="2" a="1"/>
  <c r="K1616" i="2" a="1"/>
  <c r="K1622" i="2" a="1"/>
  <c r="K1627" i="2" a="1"/>
  <c r="K1632" i="2" a="1"/>
  <c r="K1638" i="2" a="1"/>
  <c r="K1643" i="2" a="1"/>
  <c r="K1648" i="2" a="1"/>
  <c r="K1654" i="2" a="1"/>
  <c r="K1659" i="2" a="1"/>
  <c r="K1664" i="2" a="1"/>
  <c r="K1670" i="2" a="1"/>
  <c r="K1675" i="2" a="1"/>
  <c r="K1680" i="2" a="1"/>
  <c r="K1686" i="2" a="1"/>
  <c r="K1691" i="2" a="1"/>
  <c r="K1696" i="2" a="1"/>
  <c r="K1702" i="2" a="1"/>
  <c r="K1707" i="2" a="1"/>
  <c r="K1712" i="2" a="1"/>
  <c r="K1718" i="2" a="1"/>
  <c r="K1723" i="2" a="1"/>
  <c r="K1728" i="2" a="1"/>
  <c r="K1734" i="2" a="1"/>
  <c r="K1739" i="2" a="1"/>
  <c r="K1744" i="2" a="1"/>
  <c r="K1754" i="2" a="1"/>
  <c r="K1763" i="2" a="1"/>
  <c r="K1772" i="2" a="1"/>
  <c r="K1777" i="2" a="1"/>
  <c r="K1407" i="2" a="1"/>
  <c r="K1452" i="2" a="1"/>
  <c r="K1518" i="2" a="1"/>
  <c r="K1524" i="2" a="1"/>
  <c r="K1542" i="2" a="1"/>
  <c r="K1750" i="2" a="1"/>
  <c r="K1759" i="2" a="1"/>
  <c r="K1768" i="2" a="1"/>
  <c r="K1773" i="2" a="1"/>
  <c r="K1782" i="2" a="1"/>
  <c r="K1791" i="2" a="1"/>
  <c r="K1800" i="2" a="1"/>
  <c r="K1805" i="2" a="1"/>
  <c r="K1814" i="2" a="1"/>
  <c r="K1823" i="2" a="1"/>
  <c r="K1832" i="2" a="1"/>
  <c r="K1837" i="2" a="1"/>
  <c r="K1846" i="2" a="1"/>
  <c r="K1855" i="2" a="1"/>
  <c r="K1864" i="2" a="1"/>
  <c r="K1869" i="2" a="1"/>
  <c r="K1878" i="2" a="1"/>
  <c r="K1887" i="2" a="1"/>
  <c r="K1896" i="2" a="1"/>
  <c r="K1901" i="2" a="1"/>
  <c r="K1910" i="2" a="1"/>
  <c r="K1919" i="2" a="1"/>
  <c r="K1928" i="2" a="1"/>
  <c r="K1933" i="2" a="1"/>
  <c r="K1942" i="2" a="1"/>
  <c r="K1804" i="2" a="1"/>
  <c r="K1841" i="2" a="1"/>
  <c r="K1859" i="2" a="1"/>
  <c r="K1922" i="2" a="1"/>
  <c r="K1931" i="2" a="1"/>
  <c r="K1940" i="2" a="1"/>
  <c r="K1948" i="2" a="1"/>
  <c r="K1955" i="2" a="1"/>
  <c r="K1963" i="2" a="1"/>
  <c r="K1969" i="2" a="1"/>
  <c r="K1976" i="2" a="1"/>
  <c r="K2001" i="2" a="1"/>
  <c r="K2215" i="2" a="1"/>
  <c r="K2224" i="2" a="1"/>
  <c r="K2233" i="2" a="1"/>
  <c r="K2238" i="2" a="1"/>
  <c r="K2247" i="2" a="1"/>
  <c r="K2256" i="2" a="1"/>
  <c r="K2265" i="2" a="1"/>
  <c r="K2270" i="2" a="1"/>
  <c r="K2279" i="2" a="1"/>
  <c r="K2288" i="2" a="1"/>
  <c r="K2297" i="2" a="1"/>
  <c r="K2302" i="2" a="1"/>
  <c r="K2306" i="2" a="1"/>
  <c r="K2310" i="2" a="1"/>
  <c r="K2314" i="2" a="1"/>
  <c r="K2318" i="2" a="1"/>
  <c r="K2322" i="2" a="1"/>
  <c r="K2326" i="2" a="1"/>
  <c r="K2330" i="2" a="1"/>
  <c r="K2334" i="2" a="1"/>
  <c r="K2338" i="2" a="1"/>
  <c r="K2342" i="2" a="1"/>
  <c r="K2346" i="2" a="1"/>
  <c r="K2350" i="2" a="1"/>
  <c r="K2354" i="2" a="1"/>
  <c r="K2358" i="2" a="1"/>
  <c r="K2362" i="2" a="1"/>
  <c r="K2366" i="2" a="1"/>
  <c r="K2370" i="2" a="1"/>
  <c r="K2374" i="2" a="1"/>
  <c r="K2378" i="2" a="1"/>
  <c r="K2382" i="2" a="1"/>
  <c r="K2386" i="2" a="1"/>
  <c r="K2390" i="2" a="1"/>
  <c r="K2394" i="2" a="1"/>
  <c r="K2398" i="2" a="1"/>
  <c r="K2225" i="2" a="1"/>
  <c r="K2257" i="2" a="1"/>
  <c r="K2280" i="2" a="1"/>
  <c r="K2294" i="2" a="1"/>
  <c r="K2307" i="2" a="1"/>
  <c r="K2315" i="2" a="1"/>
  <c r="K2327" i="2" a="1"/>
  <c r="K2335" i="2" a="1"/>
  <c r="K2347" i="2" a="1"/>
  <c r="K2359" i="2" a="1"/>
  <c r="K2367" i="2" a="1"/>
  <c r="K2383" i="2" a="1"/>
  <c r="K2387" i="2" a="1"/>
  <c r="K2399" i="2" a="1"/>
  <c r="K2185" i="2" a="1"/>
  <c r="K2212" i="2" a="1"/>
  <c r="K2244" i="2" a="1"/>
  <c r="K2276" i="2" a="1"/>
  <c r="K2299" i="2" a="1"/>
  <c r="K2254" i="2" a="1"/>
  <c r="K2316" i="2" a="1"/>
  <c r="K2344" i="2" a="1"/>
  <c r="K2368" i="2" a="1"/>
  <c r="K2388" i="2" a="1"/>
  <c r="K2187" i="2" a="1"/>
  <c r="K2385" i="2" a="1"/>
  <c r="K1786" i="2" a="1"/>
  <c r="K1826" i="2" a="1"/>
  <c r="K1844" i="2" a="1"/>
  <c r="K1881" i="2" a="1"/>
  <c r="K1899" i="2" a="1"/>
  <c r="K1941" i="2" a="1"/>
  <c r="K1989" i="2" a="1"/>
  <c r="K1996" i="2" a="1"/>
  <c r="K2008" i="2" a="1"/>
  <c r="K2013" i="2" a="1"/>
  <c r="K2019" i="2" a="1"/>
  <c r="K2024" i="2" a="1"/>
  <c r="K2029" i="2" a="1"/>
  <c r="K2035" i="2" a="1"/>
  <c r="K2040" i="2" a="1"/>
  <c r="K2045" i="2" a="1"/>
  <c r="K2051" i="2" a="1"/>
  <c r="K2056" i="2" a="1"/>
  <c r="K2061" i="2" a="1"/>
  <c r="K2067" i="2" a="1"/>
  <c r="K2072" i="2" a="1"/>
  <c r="K2077" i="2" a="1"/>
  <c r="K2083" i="2" a="1"/>
  <c r="K2088" i="2" a="1"/>
  <c r="K2093" i="2" a="1"/>
  <c r="K2099" i="2" a="1"/>
  <c r="K2104" i="2" a="1"/>
  <c r="K2109" i="2" a="1"/>
  <c r="K2115" i="2" a="1"/>
  <c r="K2120" i="2" a="1"/>
  <c r="K2125" i="2" a="1"/>
  <c r="K2131" i="2" a="1"/>
  <c r="K2136" i="2" a="1"/>
  <c r="K2141" i="2" a="1"/>
  <c r="K2147" i="2" a="1"/>
  <c r="K2152" i="2" a="1"/>
  <c r="K2157" i="2" a="1"/>
  <c r="K2163" i="2" a="1"/>
  <c r="K2168" i="2" a="1"/>
  <c r="K2173" i="2" a="1"/>
  <c r="K2179" i="2" a="1"/>
  <c r="K2184" i="2" a="1"/>
  <c r="K2189" i="2" a="1"/>
  <c r="K2195" i="2" a="1"/>
  <c r="K2200" i="2" a="1"/>
  <c r="K2205" i="2" a="1"/>
  <c r="K2211" i="2" a="1"/>
  <c r="K2220" i="2" a="1"/>
  <c r="K2229" i="2" a="1"/>
  <c r="K2234" i="2" a="1"/>
  <c r="K2243" i="2" a="1"/>
  <c r="K2252" i="2" a="1"/>
  <c r="K2261" i="2" a="1"/>
  <c r="K2266" i="2" a="1"/>
  <c r="K2275" i="2" a="1"/>
  <c r="K2284" i="2" a="1"/>
  <c r="K2293" i="2" a="1"/>
  <c r="K2298" i="2" a="1"/>
  <c r="K2216" i="2" a="1"/>
  <c r="K2230" i="2" a="1"/>
  <c r="K2248" i="2" a="1"/>
  <c r="K2262" i="2" a="1"/>
  <c r="K2289" i="2" a="1"/>
  <c r="K2303" i="2" a="1"/>
  <c r="K2311" i="2" a="1"/>
  <c r="K2323" i="2" a="1"/>
  <c r="K2331" i="2" a="1"/>
  <c r="K2343" i="2" a="1"/>
  <c r="K2351" i="2" a="1"/>
  <c r="K2363" i="2" a="1"/>
  <c r="K2371" i="2" a="1"/>
  <c r="K2379" i="2" a="1"/>
  <c r="K2391" i="2" a="1"/>
  <c r="K2175" i="2" a="1"/>
  <c r="K2226" i="2" a="1"/>
  <c r="K2253" i="2" a="1"/>
  <c r="K2285" i="2" a="1"/>
  <c r="K2263" i="2" a="1"/>
  <c r="K2304" i="2" a="1"/>
  <c r="K2328" i="2" a="1"/>
  <c r="K2348" i="2" a="1"/>
  <c r="K2364" i="2" a="1"/>
  <c r="K2380" i="2" a="1"/>
  <c r="K2400" i="2" a="1"/>
  <c r="K2203" i="2" a="1"/>
  <c r="K2259" i="2" a="1"/>
  <c r="K2291" i="2" a="1"/>
  <c r="K2381" i="2" a="1"/>
  <c r="K1809" i="2" a="1"/>
  <c r="K1827" i="2" a="1"/>
  <c r="K1882" i="2" a="1"/>
  <c r="K1900" i="2" a="1"/>
  <c r="K1913" i="2" a="1"/>
  <c r="K1923" i="2" a="1"/>
  <c r="K1932" i="2" a="1"/>
  <c r="K1950" i="2" a="1"/>
  <c r="K1964" i="2" a="1"/>
  <c r="K1977" i="2" a="1"/>
  <c r="K1984" i="2" a="1"/>
  <c r="K2239" i="2" a="1"/>
  <c r="K2271" i="2" a="1"/>
  <c r="K2319" i="2" a="1"/>
  <c r="K2339" i="2" a="1"/>
  <c r="K2355" i="2" a="1"/>
  <c r="K2375" i="2" a="1"/>
  <c r="K2395" i="2" a="1"/>
  <c r="K2191" i="2" a="1"/>
  <c r="K2235" i="2" a="1"/>
  <c r="K2267" i="2" a="1"/>
  <c r="K2286" i="2" a="1"/>
  <c r="K2308" i="2" a="1"/>
  <c r="K2324" i="2" a="1"/>
  <c r="K2340" i="2" a="1"/>
  <c r="K2352" i="2" a="1"/>
  <c r="K2372" i="2" a="1"/>
  <c r="K2392" i="2" a="1"/>
  <c r="K2192" i="2" a="1"/>
  <c r="K2245" i="2" a="1"/>
  <c r="K2277" i="2" a="1"/>
  <c r="K2389" i="2" a="1"/>
  <c r="K1794" i="2" a="1"/>
  <c r="K1812" i="2" a="1"/>
  <c r="K1849" i="2" a="1"/>
  <c r="K1867" i="2" a="1"/>
  <c r="K1914" i="2" a="1"/>
  <c r="K1965" i="2" a="1"/>
  <c r="K1972" i="2" a="1"/>
  <c r="K1997" i="2" a="1"/>
  <c r="K2004" i="2" a="1"/>
  <c r="K2009" i="2" a="1"/>
  <c r="K2015" i="2" a="1"/>
  <c r="K2020" i="2" a="1"/>
  <c r="K2025" i="2" a="1"/>
  <c r="K2031" i="2" a="1"/>
  <c r="K2036" i="2" a="1"/>
  <c r="K2041" i="2" a="1"/>
  <c r="K2047" i="2" a="1"/>
  <c r="K2052" i="2" a="1"/>
  <c r="K2057" i="2" a="1"/>
  <c r="K2063" i="2" a="1"/>
  <c r="K2068" i="2" a="1"/>
  <c r="K2073" i="2" a="1"/>
  <c r="K2079" i="2" a="1"/>
  <c r="K2084" i="2" a="1"/>
  <c r="K2089" i="2" a="1"/>
  <c r="K2095" i="2" a="1"/>
  <c r="K2100" i="2" a="1"/>
  <c r="K2105" i="2" a="1"/>
  <c r="K2111" i="2" a="1"/>
  <c r="K2116" i="2" a="1"/>
  <c r="K2121" i="2" a="1"/>
  <c r="K2127" i="2" a="1"/>
  <c r="K2132" i="2" a="1"/>
  <c r="K2137" i="2" a="1"/>
  <c r="K2143" i="2" a="1"/>
  <c r="K2148" i="2" a="1"/>
  <c r="K2153" i="2" a="1"/>
  <c r="K2159" i="2" a="1"/>
  <c r="K2164" i="2" a="1"/>
  <c r="K2169" i="2" a="1"/>
  <c r="K2180" i="2" a="1"/>
  <c r="K2196" i="2" a="1"/>
  <c r="K2201" i="2" a="1"/>
  <c r="K2207" i="2" a="1"/>
  <c r="K2221" i="2" a="1"/>
  <c r="K2258" i="2" a="1"/>
  <c r="K2290" i="2" a="1"/>
  <c r="K2281" i="2" a="1"/>
  <c r="K2295" i="2" a="1"/>
  <c r="K2320" i="2" a="1"/>
  <c r="K2336" i="2" a="1"/>
  <c r="K2356" i="2" a="1"/>
  <c r="K2376" i="2" a="1"/>
  <c r="K2396" i="2" a="1"/>
  <c r="K2197" i="2" a="1"/>
  <c r="K2250" i="2" a="1"/>
  <c r="K2282" i="2" a="1"/>
  <c r="K2397" i="2" a="1"/>
  <c r="K1795" i="2" a="1"/>
  <c r="K1850" i="2" a="1"/>
  <c r="K1868" i="2" a="1"/>
  <c r="K1916" i="2" a="1"/>
  <c r="K1945" i="2" a="1"/>
  <c r="K1951" i="2" a="1"/>
  <c r="K1959" i="2" a="1"/>
  <c r="K1985" i="2" a="1"/>
  <c r="K1992" i="2" a="1"/>
  <c r="K2217" i="2" a="1"/>
  <c r="K2222" i="2" a="1"/>
  <c r="K2231" i="2" a="1"/>
  <c r="K2240" i="2" a="1"/>
  <c r="K2249" i="2" a="1"/>
  <c r="K2272" i="2" a="1"/>
  <c r="K2312" i="2" a="1"/>
  <c r="K2332" i="2" a="1"/>
  <c r="K2360" i="2" a="1"/>
  <c r="K2384" i="2" a="1"/>
  <c r="K2208" i="2" a="1"/>
  <c r="K2401" i="2" a="1"/>
  <c r="K1817" i="2" a="1"/>
  <c r="K1835" i="2" a="1"/>
  <c r="K1890" i="2" a="1"/>
  <c r="K1905" i="2" a="1"/>
  <c r="K1927" i="2" a="1"/>
  <c r="K1936" i="2" a="1"/>
  <c r="K1953" i="2" a="1"/>
  <c r="K1973" i="2" a="1"/>
  <c r="K1980" i="2" a="1"/>
  <c r="K2005" i="2" a="1"/>
  <c r="K2011" i="2" a="1"/>
  <c r="K2016" i="2" a="1"/>
  <c r="K2021" i="2" a="1"/>
  <c r="K2027" i="2" a="1"/>
  <c r="K2032" i="2" a="1"/>
  <c r="K2037" i="2" a="1"/>
  <c r="K2043" i="2" a="1"/>
  <c r="K2048" i="2" a="1"/>
  <c r="K2053" i="2" a="1"/>
  <c r="K2059" i="2" a="1"/>
  <c r="K2064" i="2" a="1"/>
  <c r="K2069" i="2" a="1"/>
  <c r="K2075" i="2" a="1"/>
  <c r="K2080" i="2" a="1"/>
  <c r="K2085" i="2" a="1"/>
  <c r="K2091" i="2" a="1"/>
  <c r="K2096" i="2" a="1"/>
  <c r="K2101" i="2" a="1"/>
  <c r="K2107" i="2" a="1"/>
  <c r="K2112" i="2" a="1"/>
  <c r="K2117" i="2" a="1"/>
  <c r="K2123" i="2" a="1"/>
  <c r="K2128" i="2" a="1"/>
  <c r="K2133" i="2" a="1"/>
  <c r="K2139" i="2" a="1"/>
  <c r="K2144" i="2" a="1"/>
  <c r="K2149" i="2" a="1"/>
  <c r="K2155" i="2" a="1"/>
  <c r="K2160" i="2" a="1"/>
  <c r="K2165" i="2" a="1"/>
  <c r="K2171" i="2" a="1"/>
  <c r="K2176" i="2" a="1"/>
  <c r="K2181" i="2" a="1"/>
  <c r="K2213" i="2" a="1"/>
  <c r="K2218" i="2" a="1"/>
  <c r="K2227" i="2" a="1"/>
  <c r="K2236" i="2" a="1"/>
  <c r="K2268" i="2" a="1"/>
  <c r="K2300" i="2" a="1"/>
  <c r="K1818" i="2" a="1"/>
  <c r="K1836" i="2" a="1"/>
  <c r="K1873" i="2" a="1"/>
  <c r="K1891" i="2" a="1"/>
  <c r="K1907" i="2" a="1"/>
  <c r="K1937" i="2" a="1"/>
  <c r="K1946" i="2" a="1"/>
  <c r="K1954" i="2" a="1"/>
  <c r="K1960" i="2" a="1"/>
  <c r="K1968" i="2" a="1"/>
  <c r="K1993" i="2" a="1"/>
  <c r="K2000" i="2" a="1"/>
  <c r="K2214" i="2" a="1"/>
  <c r="K2223" i="2" a="1"/>
  <c r="K2232" i="2" a="1"/>
  <c r="K2241" i="2" a="1"/>
  <c r="K2246" i="2" a="1"/>
  <c r="K2255" i="2" a="1"/>
  <c r="K2264" i="2" a="1"/>
  <c r="K2273" i="2" a="1"/>
  <c r="K2278" i="2" a="1"/>
  <c r="K2287" i="2" a="1"/>
  <c r="K2296" i="2" a="1"/>
  <c r="K2305" i="2" a="1"/>
  <c r="K2309" i="2" a="1"/>
  <c r="K2313" i="2" a="1"/>
  <c r="K2317" i="2" a="1"/>
  <c r="K2321" i="2" a="1"/>
  <c r="K2325" i="2" a="1"/>
  <c r="K2329" i="2" a="1"/>
  <c r="K2333" i="2" a="1"/>
  <c r="K2337" i="2" a="1"/>
  <c r="K2341" i="2" a="1"/>
  <c r="K2345" i="2" a="1"/>
  <c r="K2349" i="2" a="1"/>
  <c r="K2353" i="2" a="1"/>
  <c r="K2357" i="2" a="1"/>
  <c r="K2361" i="2" a="1"/>
  <c r="K2365" i="2" a="1"/>
  <c r="K2369" i="2" a="1"/>
  <c r="K2373" i="2" a="1"/>
  <c r="K2377" i="2" a="1"/>
  <c r="K2393" i="2" a="1"/>
  <c r="K1803" i="2" a="1"/>
  <c r="K1858" i="2" a="1"/>
  <c r="K1876" i="2" a="1"/>
  <c r="K1908" i="2" a="1"/>
  <c r="K1921" i="2" a="1"/>
  <c r="K1930" i="2" a="1"/>
  <c r="K1939" i="2" a="1"/>
  <c r="K1962" i="2" a="1"/>
  <c r="K1981" i="2" a="1"/>
  <c r="K1988" i="2" a="1"/>
  <c r="K2007" i="2" a="1"/>
  <c r="K2012" i="2" a="1"/>
  <c r="K2017" i="2" a="1"/>
  <c r="K2023" i="2" a="1"/>
  <c r="K2028" i="2" a="1"/>
  <c r="K2033" i="2" a="1"/>
  <c r="K2039" i="2" a="1"/>
  <c r="K2044" i="2" a="1"/>
  <c r="K2049" i="2" a="1"/>
  <c r="K2055" i="2" a="1"/>
  <c r="K2060" i="2" a="1"/>
  <c r="K2065" i="2" a="1"/>
  <c r="K2071" i="2" a="1"/>
  <c r="K2076" i="2" a="1"/>
  <c r="K2081" i="2" a="1"/>
  <c r="K2087" i="2" a="1"/>
  <c r="K2092" i="2" a="1"/>
  <c r="K2097" i="2" a="1"/>
  <c r="K2103" i="2" a="1"/>
  <c r="K2108" i="2" a="1"/>
  <c r="K2113" i="2" a="1"/>
  <c r="K2119" i="2" a="1"/>
  <c r="K2124" i="2" a="1"/>
  <c r="K2129" i="2" a="1"/>
  <c r="K2135" i="2" a="1"/>
  <c r="K2140" i="2" a="1"/>
  <c r="K2145" i="2" a="1"/>
  <c r="K2151" i="2" a="1"/>
  <c r="K2156" i="2" a="1"/>
  <c r="K2161" i="2" a="1"/>
  <c r="K2167" i="2" a="1"/>
  <c r="K2172" i="2" a="1"/>
  <c r="K2177" i="2" a="1"/>
  <c r="K2183" i="2" a="1"/>
  <c r="K2188" i="2" a="1"/>
  <c r="K2193" i="2" a="1"/>
  <c r="K2199" i="2" a="1"/>
  <c r="K2204" i="2" a="1"/>
  <c r="K2209" i="2" a="1"/>
  <c r="K2219" i="2" a="1"/>
  <c r="K2228" i="2" a="1"/>
  <c r="K2237" i="2" a="1"/>
  <c r="K2242" i="2" a="1"/>
  <c r="K2251" i="2" a="1"/>
  <c r="K2260" i="2" a="1"/>
  <c r="K2269" i="2" a="1"/>
  <c r="K2274" i="2" a="1"/>
  <c r="K2283" i="2" a="1"/>
  <c r="K2292" i="2" a="1"/>
  <c r="K2301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215" i="2" a="1"/>
  <c r="J48" i="2" a="1"/>
  <c r="J52" i="2" a="1"/>
  <c r="J56" i="2" a="1"/>
  <c r="J60" i="2" a="1"/>
  <c r="J49" i="2" a="1"/>
  <c r="J57" i="2" a="1"/>
  <c r="J64" i="2" a="1"/>
  <c r="J70" i="2" a="1"/>
  <c r="J77" i="2" a="1"/>
  <c r="J96" i="2" a="1"/>
  <c r="J102" i="2" a="1"/>
  <c r="J109" i="2" a="1"/>
  <c r="J128" i="2" a="1"/>
  <c r="J134" i="2" a="1"/>
  <c r="J65" i="2" a="1"/>
  <c r="J84" i="2" a="1"/>
  <c r="J90" i="2" a="1"/>
  <c r="J97" i="2" a="1"/>
  <c r="J116" i="2" a="1"/>
  <c r="J122" i="2" a="1"/>
  <c r="J129" i="2" a="1"/>
  <c r="J141" i="2" a="1"/>
  <c r="J146" i="2" a="1"/>
  <c r="J152" i="2" a="1"/>
  <c r="J157" i="2" a="1"/>
  <c r="J162" i="2" a="1"/>
  <c r="J168" i="2" a="1"/>
  <c r="J173" i="2" a="1"/>
  <c r="J178" i="2" a="1"/>
  <c r="J184" i="2" a="1"/>
  <c r="J189" i="2" a="1"/>
  <c r="J194" i="2" a="1"/>
  <c r="J200" i="2" a="1"/>
  <c r="J205" i="2" a="1"/>
  <c r="J210" i="2" a="1"/>
  <c r="J216" i="2" a="1"/>
  <c r="J225" i="2" a="1"/>
  <c r="J234" i="2" a="1"/>
  <c r="J243" i="2" a="1"/>
  <c r="J248" i="2" a="1"/>
  <c r="J257" i="2" a="1"/>
  <c r="J266" i="2" a="1"/>
  <c r="J275" i="2" a="1"/>
  <c r="J280" i="2" a="1"/>
  <c r="J289" i="2" a="1"/>
  <c r="J298" i="2" a="1"/>
  <c r="J307" i="2" a="1"/>
  <c r="J312" i="2" a="1"/>
  <c r="J321" i="2" a="1"/>
  <c r="J330" i="2" a="1"/>
  <c r="J339" i="2" a="1"/>
  <c r="J344" i="2" a="1"/>
  <c r="J353" i="2" a="1"/>
  <c r="J362" i="2" a="1"/>
  <c r="J371" i="2" a="1"/>
  <c r="J376" i="2" a="1"/>
  <c r="J385" i="2" a="1"/>
  <c r="J389" i="2" a="1"/>
  <c r="J393" i="2" a="1"/>
  <c r="J397" i="2" a="1"/>
  <c r="J401" i="2" a="1"/>
  <c r="J405" i="2" a="1"/>
  <c r="J409" i="2" a="1"/>
  <c r="J413" i="2" a="1"/>
  <c r="J417" i="2" a="1"/>
  <c r="J421" i="2" a="1"/>
  <c r="J425" i="2" a="1"/>
  <c r="J429" i="2" a="1"/>
  <c r="J433" i="2" a="1"/>
  <c r="J437" i="2" a="1"/>
  <c r="J441" i="2" a="1"/>
  <c r="J445" i="2" a="1"/>
  <c r="J449" i="2" a="1"/>
  <c r="J453" i="2" a="1"/>
  <c r="J457" i="2" a="1"/>
  <c r="J461" i="2" a="1"/>
  <c r="J50" i="2" a="1"/>
  <c r="J58" i="2" a="1"/>
  <c r="J72" i="2" a="1"/>
  <c r="J78" i="2" a="1"/>
  <c r="J85" i="2" a="1"/>
  <c r="J104" i="2" a="1"/>
  <c r="J110" i="2" a="1"/>
  <c r="J117" i="2" a="1"/>
  <c r="J136" i="2" a="1"/>
  <c r="J221" i="2" a="1"/>
  <c r="J230" i="2" a="1"/>
  <c r="J239" i="2" a="1"/>
  <c r="J244" i="2" a="1"/>
  <c r="J253" i="2" a="1"/>
  <c r="J262" i="2" a="1"/>
  <c r="J271" i="2" a="1"/>
  <c r="J276" i="2" a="1"/>
  <c r="J285" i="2" a="1"/>
  <c r="J294" i="2" a="1"/>
  <c r="J303" i="2" a="1"/>
  <c r="J308" i="2" a="1"/>
  <c r="J317" i="2" a="1"/>
  <c r="J326" i="2" a="1"/>
  <c r="J335" i="2" a="1"/>
  <c r="J340" i="2" a="1"/>
  <c r="J349" i="2" a="1"/>
  <c r="J358" i="2" a="1"/>
  <c r="J367" i="2" a="1"/>
  <c r="J372" i="2" a="1"/>
  <c r="J381" i="2" a="1"/>
  <c r="J66" i="2" a="1"/>
  <c r="J53" i="2" a="1"/>
  <c r="J61" i="2" a="1"/>
  <c r="J80" i="2" a="1"/>
  <c r="J86" i="2" a="1"/>
  <c r="J93" i="2" a="1"/>
  <c r="J112" i="2" a="1"/>
  <c r="J118" i="2" a="1"/>
  <c r="J125" i="2" a="1"/>
  <c r="J68" i="2" a="1"/>
  <c r="J74" i="2" a="1"/>
  <c r="J81" i="2" a="1"/>
  <c r="J54" i="2" a="1"/>
  <c r="J62" i="2" a="1"/>
  <c r="J69" i="2" a="1"/>
  <c r="J88" i="2" a="1"/>
  <c r="J94" i="2" a="1"/>
  <c r="J101" i="2" a="1"/>
  <c r="J120" i="2" a="1"/>
  <c r="J126" i="2" a="1"/>
  <c r="J133" i="2" a="1"/>
  <c r="J89" i="2" a="1"/>
  <c r="J108" i="2" a="1"/>
  <c r="J138" i="2" a="1"/>
  <c r="J149" i="2" a="1"/>
  <c r="J222" i="2" a="1"/>
  <c r="J228" i="2" a="1"/>
  <c r="J246" i="2" a="1"/>
  <c r="J252" i="2" a="1"/>
  <c r="J270" i="2" a="1"/>
  <c r="J277" i="2" a="1"/>
  <c r="J295" i="2" a="1"/>
  <c r="J301" i="2" a="1"/>
  <c r="J319" i="2" a="1"/>
  <c r="J325" i="2" a="1"/>
  <c r="J332" i="2" a="1"/>
  <c r="J343" i="2" a="1"/>
  <c r="J350" i="2" a="1"/>
  <c r="J356" i="2" a="1"/>
  <c r="J374" i="2" a="1"/>
  <c r="J380" i="2" a="1"/>
  <c r="J466" i="2" a="1"/>
  <c r="J475" i="2" a="1"/>
  <c r="J484" i="2" a="1"/>
  <c r="J493" i="2" a="1"/>
  <c r="J498" i="2" a="1"/>
  <c r="J92" i="2" a="1"/>
  <c r="J140" i="2" a="1"/>
  <c r="J150" i="2" a="1"/>
  <c r="J160" i="2" a="1"/>
  <c r="J166" i="2" a="1"/>
  <c r="J174" i="2" a="1"/>
  <c r="J181" i="2" a="1"/>
  <c r="J188" i="2" a="1"/>
  <c r="J196" i="2" a="1"/>
  <c r="J202" i="2" a="1"/>
  <c r="J209" i="2" a="1"/>
  <c r="J217" i="2" a="1"/>
  <c r="J235" i="2" a="1"/>
  <c r="J241" i="2" a="1"/>
  <c r="J259" i="2" a="1"/>
  <c r="J265" i="2" a="1"/>
  <c r="J272" i="2" a="1"/>
  <c r="J283" i="2" a="1"/>
  <c r="J290" i="2" a="1"/>
  <c r="J296" i="2" a="1"/>
  <c r="J314" i="2" a="1"/>
  <c r="J320" i="2" a="1"/>
  <c r="J338" i="2" a="1"/>
  <c r="J345" i="2" a="1"/>
  <c r="J363" i="2" a="1"/>
  <c r="J369" i="2" a="1"/>
  <c r="J387" i="2" a="1"/>
  <c r="J392" i="2" a="1"/>
  <c r="J113" i="2" a="1"/>
  <c r="J130" i="2" a="1"/>
  <c r="J142" i="2" a="1"/>
  <c r="J153" i="2" a="1"/>
  <c r="J223" i="2" a="1"/>
  <c r="J229" i="2" a="1"/>
  <c r="J236" i="2" a="1"/>
  <c r="J247" i="2" a="1"/>
  <c r="J254" i="2" a="1"/>
  <c r="J260" i="2" a="1"/>
  <c r="J278" i="2" a="1"/>
  <c r="J284" i="2" a="1"/>
  <c r="J302" i="2" a="1"/>
  <c r="J309" i="2" a="1"/>
  <c r="J73" i="2" a="1"/>
  <c r="J98" i="2" a="1"/>
  <c r="J114" i="2" a="1"/>
  <c r="J161" i="2" a="1"/>
  <c r="J169" i="2" a="1"/>
  <c r="J176" i="2" a="1"/>
  <c r="J182" i="2" a="1"/>
  <c r="J190" i="2" a="1"/>
  <c r="J197" i="2" a="1"/>
  <c r="J204" i="2" a="1"/>
  <c r="J212" i="2" a="1"/>
  <c r="J218" i="2" a="1"/>
  <c r="J224" i="2" a="1"/>
  <c r="J242" i="2" a="1"/>
  <c r="J249" i="2" a="1"/>
  <c r="J267" i="2" a="1"/>
  <c r="J273" i="2" a="1"/>
  <c r="J291" i="2" a="1"/>
  <c r="J76" i="2" a="1"/>
  <c r="J100" i="2" a="1"/>
  <c r="J132" i="2" a="1"/>
  <c r="J144" i="2" a="1"/>
  <c r="J154" i="2" a="1"/>
  <c r="J231" i="2" a="1"/>
  <c r="J237" i="2" a="1"/>
  <c r="J255" i="2" a="1"/>
  <c r="J82" i="2" a="1"/>
  <c r="J137" i="2" a="1"/>
  <c r="J164" i="2" a="1"/>
  <c r="J180" i="2" a="1"/>
  <c r="J219" i="2" a="1"/>
  <c r="J233" i="2" a="1"/>
  <c r="J264" i="2" a="1"/>
  <c r="J288" i="2" a="1"/>
  <c r="J300" i="2" a="1"/>
  <c r="J310" i="2" a="1"/>
  <c r="J399" i="2" a="1"/>
  <c r="J411" i="2" a="1"/>
  <c r="J423" i="2" a="1"/>
  <c r="J430" i="2" a="1"/>
  <c r="J442" i="2" a="1"/>
  <c r="J454" i="2" a="1"/>
  <c r="J465" i="2" a="1"/>
  <c r="J471" i="2" a="1"/>
  <c r="J476" i="2" a="1"/>
  <c r="J481" i="2" a="1"/>
  <c r="J502" i="2" a="1"/>
  <c r="J507" i="2" a="1"/>
  <c r="J516" i="2" a="1"/>
  <c r="J525" i="2" a="1"/>
  <c r="J534" i="2" a="1"/>
  <c r="J539" i="2" a="1"/>
  <c r="J548" i="2" a="1"/>
  <c r="J557" i="2" a="1"/>
  <c r="J566" i="2" a="1"/>
  <c r="J571" i="2" a="1"/>
  <c r="J580" i="2" a="1"/>
  <c r="J589" i="2" a="1"/>
  <c r="J598" i="2" a="1"/>
  <c r="J603" i="2" a="1"/>
  <c r="J612" i="2" a="1"/>
  <c r="J616" i="2" a="1"/>
  <c r="J620" i="2" a="1"/>
  <c r="J624" i="2" a="1"/>
  <c r="J628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680" i="2" a="1"/>
  <c r="J684" i="2" a="1"/>
  <c r="J688" i="2" a="1"/>
  <c r="J692" i="2" a="1"/>
  <c r="J696" i="2" a="1"/>
  <c r="J700" i="2" a="1"/>
  <c r="J704" i="2" a="1"/>
  <c r="J708" i="2" a="1"/>
  <c r="J712" i="2" a="1"/>
  <c r="J716" i="2" a="1"/>
  <c r="J720" i="2" a="1"/>
  <c r="J185" i="2" a="1"/>
  <c r="J201" i="2" a="1"/>
  <c r="J220" i="2" a="1"/>
  <c r="J251" i="2" a="1"/>
  <c r="J268" i="2" a="1"/>
  <c r="J279" i="2" a="1"/>
  <c r="J292" i="2" a="1"/>
  <c r="J322" i="2" a="1"/>
  <c r="J329" i="2" a="1"/>
  <c r="J337" i="2" a="1"/>
  <c r="J346" i="2" a="1"/>
  <c r="J354" i="2" a="1"/>
  <c r="J361" i="2" a="1"/>
  <c r="J370" i="2" a="1"/>
  <c r="J378" i="2" a="1"/>
  <c r="J386" i="2" a="1"/>
  <c r="J394" i="2" a="1"/>
  <c r="J406" i="2" a="1"/>
  <c r="J418" i="2" a="1"/>
  <c r="J424" i="2" a="1"/>
  <c r="J436" i="2" a="1"/>
  <c r="J448" i="2" a="1"/>
  <c r="J460" i="2" a="1"/>
  <c r="J482" i="2" a="1"/>
  <c r="J487" i="2" a="1"/>
  <c r="J492" i="2" a="1"/>
  <c r="J497" i="2" a="1"/>
  <c r="J503" i="2" a="1"/>
  <c r="J512" i="2" a="1"/>
  <c r="J521" i="2" a="1"/>
  <c r="J530" i="2" a="1"/>
  <c r="J535" i="2" a="1"/>
  <c r="J544" i="2" a="1"/>
  <c r="J553" i="2" a="1"/>
  <c r="J562" i="2" a="1"/>
  <c r="J567" i="2" a="1"/>
  <c r="J576" i="2" a="1"/>
  <c r="J585" i="2" a="1"/>
  <c r="J594" i="2" a="1"/>
  <c r="J599" i="2" a="1"/>
  <c r="J608" i="2" a="1"/>
  <c r="J105" i="2" a="1"/>
  <c r="J145" i="2" a="1"/>
  <c r="J165" i="2" a="1"/>
  <c r="J206" i="2" a="1"/>
  <c r="J238" i="2" a="1"/>
  <c r="J256" i="2" a="1"/>
  <c r="J281" i="2" a="1"/>
  <c r="J304" i="2" a="1"/>
  <c r="J311" i="2" a="1"/>
  <c r="J364" i="2" a="1"/>
  <c r="J400" i="2" a="1"/>
  <c r="J412" i="2" a="1"/>
  <c r="J419" i="2" a="1"/>
  <c r="J431" i="2" a="1"/>
  <c r="J443" i="2" a="1"/>
  <c r="J455" i="2" a="1"/>
  <c r="J462" i="2" a="1"/>
  <c r="J467" i="2" a="1"/>
  <c r="J472" i="2" a="1"/>
  <c r="J477" i="2" a="1"/>
  <c r="J508" i="2" a="1"/>
  <c r="J517" i="2" a="1"/>
  <c r="J526" i="2" a="1"/>
  <c r="J531" i="2" a="1"/>
  <c r="J540" i="2" a="1"/>
  <c r="J549" i="2" a="1"/>
  <c r="J558" i="2" a="1"/>
  <c r="J563" i="2" a="1"/>
  <c r="J572" i="2" a="1"/>
  <c r="J581" i="2" a="1"/>
  <c r="J590" i="2" a="1"/>
  <c r="J595" i="2" a="1"/>
  <c r="J604" i="2" a="1"/>
  <c r="J613" i="2" a="1"/>
  <c r="J617" i="2" a="1"/>
  <c r="J621" i="2" a="1"/>
  <c r="J625" i="2" a="1"/>
  <c r="J629" i="2" a="1"/>
  <c r="J633" i="2" a="1"/>
  <c r="J637" i="2" a="1"/>
  <c r="J641" i="2" a="1"/>
  <c r="J645" i="2" a="1"/>
  <c r="J649" i="2" a="1"/>
  <c r="J653" i="2" a="1"/>
  <c r="J657" i="2" a="1"/>
  <c r="J661" i="2" a="1"/>
  <c r="J665" i="2" a="1"/>
  <c r="J669" i="2" a="1"/>
  <c r="J673" i="2" a="1"/>
  <c r="J677" i="2" a="1"/>
  <c r="J681" i="2" a="1"/>
  <c r="J685" i="2" a="1"/>
  <c r="J689" i="2" a="1"/>
  <c r="J693" i="2" a="1"/>
  <c r="J697" i="2" a="1"/>
  <c r="J701" i="2" a="1"/>
  <c r="J705" i="2" a="1"/>
  <c r="J709" i="2" a="1"/>
  <c r="J713" i="2" a="1"/>
  <c r="J717" i="2" a="1"/>
  <c r="J721" i="2" a="1"/>
  <c r="J725" i="2" a="1"/>
  <c r="J106" i="2" a="1"/>
  <c r="J148" i="2" a="1"/>
  <c r="J170" i="2" a="1"/>
  <c r="J186" i="2" a="1"/>
  <c r="J226" i="2" a="1"/>
  <c r="J240" i="2" a="1"/>
  <c r="J269" i="2" a="1"/>
  <c r="J293" i="2" a="1"/>
  <c r="J313" i="2" a="1"/>
  <c r="J323" i="2" a="1"/>
  <c r="J331" i="2" a="1"/>
  <c r="J347" i="2" a="1"/>
  <c r="J355" i="2" a="1"/>
  <c r="J379" i="2" a="1"/>
  <c r="J388" i="2" a="1"/>
  <c r="J395" i="2" a="1"/>
  <c r="J407" i="2" a="1"/>
  <c r="J414" i="2" a="1"/>
  <c r="J426" i="2" a="1"/>
  <c r="J438" i="2" a="1"/>
  <c r="J450" i="2" a="1"/>
  <c r="J456" i="2" a="1"/>
  <c r="J478" i="2" a="1"/>
  <c r="J483" i="2" a="1"/>
  <c r="J488" i="2" a="1"/>
  <c r="J494" i="2" a="1"/>
  <c r="J499" i="2" a="1"/>
  <c r="J504" i="2" a="1"/>
  <c r="J513" i="2" a="1"/>
  <c r="J522" i="2" a="1"/>
  <c r="J527" i="2" a="1"/>
  <c r="J536" i="2" a="1"/>
  <c r="J545" i="2" a="1"/>
  <c r="J554" i="2" a="1"/>
  <c r="J559" i="2" a="1"/>
  <c r="J568" i="2" a="1"/>
  <c r="J577" i="2" a="1"/>
  <c r="J586" i="2" a="1"/>
  <c r="J591" i="2" a="1"/>
  <c r="J600" i="2" a="1"/>
  <c r="J609" i="2" a="1"/>
  <c r="J192" i="2" a="1"/>
  <c r="J208" i="2" a="1"/>
  <c r="J258" i="2" a="1"/>
  <c r="J282" i="2" a="1"/>
  <c r="J305" i="2" a="1"/>
  <c r="J315" i="2" a="1"/>
  <c r="J324" i="2" a="1"/>
  <c r="J333" i="2" a="1"/>
  <c r="J341" i="2" a="1"/>
  <c r="J348" i="2" a="1"/>
  <c r="J357" i="2" a="1"/>
  <c r="J365" i="2" a="1"/>
  <c r="J373" i="2" a="1"/>
  <c r="J382" i="2" a="1"/>
  <c r="J402" i="2" a="1"/>
  <c r="J408" i="2" a="1"/>
  <c r="J420" i="2" a="1"/>
  <c r="J432" i="2" a="1"/>
  <c r="J444" i="2" a="1"/>
  <c r="J451" i="2" a="1"/>
  <c r="J463" i="2" a="1"/>
  <c r="J468" i="2" a="1"/>
  <c r="J473" i="2" a="1"/>
  <c r="J489" i="2" a="1"/>
  <c r="J509" i="2" a="1"/>
  <c r="J518" i="2" a="1"/>
  <c r="J523" i="2" a="1"/>
  <c r="J532" i="2" a="1"/>
  <c r="J541" i="2" a="1"/>
  <c r="J550" i="2" a="1"/>
  <c r="J555" i="2" a="1"/>
  <c r="J564" i="2" a="1"/>
  <c r="J573" i="2" a="1"/>
  <c r="J582" i="2" a="1"/>
  <c r="J587" i="2" a="1"/>
  <c r="J596" i="2" a="1"/>
  <c r="J605" i="2" a="1"/>
  <c r="J614" i="2" a="1"/>
  <c r="J618" i="2" a="1"/>
  <c r="J622" i="2" a="1"/>
  <c r="J626" i="2" a="1"/>
  <c r="J630" i="2" a="1"/>
  <c r="J634" i="2" a="1"/>
  <c r="J638" i="2" a="1"/>
  <c r="J642" i="2" a="1"/>
  <c r="J646" i="2" a="1"/>
  <c r="J650" i="2" a="1"/>
  <c r="J654" i="2" a="1"/>
  <c r="J658" i="2" a="1"/>
  <c r="J662" i="2" a="1"/>
  <c r="J666" i="2" a="1"/>
  <c r="J670" i="2" a="1"/>
  <c r="J674" i="2" a="1"/>
  <c r="J678" i="2" a="1"/>
  <c r="J682" i="2" a="1"/>
  <c r="J686" i="2" a="1"/>
  <c r="J690" i="2" a="1"/>
  <c r="J694" i="2" a="1"/>
  <c r="J698" i="2" a="1"/>
  <c r="J702" i="2" a="1"/>
  <c r="J706" i="2" a="1"/>
  <c r="J710" i="2" a="1"/>
  <c r="J714" i="2" a="1"/>
  <c r="J121" i="2" a="1"/>
  <c r="J156" i="2" a="1"/>
  <c r="J172" i="2" a="1"/>
  <c r="J213" i="2" a="1"/>
  <c r="J227" i="2" a="1"/>
  <c r="J245" i="2" a="1"/>
  <c r="J261" i="2" a="1"/>
  <c r="J286" i="2" a="1"/>
  <c r="J297" i="2" a="1"/>
  <c r="J316" i="2" a="1"/>
  <c r="J390" i="2" a="1"/>
  <c r="J396" i="2" a="1"/>
  <c r="J403" i="2" a="1"/>
  <c r="J415" i="2" a="1"/>
  <c r="J427" i="2" a="1"/>
  <c r="J439" i="2" a="1"/>
  <c r="J446" i="2" a="1"/>
  <c r="J458" i="2" a="1"/>
  <c r="J474" i="2" a="1"/>
  <c r="J479" i="2" a="1"/>
  <c r="J490" i="2" a="1"/>
  <c r="J495" i="2" a="1"/>
  <c r="J500" i="2" a="1"/>
  <c r="J505" i="2" a="1"/>
  <c r="J514" i="2" a="1"/>
  <c r="J519" i="2" a="1"/>
  <c r="J528" i="2" a="1"/>
  <c r="J537" i="2" a="1"/>
  <c r="J546" i="2" a="1"/>
  <c r="J551" i="2" a="1"/>
  <c r="J124" i="2" a="1"/>
  <c r="J177" i="2" a="1"/>
  <c r="J193" i="2" a="1"/>
  <c r="J232" i="2" a="1"/>
  <c r="J274" i="2" a="1"/>
  <c r="J306" i="2" a="1"/>
  <c r="J327" i="2" a="1"/>
  <c r="J334" i="2" a="1"/>
  <c r="J342" i="2" a="1"/>
  <c r="J351" i="2" a="1"/>
  <c r="J359" i="2" a="1"/>
  <c r="J366" i="2" a="1"/>
  <c r="J375" i="2" a="1"/>
  <c r="J383" i="2" a="1"/>
  <c r="J398" i="2" a="1"/>
  <c r="J410" i="2" a="1"/>
  <c r="J422" i="2" a="1"/>
  <c r="J434" i="2" a="1"/>
  <c r="J440" i="2" a="1"/>
  <c r="J452" i="2" a="1"/>
  <c r="J464" i="2" a="1"/>
  <c r="J469" i="2" a="1"/>
  <c r="J480" i="2" a="1"/>
  <c r="J485" i="2" a="1"/>
  <c r="J510" i="2" a="1"/>
  <c r="J515" i="2" a="1"/>
  <c r="J524" i="2" a="1"/>
  <c r="J533" i="2" a="1"/>
  <c r="J542" i="2" a="1"/>
  <c r="J547" i="2" a="1"/>
  <c r="J556" i="2" a="1"/>
  <c r="J352" i="2" a="1"/>
  <c r="J459" i="2" a="1"/>
  <c r="J501" i="2" a="1"/>
  <c r="J538" i="2" a="1"/>
  <c r="J561" i="2" a="1"/>
  <c r="J574" i="2" a="1"/>
  <c r="J611" i="2" a="1"/>
  <c r="J643" i="2" a="1"/>
  <c r="J675" i="2" a="1"/>
  <c r="J707" i="2" a="1"/>
  <c r="J718" i="2" a="1"/>
  <c r="J724" i="2" a="1"/>
  <c r="J741" i="2" a="1"/>
  <c r="J751" i="2" a="1"/>
  <c r="J755" i="2" a="1"/>
  <c r="J759" i="2" a="1"/>
  <c r="J763" i="2" a="1"/>
  <c r="J767" i="2" a="1"/>
  <c r="J771" i="2" a="1"/>
  <c r="J775" i="2" a="1"/>
  <c r="J779" i="2" a="1"/>
  <c r="J783" i="2" a="1"/>
  <c r="J787" i="2" a="1"/>
  <c r="J791" i="2" a="1"/>
  <c r="J795" i="2" a="1"/>
  <c r="J799" i="2" a="1"/>
  <c r="J803" i="2" a="1"/>
  <c r="J807" i="2" a="1"/>
  <c r="J811" i="2" a="1"/>
  <c r="J815" i="2" a="1"/>
  <c r="J819" i="2" a="1"/>
  <c r="J823" i="2" a="1"/>
  <c r="J827" i="2" a="1"/>
  <c r="J831" i="2" a="1"/>
  <c r="J835" i="2" a="1"/>
  <c r="J839" i="2" a="1"/>
  <c r="J843" i="2" a="1"/>
  <c r="J847" i="2" a="1"/>
  <c r="J851" i="2" a="1"/>
  <c r="J855" i="2" a="1"/>
  <c r="J859" i="2" a="1"/>
  <c r="J158" i="2" a="1"/>
  <c r="J287" i="2" a="1"/>
  <c r="J360" i="2" a="1"/>
  <c r="J416" i="2" a="1"/>
  <c r="J506" i="2" a="1"/>
  <c r="J543" i="2" a="1"/>
  <c r="J575" i="2" a="1"/>
  <c r="J588" i="2" a="1"/>
  <c r="J601" i="2" a="1"/>
  <c r="J623" i="2" a="1"/>
  <c r="J655" i="2" a="1"/>
  <c r="J687" i="2" a="1"/>
  <c r="J726" i="2" a="1"/>
  <c r="J731" i="2" a="1"/>
  <c r="J736" i="2" a="1"/>
  <c r="J742" i="2" a="1"/>
  <c r="J747" i="2" a="1"/>
  <c r="J299" i="2" a="1"/>
  <c r="J368" i="2" a="1"/>
  <c r="J470" i="2" a="1"/>
  <c r="J511" i="2" a="1"/>
  <c r="J565" i="2" a="1"/>
  <c r="J578" i="2" a="1"/>
  <c r="J635" i="2" a="1"/>
  <c r="J667" i="2" a="1"/>
  <c r="J699" i="2" a="1"/>
  <c r="J719" i="2" a="1"/>
  <c r="J737" i="2" a="1"/>
  <c r="J752" i="2" a="1"/>
  <c r="J756" i="2" a="1"/>
  <c r="J760" i="2" a="1"/>
  <c r="J764" i="2" a="1"/>
  <c r="J768" i="2" a="1"/>
  <c r="J772" i="2" a="1"/>
  <c r="J776" i="2" a="1"/>
  <c r="J780" i="2" a="1"/>
  <c r="J784" i="2" a="1"/>
  <c r="J788" i="2" a="1"/>
  <c r="J792" i="2" a="1"/>
  <c r="J796" i="2" a="1"/>
  <c r="J800" i="2" a="1"/>
  <c r="J804" i="2" a="1"/>
  <c r="J808" i="2" a="1"/>
  <c r="J812" i="2" a="1"/>
  <c r="J816" i="2" a="1"/>
  <c r="J820" i="2" a="1"/>
  <c r="J824" i="2" a="1"/>
  <c r="J828" i="2" a="1"/>
  <c r="J832" i="2" a="1"/>
  <c r="J836" i="2" a="1"/>
  <c r="J840" i="2" a="1"/>
  <c r="J844" i="2" a="1"/>
  <c r="J848" i="2" a="1"/>
  <c r="J852" i="2" a="1"/>
  <c r="J856" i="2" a="1"/>
  <c r="J860" i="2" a="1"/>
  <c r="J864" i="2" a="1"/>
  <c r="J868" i="2" a="1"/>
  <c r="J872" i="2" a="1"/>
  <c r="J876" i="2" a="1"/>
  <c r="J198" i="2" a="1"/>
  <c r="J377" i="2" a="1"/>
  <c r="J428" i="2" a="1"/>
  <c r="J552" i="2" a="1"/>
  <c r="J579" i="2" a="1"/>
  <c r="J592" i="2" a="1"/>
  <c r="J602" i="2" a="1"/>
  <c r="J615" i="2" a="1"/>
  <c r="J647" i="2" a="1"/>
  <c r="J679" i="2" a="1"/>
  <c r="J711" i="2" a="1"/>
  <c r="J727" i="2" a="1"/>
  <c r="J732" i="2" a="1"/>
  <c r="J738" i="2" a="1"/>
  <c r="J743" i="2" a="1"/>
  <c r="J748" i="2" a="1"/>
  <c r="J214" i="2" a="1"/>
  <c r="J318" i="2" a="1"/>
  <c r="J384" i="2" a="1"/>
  <c r="J435" i="2" a="1"/>
  <c r="J520" i="2" a="1"/>
  <c r="J569" i="2" a="1"/>
  <c r="J627" i="2" a="1"/>
  <c r="J659" i="2" a="1"/>
  <c r="J691" i="2" a="1"/>
  <c r="J722" i="2" a="1"/>
  <c r="J328" i="2" a="1"/>
  <c r="J391" i="2" a="1"/>
  <c r="J486" i="2" a="1"/>
  <c r="J583" i="2" a="1"/>
  <c r="J593" i="2" a="1"/>
  <c r="J606" i="2" a="1"/>
  <c r="J639" i="2" a="1"/>
  <c r="J671" i="2" a="1"/>
  <c r="J703" i="2" a="1"/>
  <c r="J728" i="2" a="1"/>
  <c r="J734" i="2" a="1"/>
  <c r="J739" i="2" a="1"/>
  <c r="J744" i="2" a="1"/>
  <c r="J250" i="2" a="1"/>
  <c r="J336" i="2" a="1"/>
  <c r="J447" i="2" a="1"/>
  <c r="J491" i="2" a="1"/>
  <c r="J529" i="2" a="1"/>
  <c r="J560" i="2" a="1"/>
  <c r="J570" i="2" a="1"/>
  <c r="J607" i="2" a="1"/>
  <c r="J619" i="2" a="1"/>
  <c r="J651" i="2" a="1"/>
  <c r="J683" i="2" a="1"/>
  <c r="J715" i="2" a="1"/>
  <c r="J723" i="2" a="1"/>
  <c r="J263" i="2" a="1"/>
  <c r="J584" i="2" a="1"/>
  <c r="J733" i="2" a="1"/>
  <c r="J746" i="2" a="1"/>
  <c r="J758" i="2" a="1"/>
  <c r="J769" i="2" a="1"/>
  <c r="J790" i="2" a="1"/>
  <c r="J801" i="2" a="1"/>
  <c r="J822" i="2" a="1"/>
  <c r="J833" i="2" a="1"/>
  <c r="J854" i="2" a="1"/>
  <c r="J863" i="2" a="1"/>
  <c r="J871" i="2" a="1"/>
  <c r="J879" i="2" a="1"/>
  <c r="J886" i="2" a="1"/>
  <c r="J892" i="2" a="1"/>
  <c r="J905" i="2" a="1"/>
  <c r="J911" i="2" a="1"/>
  <c r="J918" i="2" a="1"/>
  <c r="J924" i="2" a="1"/>
  <c r="J937" i="2" a="1"/>
  <c r="J943" i="2" a="1"/>
  <c r="J950" i="2" a="1"/>
  <c r="J956" i="2" a="1"/>
  <c r="J969" i="2" a="1"/>
  <c r="J975" i="2" a="1"/>
  <c r="J982" i="2" a="1"/>
  <c r="J988" i="2" a="1"/>
  <c r="J1000" i="2" a="1"/>
  <c r="J597" i="2" a="1"/>
  <c r="J749" i="2" a="1"/>
  <c r="J770" i="2" a="1"/>
  <c r="J781" i="2" a="1"/>
  <c r="J802" i="2" a="1"/>
  <c r="J813" i="2" a="1"/>
  <c r="J834" i="2" a="1"/>
  <c r="J845" i="2" a="1"/>
  <c r="J865" i="2" a="1"/>
  <c r="J873" i="2" a="1"/>
  <c r="J880" i="2" a="1"/>
  <c r="J893" i="2" a="1"/>
  <c r="J899" i="2" a="1"/>
  <c r="J906" i="2" a="1"/>
  <c r="J912" i="2" a="1"/>
  <c r="J925" i="2" a="1"/>
  <c r="J931" i="2" a="1"/>
  <c r="J938" i="2" a="1"/>
  <c r="J944" i="2" a="1"/>
  <c r="J957" i="2" a="1"/>
  <c r="J963" i="2" a="1"/>
  <c r="J970" i="2" a="1"/>
  <c r="J976" i="2" a="1"/>
  <c r="J989" i="2" a="1"/>
  <c r="J995" i="2" a="1"/>
  <c r="J1001" i="2" a="1"/>
  <c r="J1005" i="2" a="1"/>
  <c r="J1009" i="2" a="1"/>
  <c r="J1013" i="2" a="1"/>
  <c r="J1017" i="2" a="1"/>
  <c r="J1021" i="2" a="1"/>
  <c r="J1025" i="2" a="1"/>
  <c r="J1029" i="2" a="1"/>
  <c r="J1033" i="2" a="1"/>
  <c r="J1037" i="2" a="1"/>
  <c r="J1041" i="2" a="1"/>
  <c r="J1045" i="2" a="1"/>
  <c r="J1049" i="2" a="1"/>
  <c r="J1053" i="2" a="1"/>
  <c r="J1057" i="2" a="1"/>
  <c r="J1061" i="2" a="1"/>
  <c r="J1065" i="2" a="1"/>
  <c r="J1069" i="2" a="1"/>
  <c r="J1073" i="2" a="1"/>
  <c r="J1077" i="2" a="1"/>
  <c r="J1081" i="2" a="1"/>
  <c r="J1085" i="2" a="1"/>
  <c r="J404" i="2" a="1"/>
  <c r="J610" i="2" a="1"/>
  <c r="J695" i="2" a="1"/>
  <c r="J735" i="2" a="1"/>
  <c r="J750" i="2" a="1"/>
  <c r="J761" i="2" a="1"/>
  <c r="J782" i="2" a="1"/>
  <c r="J793" i="2" a="1"/>
  <c r="J814" i="2" a="1"/>
  <c r="J825" i="2" a="1"/>
  <c r="J846" i="2" a="1"/>
  <c r="J857" i="2" a="1"/>
  <c r="J866" i="2" a="1"/>
  <c r="J874" i="2" a="1"/>
  <c r="J881" i="2" a="1"/>
  <c r="J887" i="2" a="1"/>
  <c r="J894" i="2" a="1"/>
  <c r="J900" i="2" a="1"/>
  <c r="J913" i="2" a="1"/>
  <c r="J919" i="2" a="1"/>
  <c r="J926" i="2" a="1"/>
  <c r="J932" i="2" a="1"/>
  <c r="J945" i="2" a="1"/>
  <c r="J951" i="2" a="1"/>
  <c r="J958" i="2" a="1"/>
  <c r="J964" i="2" a="1"/>
  <c r="J977" i="2" a="1"/>
  <c r="J983" i="2" a="1"/>
  <c r="J990" i="2" a="1"/>
  <c r="J996" i="2" a="1"/>
  <c r="J762" i="2" a="1"/>
  <c r="J773" i="2" a="1"/>
  <c r="J794" i="2" a="1"/>
  <c r="J805" i="2" a="1"/>
  <c r="J826" i="2" a="1"/>
  <c r="J837" i="2" a="1"/>
  <c r="J858" i="2" a="1"/>
  <c r="J882" i="2" a="1"/>
  <c r="J888" i="2" a="1"/>
  <c r="J901" i="2" a="1"/>
  <c r="J907" i="2" a="1"/>
  <c r="J914" i="2" a="1"/>
  <c r="J920" i="2" a="1"/>
  <c r="J933" i="2" a="1"/>
  <c r="J939" i="2" a="1"/>
  <c r="J946" i="2" a="1"/>
  <c r="J952" i="2" a="1"/>
  <c r="J965" i="2" a="1"/>
  <c r="J971" i="2" a="1"/>
  <c r="J978" i="2" a="1"/>
  <c r="J984" i="2" a="1"/>
  <c r="J997" i="2" a="1"/>
  <c r="J1002" i="2" a="1"/>
  <c r="J1006" i="2" a="1"/>
  <c r="J1010" i="2" a="1"/>
  <c r="J1014" i="2" a="1"/>
  <c r="J1018" i="2" a="1"/>
  <c r="J1022" i="2" a="1"/>
  <c r="J1026" i="2" a="1"/>
  <c r="J1030" i="2" a="1"/>
  <c r="J1034" i="2" a="1"/>
  <c r="J1038" i="2" a="1"/>
  <c r="J1042" i="2" a="1"/>
  <c r="J1046" i="2" a="1"/>
  <c r="J1050" i="2" a="1"/>
  <c r="J1054" i="2" a="1"/>
  <c r="J1058" i="2" a="1"/>
  <c r="J1062" i="2" a="1"/>
  <c r="J1066" i="2" a="1"/>
  <c r="J1070" i="2" a="1"/>
  <c r="J1074" i="2" a="1"/>
  <c r="J1078" i="2" a="1"/>
  <c r="J1082" i="2" a="1"/>
  <c r="J1086" i="2" a="1"/>
  <c r="J1090" i="2" a="1"/>
  <c r="J1094" i="2" a="1"/>
  <c r="J1098" i="2" a="1"/>
  <c r="J1102" i="2" a="1"/>
  <c r="J1106" i="2" a="1"/>
  <c r="J1110" i="2" a="1"/>
  <c r="J1114" i="2" a="1"/>
  <c r="J1118" i="2" a="1"/>
  <c r="J1122" i="2" a="1"/>
  <c r="J1126" i="2" a="1"/>
  <c r="J496" i="2" a="1"/>
  <c r="J631" i="2" a="1"/>
  <c r="J753" i="2" a="1"/>
  <c r="J774" i="2" a="1"/>
  <c r="J785" i="2" a="1"/>
  <c r="J806" i="2" a="1"/>
  <c r="J817" i="2" a="1"/>
  <c r="J838" i="2" a="1"/>
  <c r="J849" i="2" a="1"/>
  <c r="J867" i="2" a="1"/>
  <c r="J875" i="2" a="1"/>
  <c r="J889" i="2" a="1"/>
  <c r="J895" i="2" a="1"/>
  <c r="J902" i="2" a="1"/>
  <c r="J908" i="2" a="1"/>
  <c r="J921" i="2" a="1"/>
  <c r="J927" i="2" a="1"/>
  <c r="J934" i="2" a="1"/>
  <c r="J940" i="2" a="1"/>
  <c r="J953" i="2" a="1"/>
  <c r="J959" i="2" a="1"/>
  <c r="J966" i="2" a="1"/>
  <c r="J972" i="2" a="1"/>
  <c r="J985" i="2" a="1"/>
  <c r="J991" i="2" a="1"/>
  <c r="J998" i="2" a="1"/>
  <c r="J740" i="2" a="1"/>
  <c r="J754" i="2" a="1"/>
  <c r="J765" i="2" a="1"/>
  <c r="J786" i="2" a="1"/>
  <c r="J797" i="2" a="1"/>
  <c r="J818" i="2" a="1"/>
  <c r="J829" i="2" a="1"/>
  <c r="J850" i="2" a="1"/>
  <c r="J861" i="2" a="1"/>
  <c r="J869" i="2" a="1"/>
  <c r="J877" i="2" a="1"/>
  <c r="J883" i="2" a="1"/>
  <c r="J890" i="2" a="1"/>
  <c r="J896" i="2" a="1"/>
  <c r="J909" i="2" a="1"/>
  <c r="J915" i="2" a="1"/>
  <c r="J922" i="2" a="1"/>
  <c r="J928" i="2" a="1"/>
  <c r="J941" i="2" a="1"/>
  <c r="J947" i="2" a="1"/>
  <c r="J954" i="2" a="1"/>
  <c r="J960" i="2" a="1"/>
  <c r="J729" i="2" a="1"/>
  <c r="J766" i="2" a="1"/>
  <c r="J777" i="2" a="1"/>
  <c r="J798" i="2" a="1"/>
  <c r="J809" i="2" a="1"/>
  <c r="J830" i="2" a="1"/>
  <c r="J841" i="2" a="1"/>
  <c r="J862" i="2" a="1"/>
  <c r="J870" i="2" a="1"/>
  <c r="J878" i="2" a="1"/>
  <c r="J884" i="2" a="1"/>
  <c r="J897" i="2" a="1"/>
  <c r="J903" i="2" a="1"/>
  <c r="J910" i="2" a="1"/>
  <c r="J916" i="2" a="1"/>
  <c r="J929" i="2" a="1"/>
  <c r="J935" i="2" a="1"/>
  <c r="J942" i="2" a="1"/>
  <c r="J948" i="2" a="1"/>
  <c r="J961" i="2" a="1"/>
  <c r="J930" i="2" a="1"/>
  <c r="J968" i="2" a="1"/>
  <c r="J1003" i="2" a="1"/>
  <c r="J1012" i="2" a="1"/>
  <c r="J1035" i="2" a="1"/>
  <c r="J1044" i="2" a="1"/>
  <c r="J1067" i="2" a="1"/>
  <c r="J1076" i="2" a="1"/>
  <c r="J1134" i="2" a="1"/>
  <c r="J1140" i="2" a="1"/>
  <c r="J1147" i="2" a="1"/>
  <c r="J1153" i="2" a="1"/>
  <c r="J1166" i="2" a="1"/>
  <c r="J1172" i="2" a="1"/>
  <c r="J1179" i="2" a="1"/>
  <c r="J1185" i="2" a="1"/>
  <c r="J1198" i="2" a="1"/>
  <c r="J1204" i="2" a="1"/>
  <c r="J1211" i="2" a="1"/>
  <c r="J1217" i="2" a="1"/>
  <c r="J1230" i="2" a="1"/>
  <c r="J1241" i="2" a="1"/>
  <c r="J663" i="2" a="1"/>
  <c r="J810" i="2" a="1"/>
  <c r="J885" i="2" a="1"/>
  <c r="J936" i="2" a="1"/>
  <c r="J973" i="2" a="1"/>
  <c r="J987" i="2" a="1"/>
  <c r="J1015" i="2" a="1"/>
  <c r="J1024" i="2" a="1"/>
  <c r="J1047" i="2" a="1"/>
  <c r="J1056" i="2" a="1"/>
  <c r="J1079" i="2" a="1"/>
  <c r="J1088" i="2" a="1"/>
  <c r="J1096" i="2" a="1"/>
  <c r="J1104" i="2" a="1"/>
  <c r="J1112" i="2" a="1"/>
  <c r="J1120" i="2" a="1"/>
  <c r="J1128" i="2" a="1"/>
  <c r="J1135" i="2" a="1"/>
  <c r="J1141" i="2" a="1"/>
  <c r="J1154" i="2" a="1"/>
  <c r="J1160" i="2" a="1"/>
  <c r="J1167" i="2" a="1"/>
  <c r="J1173" i="2" a="1"/>
  <c r="J1186" i="2" a="1"/>
  <c r="J1192" i="2" a="1"/>
  <c r="J1199" i="2" a="1"/>
  <c r="J1205" i="2" a="1"/>
  <c r="J1218" i="2" a="1"/>
  <c r="J1224" i="2" a="1"/>
  <c r="J1231" i="2" a="1"/>
  <c r="J1236" i="2" a="1"/>
  <c r="J1242" i="2" a="1"/>
  <c r="J1246" i="2" a="1"/>
  <c r="J1250" i="2" a="1"/>
  <c r="J1254" i="2" a="1"/>
  <c r="J1258" i="2" a="1"/>
  <c r="J1262" i="2" a="1"/>
  <c r="J1266" i="2" a="1"/>
  <c r="J1270" i="2" a="1"/>
  <c r="J1274" i="2" a="1"/>
  <c r="J1278" i="2" a="1"/>
  <c r="J1282" i="2" a="1"/>
  <c r="J1286" i="2" a="1"/>
  <c r="J1290" i="2" a="1"/>
  <c r="J1294" i="2" a="1"/>
  <c r="J1298" i="2" a="1"/>
  <c r="J1302" i="2" a="1"/>
  <c r="J1306" i="2" a="1"/>
  <c r="J1310" i="2" a="1"/>
  <c r="J1314" i="2" a="1"/>
  <c r="J1318" i="2" a="1"/>
  <c r="J1322" i="2" a="1"/>
  <c r="J1326" i="2" a="1"/>
  <c r="J1330" i="2" a="1"/>
  <c r="J1334" i="2" a="1"/>
  <c r="J1338" i="2" a="1"/>
  <c r="J1342" i="2" a="1"/>
  <c r="J1346" i="2" a="1"/>
  <c r="J1350" i="2" a="1"/>
  <c r="J1354" i="2" a="1"/>
  <c r="J1358" i="2" a="1"/>
  <c r="J1362" i="2" a="1"/>
  <c r="J1366" i="2" a="1"/>
  <c r="J1370" i="2" a="1"/>
  <c r="J1374" i="2" a="1"/>
  <c r="J1378" i="2" a="1"/>
  <c r="J1382" i="2" a="1"/>
  <c r="J1386" i="2" a="1"/>
  <c r="J1390" i="2" a="1"/>
  <c r="J1394" i="2" a="1"/>
  <c r="J1398" i="2" a="1"/>
  <c r="J1402" i="2" a="1"/>
  <c r="J1406" i="2" a="1"/>
  <c r="J1410" i="2" a="1"/>
  <c r="J1414" i="2" a="1"/>
  <c r="J1418" i="2" a="1"/>
  <c r="J1422" i="2" a="1"/>
  <c r="J1426" i="2" a="1"/>
  <c r="J1430" i="2" a="1"/>
  <c r="J1434" i="2" a="1"/>
  <c r="J1438" i="2" a="1"/>
  <c r="J1442" i="2" a="1"/>
  <c r="J1446" i="2" a="1"/>
  <c r="J1450" i="2" a="1"/>
  <c r="J1454" i="2" a="1"/>
  <c r="J1458" i="2" a="1"/>
  <c r="J1462" i="2" a="1"/>
  <c r="J1466" i="2" a="1"/>
  <c r="J1470" i="2" a="1"/>
  <c r="J1474" i="2" a="1"/>
  <c r="J1478" i="2" a="1"/>
  <c r="J1482" i="2" a="1"/>
  <c r="J1486" i="2" a="1"/>
  <c r="J1490" i="2" a="1"/>
  <c r="J1494" i="2" a="1"/>
  <c r="J1498" i="2" a="1"/>
  <c r="J1502" i="2" a="1"/>
  <c r="J1506" i="2" a="1"/>
  <c r="J1510" i="2" a="1"/>
  <c r="J1514" i="2" a="1"/>
  <c r="J1518" i="2" a="1"/>
  <c r="J1522" i="2" a="1"/>
  <c r="J1526" i="2" a="1"/>
  <c r="J1530" i="2" a="1"/>
  <c r="J1534" i="2" a="1"/>
  <c r="J1538" i="2" a="1"/>
  <c r="J1542" i="2" a="1"/>
  <c r="J1546" i="2" a="1"/>
  <c r="J1550" i="2" a="1"/>
  <c r="J1554" i="2" a="1"/>
  <c r="J1558" i="2" a="1"/>
  <c r="J1562" i="2" a="1"/>
  <c r="J1566" i="2" a="1"/>
  <c r="J1570" i="2" a="1"/>
  <c r="J1574" i="2" a="1"/>
  <c r="J1578" i="2" a="1"/>
  <c r="J1582" i="2" a="1"/>
  <c r="J1586" i="2" a="1"/>
  <c r="J1590" i="2" a="1"/>
  <c r="J1594" i="2" a="1"/>
  <c r="J1598" i="2" a="1"/>
  <c r="J730" i="2" a="1"/>
  <c r="J821" i="2" a="1"/>
  <c r="J891" i="2" a="1"/>
  <c r="J974" i="2" a="1"/>
  <c r="J992" i="2" a="1"/>
  <c r="J1004" i="2" a="1"/>
  <c r="J1027" i="2" a="1"/>
  <c r="J1036" i="2" a="1"/>
  <c r="J1059" i="2" a="1"/>
  <c r="J1068" i="2" a="1"/>
  <c r="J1089" i="2" a="1"/>
  <c r="J1097" i="2" a="1"/>
  <c r="J1105" i="2" a="1"/>
  <c r="J1113" i="2" a="1"/>
  <c r="J1121" i="2" a="1"/>
  <c r="J1129" i="2" a="1"/>
  <c r="J1142" i="2" a="1"/>
  <c r="J1148" i="2" a="1"/>
  <c r="J1155" i="2" a="1"/>
  <c r="J1161" i="2" a="1"/>
  <c r="J1174" i="2" a="1"/>
  <c r="J1180" i="2" a="1"/>
  <c r="J1187" i="2" a="1"/>
  <c r="J1193" i="2" a="1"/>
  <c r="J1206" i="2" a="1"/>
  <c r="J1212" i="2" a="1"/>
  <c r="J1219" i="2" a="1"/>
  <c r="J1225" i="2" a="1"/>
  <c r="J1237" i="2" a="1"/>
  <c r="J745" i="2" a="1"/>
  <c r="J898" i="2" a="1"/>
  <c r="J949" i="2" a="1"/>
  <c r="J993" i="2" a="1"/>
  <c r="J1007" i="2" a="1"/>
  <c r="J1016" i="2" a="1"/>
  <c r="J1039" i="2" a="1"/>
  <c r="J1048" i="2" a="1"/>
  <c r="J1071" i="2" a="1"/>
  <c r="J1080" i="2" a="1"/>
  <c r="J1091" i="2" a="1"/>
  <c r="J1099" i="2" a="1"/>
  <c r="J1107" i="2" a="1"/>
  <c r="J1115" i="2" a="1"/>
  <c r="J1123" i="2" a="1"/>
  <c r="J1130" i="2" a="1"/>
  <c r="J1136" i="2" a="1"/>
  <c r="J1143" i="2" a="1"/>
  <c r="J1149" i="2" a="1"/>
  <c r="J1162" i="2" a="1"/>
  <c r="J1168" i="2" a="1"/>
  <c r="J1175" i="2" a="1"/>
  <c r="J1181" i="2" a="1"/>
  <c r="J1194" i="2" a="1"/>
  <c r="J1200" i="2" a="1"/>
  <c r="J1207" i="2" a="1"/>
  <c r="J1213" i="2" a="1"/>
  <c r="J1226" i="2" a="1"/>
  <c r="J1232" i="2" a="1"/>
  <c r="J1238" i="2" a="1"/>
  <c r="J1243" i="2" a="1"/>
  <c r="J1247" i="2" a="1"/>
  <c r="J1251" i="2" a="1"/>
  <c r="J1255" i="2" a="1"/>
  <c r="J1259" i="2" a="1"/>
  <c r="J1263" i="2" a="1"/>
  <c r="J1267" i="2" a="1"/>
  <c r="J1271" i="2" a="1"/>
  <c r="J1275" i="2" a="1"/>
  <c r="J1279" i="2" a="1"/>
  <c r="J1283" i="2" a="1"/>
  <c r="J1287" i="2" a="1"/>
  <c r="J1291" i="2" a="1"/>
  <c r="J1295" i="2" a="1"/>
  <c r="J1299" i="2" a="1"/>
  <c r="J1303" i="2" a="1"/>
  <c r="J1307" i="2" a="1"/>
  <c r="J1311" i="2" a="1"/>
  <c r="J1315" i="2" a="1"/>
  <c r="J1319" i="2" a="1"/>
  <c r="J1323" i="2" a="1"/>
  <c r="J1327" i="2" a="1"/>
  <c r="J1331" i="2" a="1"/>
  <c r="J1335" i="2" a="1"/>
  <c r="J1339" i="2" a="1"/>
  <c r="J1343" i="2" a="1"/>
  <c r="J1347" i="2" a="1"/>
  <c r="J1351" i="2" a="1"/>
  <c r="J1355" i="2" a="1"/>
  <c r="J1359" i="2" a="1"/>
  <c r="J1363" i="2" a="1"/>
  <c r="J1367" i="2" a="1"/>
  <c r="J1371" i="2" a="1"/>
  <c r="J1375" i="2" a="1"/>
  <c r="J1379" i="2" a="1"/>
  <c r="J1383" i="2" a="1"/>
  <c r="J1387" i="2" a="1"/>
  <c r="J1391" i="2" a="1"/>
  <c r="J1395" i="2" a="1"/>
  <c r="J1399" i="2" a="1"/>
  <c r="J1403" i="2" a="1"/>
  <c r="J1407" i="2" a="1"/>
  <c r="J1411" i="2" a="1"/>
  <c r="J1415" i="2" a="1"/>
  <c r="J1419" i="2" a="1"/>
  <c r="J1423" i="2" a="1"/>
  <c r="J1427" i="2" a="1"/>
  <c r="J1431" i="2" a="1"/>
  <c r="J1435" i="2" a="1"/>
  <c r="J1439" i="2" a="1"/>
  <c r="J1443" i="2" a="1"/>
  <c r="J1447" i="2" a="1"/>
  <c r="J1451" i="2" a="1"/>
  <c r="J1455" i="2" a="1"/>
  <c r="J757" i="2" a="1"/>
  <c r="J842" i="2" a="1"/>
  <c r="J904" i="2" a="1"/>
  <c r="J955" i="2" a="1"/>
  <c r="J979" i="2" a="1"/>
  <c r="J994" i="2" a="1"/>
  <c r="J1019" i="2" a="1"/>
  <c r="J1028" i="2" a="1"/>
  <c r="J1051" i="2" a="1"/>
  <c r="J1060" i="2" a="1"/>
  <c r="J1083" i="2" a="1"/>
  <c r="J1131" i="2" a="1"/>
  <c r="J1137" i="2" a="1"/>
  <c r="J1150" i="2" a="1"/>
  <c r="J1156" i="2" a="1"/>
  <c r="J1163" i="2" a="1"/>
  <c r="J1169" i="2" a="1"/>
  <c r="J1182" i="2" a="1"/>
  <c r="J1188" i="2" a="1"/>
  <c r="J1195" i="2" a="1"/>
  <c r="J1201" i="2" a="1"/>
  <c r="J1214" i="2" a="1"/>
  <c r="J1220" i="2" a="1"/>
  <c r="J1227" i="2" a="1"/>
  <c r="J1233" i="2" a="1"/>
  <c r="J853" i="2" a="1"/>
  <c r="J962" i="2" a="1"/>
  <c r="J980" i="2" a="1"/>
  <c r="J1008" i="2" a="1"/>
  <c r="J1031" i="2" a="1"/>
  <c r="J1040" i="2" a="1"/>
  <c r="J1063" i="2" a="1"/>
  <c r="J1072" i="2" a="1"/>
  <c r="J1092" i="2" a="1"/>
  <c r="J1100" i="2" a="1"/>
  <c r="J1108" i="2" a="1"/>
  <c r="J1116" i="2" a="1"/>
  <c r="J1124" i="2" a="1"/>
  <c r="J1138" i="2" a="1"/>
  <c r="J1144" i="2" a="1"/>
  <c r="J1151" i="2" a="1"/>
  <c r="J1157" i="2" a="1"/>
  <c r="J1170" i="2" a="1"/>
  <c r="J1176" i="2" a="1"/>
  <c r="J1183" i="2" a="1"/>
  <c r="J1189" i="2" a="1"/>
  <c r="J1202" i="2" a="1"/>
  <c r="J1208" i="2" a="1"/>
  <c r="J1215" i="2" a="1"/>
  <c r="J1221" i="2" a="1"/>
  <c r="J1234" i="2" a="1"/>
  <c r="J1239" i="2" a="1"/>
  <c r="J1244" i="2" a="1"/>
  <c r="J1248" i="2" a="1"/>
  <c r="J1252" i="2" a="1"/>
  <c r="J1256" i="2" a="1"/>
  <c r="J1260" i="2" a="1"/>
  <c r="J1264" i="2" a="1"/>
  <c r="J1268" i="2" a="1"/>
  <c r="J1272" i="2" a="1"/>
  <c r="J1276" i="2" a="1"/>
  <c r="J1280" i="2" a="1"/>
  <c r="J1284" i="2" a="1"/>
  <c r="J1288" i="2" a="1"/>
  <c r="J1292" i="2" a="1"/>
  <c r="J1296" i="2" a="1"/>
  <c r="J1300" i="2" a="1"/>
  <c r="J1304" i="2" a="1"/>
  <c r="J1308" i="2" a="1"/>
  <c r="J1312" i="2" a="1"/>
  <c r="J1316" i="2" a="1"/>
  <c r="J1320" i="2" a="1"/>
  <c r="J778" i="2" a="1"/>
  <c r="J917" i="2" a="1"/>
  <c r="J981" i="2" a="1"/>
  <c r="J999" i="2" a="1"/>
  <c r="J1011" i="2" a="1"/>
  <c r="J1020" i="2" a="1"/>
  <c r="J1043" i="2" a="1"/>
  <c r="J1052" i="2" a="1"/>
  <c r="J1075" i="2" a="1"/>
  <c r="J1084" i="2" a="1"/>
  <c r="J1093" i="2" a="1"/>
  <c r="J1101" i="2" a="1"/>
  <c r="J1109" i="2" a="1"/>
  <c r="J1117" i="2" a="1"/>
  <c r="J1125" i="2" a="1"/>
  <c r="J1132" i="2" a="1"/>
  <c r="J1139" i="2" a="1"/>
  <c r="J1145" i="2" a="1"/>
  <c r="J1158" i="2" a="1"/>
  <c r="J1164" i="2" a="1"/>
  <c r="J1171" i="2" a="1"/>
  <c r="J1177" i="2" a="1"/>
  <c r="J1190" i="2" a="1"/>
  <c r="J1196" i="2" a="1"/>
  <c r="J1203" i="2" a="1"/>
  <c r="J1209" i="2" a="1"/>
  <c r="J1222" i="2" a="1"/>
  <c r="J1228" i="2" a="1"/>
  <c r="J789" i="2" a="1"/>
  <c r="J1032" i="2" a="1"/>
  <c r="J1111" i="2" a="1"/>
  <c r="J1165" i="2" a="1"/>
  <c r="J1216" i="2" a="1"/>
  <c r="J1257" i="2" a="1"/>
  <c r="J1289" i="2" a="1"/>
  <c r="J1321" i="2" a="1"/>
  <c r="J1344" i="2" a="1"/>
  <c r="J1353" i="2" a="1"/>
  <c r="J1376" i="2" a="1"/>
  <c r="J1385" i="2" a="1"/>
  <c r="J1408" i="2" a="1"/>
  <c r="J1417" i="2" a="1"/>
  <c r="J1440" i="2" a="1"/>
  <c r="J1449" i="2" a="1"/>
  <c r="J1460" i="2" a="1"/>
  <c r="J1468" i="2" a="1"/>
  <c r="J1476" i="2" a="1"/>
  <c r="J1484" i="2" a="1"/>
  <c r="J1492" i="2" a="1"/>
  <c r="J1500" i="2" a="1"/>
  <c r="J1508" i="2" a="1"/>
  <c r="J1516" i="2" a="1"/>
  <c r="J1524" i="2" a="1"/>
  <c r="J1532" i="2" a="1"/>
  <c r="J1540" i="2" a="1"/>
  <c r="J1548" i="2" a="1"/>
  <c r="J1556" i="2" a="1"/>
  <c r="J1564" i="2" a="1"/>
  <c r="J1572" i="2" a="1"/>
  <c r="J1580" i="2" a="1"/>
  <c r="J1588" i="2" a="1"/>
  <c r="J1596" i="2" a="1"/>
  <c r="J1603" i="2" a="1"/>
  <c r="J1609" i="2" a="1"/>
  <c r="J1616" i="2" a="1"/>
  <c r="J1622" i="2" a="1"/>
  <c r="J1635" i="2" a="1"/>
  <c r="J1641" i="2" a="1"/>
  <c r="J1648" i="2" a="1"/>
  <c r="J1653" i="2" a="1"/>
  <c r="J1659" i="2" a="1"/>
  <c r="J1664" i="2" a="1"/>
  <c r="J1669" i="2" a="1"/>
  <c r="J1675" i="2" a="1"/>
  <c r="J1680" i="2" a="1"/>
  <c r="J1685" i="2" a="1"/>
  <c r="J1691" i="2" a="1"/>
  <c r="J1696" i="2" a="1"/>
  <c r="J1701" i="2" a="1"/>
  <c r="J1707" i="2" a="1"/>
  <c r="J1712" i="2" a="1"/>
  <c r="J1717" i="2" a="1"/>
  <c r="J1723" i="2" a="1"/>
  <c r="J1728" i="2" a="1"/>
  <c r="J1733" i="2" a="1"/>
  <c r="J1739" i="2" a="1"/>
  <c r="J1744" i="2" a="1"/>
  <c r="J1749" i="2" a="1"/>
  <c r="J1755" i="2" a="1"/>
  <c r="J1760" i="2" a="1"/>
  <c r="J1765" i="2" a="1"/>
  <c r="J1771" i="2" a="1"/>
  <c r="J1776" i="2" a="1"/>
  <c r="J1781" i="2" a="1"/>
  <c r="J1787" i="2" a="1"/>
  <c r="J1792" i="2" a="1"/>
  <c r="J1797" i="2" a="1"/>
  <c r="J1803" i="2" a="1"/>
  <c r="J1807" i="2" a="1"/>
  <c r="J1811" i="2" a="1"/>
  <c r="J1815" i="2" a="1"/>
  <c r="J1819" i="2" a="1"/>
  <c r="J1823" i="2" a="1"/>
  <c r="J1827" i="2" a="1"/>
  <c r="J1831" i="2" a="1"/>
  <c r="J1835" i="2" a="1"/>
  <c r="J1839" i="2" a="1"/>
  <c r="J1843" i="2" a="1"/>
  <c r="J1847" i="2" a="1"/>
  <c r="J1851" i="2" a="1"/>
  <c r="J1855" i="2" a="1"/>
  <c r="J1859" i="2" a="1"/>
  <c r="J1863" i="2" a="1"/>
  <c r="J1867" i="2" a="1"/>
  <c r="J1871" i="2" a="1"/>
  <c r="J1875" i="2" a="1"/>
  <c r="J1879" i="2" a="1"/>
  <c r="J1883" i="2" a="1"/>
  <c r="J1887" i="2" a="1"/>
  <c r="J1891" i="2" a="1"/>
  <c r="J1895" i="2" a="1"/>
  <c r="J1899" i="2" a="1"/>
  <c r="J1903" i="2" a="1"/>
  <c r="J1907" i="2" a="1"/>
  <c r="J1911" i="2" a="1"/>
  <c r="J1119" i="2" a="1"/>
  <c r="J1223" i="2" a="1"/>
  <c r="J1261" i="2" a="1"/>
  <c r="J1293" i="2" a="1"/>
  <c r="J1324" i="2" a="1"/>
  <c r="J1333" i="2" a="1"/>
  <c r="J1356" i="2" a="1"/>
  <c r="J1365" i="2" a="1"/>
  <c r="J1388" i="2" a="1"/>
  <c r="J1397" i="2" a="1"/>
  <c r="J1420" i="2" a="1"/>
  <c r="J1429" i="2" a="1"/>
  <c r="J1452" i="2" a="1"/>
  <c r="J1604" i="2" a="1"/>
  <c r="J1610" i="2" a="1"/>
  <c r="J1623" i="2" a="1"/>
  <c r="J1629" i="2" a="1"/>
  <c r="J1636" i="2" a="1"/>
  <c r="J1642" i="2" a="1"/>
  <c r="J1654" i="2" a="1"/>
  <c r="J1670" i="2" a="1"/>
  <c r="J1686" i="2" a="1"/>
  <c r="J1702" i="2" a="1"/>
  <c r="J1718" i="2" a="1"/>
  <c r="J1734" i="2" a="1"/>
  <c r="J1750" i="2" a="1"/>
  <c r="J1766" i="2" a="1"/>
  <c r="J1782" i="2" a="1"/>
  <c r="J1798" i="2" a="1"/>
  <c r="J923" i="2" a="1"/>
  <c r="J1055" i="2" a="1"/>
  <c r="J1127" i="2" a="1"/>
  <c r="J1178" i="2" a="1"/>
  <c r="J1229" i="2" a="1"/>
  <c r="J1265" i="2" a="1"/>
  <c r="J1297" i="2" a="1"/>
  <c r="J1336" i="2" a="1"/>
  <c r="J1345" i="2" a="1"/>
  <c r="J1368" i="2" a="1"/>
  <c r="J1377" i="2" a="1"/>
  <c r="J1400" i="2" a="1"/>
  <c r="J1409" i="2" a="1"/>
  <c r="J1432" i="2" a="1"/>
  <c r="J1441" i="2" a="1"/>
  <c r="J1461" i="2" a="1"/>
  <c r="J1469" i="2" a="1"/>
  <c r="J1477" i="2" a="1"/>
  <c r="J1485" i="2" a="1"/>
  <c r="J1493" i="2" a="1"/>
  <c r="J1501" i="2" a="1"/>
  <c r="J1509" i="2" a="1"/>
  <c r="J1517" i="2" a="1"/>
  <c r="J1525" i="2" a="1"/>
  <c r="J1533" i="2" a="1"/>
  <c r="J1541" i="2" a="1"/>
  <c r="J1549" i="2" a="1"/>
  <c r="J1557" i="2" a="1"/>
  <c r="J1565" i="2" a="1"/>
  <c r="J1573" i="2" a="1"/>
  <c r="J1581" i="2" a="1"/>
  <c r="J1589" i="2" a="1"/>
  <c r="J1597" i="2" a="1"/>
  <c r="J1611" i="2" a="1"/>
  <c r="J1617" i="2" a="1"/>
  <c r="J1624" i="2" a="1"/>
  <c r="J1630" i="2" a="1"/>
  <c r="J1643" i="2" a="1"/>
  <c r="J1649" i="2" a="1"/>
  <c r="J1655" i="2" a="1"/>
  <c r="J1660" i="2" a="1"/>
  <c r="J1665" i="2" a="1"/>
  <c r="J1671" i="2" a="1"/>
  <c r="J1676" i="2" a="1"/>
  <c r="J1681" i="2" a="1"/>
  <c r="J1687" i="2" a="1"/>
  <c r="J1692" i="2" a="1"/>
  <c r="J1697" i="2" a="1"/>
  <c r="J1703" i="2" a="1"/>
  <c r="J1708" i="2" a="1"/>
  <c r="J1713" i="2" a="1"/>
  <c r="J1719" i="2" a="1"/>
  <c r="J1724" i="2" a="1"/>
  <c r="J1729" i="2" a="1"/>
  <c r="J1735" i="2" a="1"/>
  <c r="J1740" i="2" a="1"/>
  <c r="J1745" i="2" a="1"/>
  <c r="J1751" i="2" a="1"/>
  <c r="J1756" i="2" a="1"/>
  <c r="J1761" i="2" a="1"/>
  <c r="J1767" i="2" a="1"/>
  <c r="J1772" i="2" a="1"/>
  <c r="J1777" i="2" a="1"/>
  <c r="J1783" i="2" a="1"/>
  <c r="J1788" i="2" a="1"/>
  <c r="J1793" i="2" a="1"/>
  <c r="J1799" i="2" a="1"/>
  <c r="J1804" i="2" a="1"/>
  <c r="J1808" i="2" a="1"/>
  <c r="J1812" i="2" a="1"/>
  <c r="J1816" i="2" a="1"/>
  <c r="J1820" i="2" a="1"/>
  <c r="J1824" i="2" a="1"/>
  <c r="J1828" i="2" a="1"/>
  <c r="J1832" i="2" a="1"/>
  <c r="J1836" i="2" a="1"/>
  <c r="J1840" i="2" a="1"/>
  <c r="J1844" i="2" a="1"/>
  <c r="J1848" i="2" a="1"/>
  <c r="J1852" i="2" a="1"/>
  <c r="J1856" i="2" a="1"/>
  <c r="J1860" i="2" a="1"/>
  <c r="J1864" i="2" a="1"/>
  <c r="J1868" i="2" a="1"/>
  <c r="J1872" i="2" a="1"/>
  <c r="J1876" i="2" a="1"/>
  <c r="J1880" i="2" a="1"/>
  <c r="J1884" i="2" a="1"/>
  <c r="J1888" i="2" a="1"/>
  <c r="J1892" i="2" a="1"/>
  <c r="J1896" i="2" a="1"/>
  <c r="J1900" i="2" a="1"/>
  <c r="J1904" i="2" a="1"/>
  <c r="J1908" i="2" a="1"/>
  <c r="J1912" i="2" a="1"/>
  <c r="J1916" i="2" a="1"/>
  <c r="J1920" i="2" a="1"/>
  <c r="J1924" i="2" a="1"/>
  <c r="J1928" i="2" a="1"/>
  <c r="J1932" i="2" a="1"/>
  <c r="J1936" i="2" a="1"/>
  <c r="J1940" i="2" a="1"/>
  <c r="J1944" i="2" a="1"/>
  <c r="J1948" i="2" a="1"/>
  <c r="J1952" i="2" a="1"/>
  <c r="J1956" i="2" a="1"/>
  <c r="J1960" i="2" a="1"/>
  <c r="J1964" i="2" a="1"/>
  <c r="J1968" i="2" a="1"/>
  <c r="J1972" i="2" a="1"/>
  <c r="J967" i="2" a="1"/>
  <c r="J1064" i="2" a="1"/>
  <c r="J1133" i="2" a="1"/>
  <c r="J1184" i="2" a="1"/>
  <c r="J1235" i="2" a="1"/>
  <c r="J1269" i="2" a="1"/>
  <c r="J1301" i="2" a="1"/>
  <c r="J1325" i="2" a="1"/>
  <c r="J1348" i="2" a="1"/>
  <c r="J1357" i="2" a="1"/>
  <c r="J1380" i="2" a="1"/>
  <c r="J1389" i="2" a="1"/>
  <c r="J1412" i="2" a="1"/>
  <c r="J1421" i="2" a="1"/>
  <c r="J1444" i="2" a="1"/>
  <c r="J1453" i="2" a="1"/>
  <c r="J1463" i="2" a="1"/>
  <c r="J1471" i="2" a="1"/>
  <c r="J1479" i="2" a="1"/>
  <c r="J1487" i="2" a="1"/>
  <c r="J1495" i="2" a="1"/>
  <c r="J1503" i="2" a="1"/>
  <c r="J1511" i="2" a="1"/>
  <c r="J1519" i="2" a="1"/>
  <c r="J1527" i="2" a="1"/>
  <c r="J1535" i="2" a="1"/>
  <c r="J1543" i="2" a="1"/>
  <c r="J1551" i="2" a="1"/>
  <c r="J1559" i="2" a="1"/>
  <c r="J1567" i="2" a="1"/>
  <c r="J1575" i="2" a="1"/>
  <c r="J1583" i="2" a="1"/>
  <c r="J1591" i="2" a="1"/>
  <c r="J1599" i="2" a="1"/>
  <c r="J1605" i="2" a="1"/>
  <c r="J1612" i="2" a="1"/>
  <c r="J1618" i="2" a="1"/>
  <c r="J1631" i="2" a="1"/>
  <c r="J1637" i="2" a="1"/>
  <c r="J1644" i="2" a="1"/>
  <c r="J1650" i="2" a="1"/>
  <c r="J1666" i="2" a="1"/>
  <c r="J1682" i="2" a="1"/>
  <c r="J1698" i="2" a="1"/>
  <c r="J1714" i="2" a="1"/>
  <c r="J1730" i="2" a="1"/>
  <c r="J1746" i="2" a="1"/>
  <c r="J1762" i="2" a="1"/>
  <c r="J1778" i="2" a="1"/>
  <c r="J1794" i="2" a="1"/>
  <c r="J986" i="2" a="1"/>
  <c r="J1191" i="2" a="1"/>
  <c r="J1240" i="2" a="1"/>
  <c r="J1273" i="2" a="1"/>
  <c r="J1305" i="2" a="1"/>
  <c r="J1328" i="2" a="1"/>
  <c r="J1337" i="2" a="1"/>
  <c r="J1360" i="2" a="1"/>
  <c r="J1369" i="2" a="1"/>
  <c r="J1392" i="2" a="1"/>
  <c r="J1401" i="2" a="1"/>
  <c r="J1424" i="2" a="1"/>
  <c r="J1433" i="2" a="1"/>
  <c r="J1456" i="2" a="1"/>
  <c r="J1464" i="2" a="1"/>
  <c r="J1472" i="2" a="1"/>
  <c r="J1480" i="2" a="1"/>
  <c r="J1488" i="2" a="1"/>
  <c r="J1496" i="2" a="1"/>
  <c r="J1504" i="2" a="1"/>
  <c r="J1512" i="2" a="1"/>
  <c r="J1520" i="2" a="1"/>
  <c r="J1528" i="2" a="1"/>
  <c r="J1536" i="2" a="1"/>
  <c r="J1544" i="2" a="1"/>
  <c r="J1552" i="2" a="1"/>
  <c r="J1560" i="2" a="1"/>
  <c r="J1568" i="2" a="1"/>
  <c r="J1576" i="2" a="1"/>
  <c r="J1584" i="2" a="1"/>
  <c r="J1592" i="2" a="1"/>
  <c r="J1600" i="2" a="1"/>
  <c r="J1606" i="2" a="1"/>
  <c r="J1619" i="2" a="1"/>
  <c r="J1625" i="2" a="1"/>
  <c r="J1632" i="2" a="1"/>
  <c r="J1638" i="2" a="1"/>
  <c r="J1651" i="2" a="1"/>
  <c r="J1656" i="2" a="1"/>
  <c r="J1661" i="2" a="1"/>
  <c r="J1667" i="2" a="1"/>
  <c r="J1672" i="2" a="1"/>
  <c r="J1677" i="2" a="1"/>
  <c r="J1683" i="2" a="1"/>
  <c r="J1688" i="2" a="1"/>
  <c r="J1693" i="2" a="1"/>
  <c r="J1699" i="2" a="1"/>
  <c r="J1704" i="2" a="1"/>
  <c r="J1709" i="2" a="1"/>
  <c r="J1715" i="2" a="1"/>
  <c r="J1720" i="2" a="1"/>
  <c r="J1725" i="2" a="1"/>
  <c r="J1731" i="2" a="1"/>
  <c r="J1736" i="2" a="1"/>
  <c r="J1741" i="2" a="1"/>
  <c r="J1747" i="2" a="1"/>
  <c r="J1752" i="2" a="1"/>
  <c r="J1757" i="2" a="1"/>
  <c r="J1763" i="2" a="1"/>
  <c r="J1768" i="2" a="1"/>
  <c r="J1773" i="2" a="1"/>
  <c r="J1779" i="2" a="1"/>
  <c r="J1784" i="2" a="1"/>
  <c r="J1789" i="2" a="1"/>
  <c r="J1795" i="2" a="1"/>
  <c r="J1800" i="2" a="1"/>
  <c r="J1805" i="2" a="1"/>
  <c r="J1809" i="2" a="1"/>
  <c r="J1813" i="2" a="1"/>
  <c r="J1817" i="2" a="1"/>
  <c r="J1821" i="2" a="1"/>
  <c r="J1825" i="2" a="1"/>
  <c r="J1829" i="2" a="1"/>
  <c r="J1833" i="2" a="1"/>
  <c r="J1837" i="2" a="1"/>
  <c r="J1841" i="2" a="1"/>
  <c r="J1845" i="2" a="1"/>
  <c r="J1849" i="2" a="1"/>
  <c r="J1853" i="2" a="1"/>
  <c r="J1857" i="2" a="1"/>
  <c r="J1861" i="2" a="1"/>
  <c r="J1865" i="2" a="1"/>
  <c r="J1869" i="2" a="1"/>
  <c r="J1873" i="2" a="1"/>
  <c r="J1877" i="2" a="1"/>
  <c r="J1881" i="2" a="1"/>
  <c r="J1885" i="2" a="1"/>
  <c r="J1889" i="2" a="1"/>
  <c r="J1893" i="2" a="1"/>
  <c r="J1897" i="2" a="1"/>
  <c r="J1901" i="2" a="1"/>
  <c r="J1905" i="2" a="1"/>
  <c r="J1909" i="2" a="1"/>
  <c r="J1913" i="2" a="1"/>
  <c r="J1917" i="2" a="1"/>
  <c r="J1921" i="2" a="1"/>
  <c r="J1925" i="2" a="1"/>
  <c r="J1929" i="2" a="1"/>
  <c r="J1933" i="2" a="1"/>
  <c r="J1937" i="2" a="1"/>
  <c r="J1941" i="2" a="1"/>
  <c r="J1945" i="2" a="1"/>
  <c r="J1949" i="2" a="1"/>
  <c r="J1953" i="2" a="1"/>
  <c r="J1957" i="2" a="1"/>
  <c r="J1961" i="2" a="1"/>
  <c r="J1965" i="2" a="1"/>
  <c r="J1969" i="2" a="1"/>
  <c r="J1973" i="2" a="1"/>
  <c r="J1977" i="2" a="1"/>
  <c r="J1087" i="2" a="1"/>
  <c r="J1309" i="2" a="1"/>
  <c r="J1341" i="2" a="1"/>
  <c r="J1404" i="2" a="1"/>
  <c r="J1428" i="2" a="1"/>
  <c r="J1457" i="2" a="1"/>
  <c r="J1499" i="2" a="1"/>
  <c r="J1521" i="2" a="1"/>
  <c r="J1563" i="2" a="1"/>
  <c r="J1585" i="2" a="1"/>
  <c r="J1607" i="2" a="1"/>
  <c r="J1621" i="2" a="1"/>
  <c r="J1640" i="2" a="1"/>
  <c r="J1684" i="2" a="1"/>
  <c r="J1727" i="2" a="1"/>
  <c r="J1742" i="2" a="1"/>
  <c r="J1754" i="2" a="1"/>
  <c r="J1769" i="2" a="1"/>
  <c r="J1810" i="2" a="1"/>
  <c r="J1842" i="2" a="1"/>
  <c r="J1874" i="2" a="1"/>
  <c r="J1906" i="2" a="1"/>
  <c r="J1915" i="2" a="1"/>
  <c r="J1923" i="2" a="1"/>
  <c r="J1931" i="2" a="1"/>
  <c r="J1939" i="2" a="1"/>
  <c r="J1947" i="2" a="1"/>
  <c r="J1955" i="2" a="1"/>
  <c r="J1963" i="2" a="1"/>
  <c r="J1971" i="2" a="1"/>
  <c r="J1984" i="2" a="1"/>
  <c r="J2000" i="2" a="1"/>
  <c r="J2016" i="2" a="1"/>
  <c r="J2032" i="2" a="1"/>
  <c r="J2048" i="2" a="1"/>
  <c r="J2064" i="2" a="1"/>
  <c r="J2080" i="2" a="1"/>
  <c r="J2096" i="2" a="1"/>
  <c r="J2112" i="2" a="1"/>
  <c r="J2128" i="2" a="1"/>
  <c r="J2144" i="2" a="1"/>
  <c r="J2160" i="2" a="1"/>
  <c r="J2170" i="2" a="1"/>
  <c r="J2179" i="2" a="1"/>
  <c r="J2188" i="2" a="1"/>
  <c r="J2193" i="2" a="1"/>
  <c r="J2202" i="2" a="1"/>
  <c r="J2211" i="2" a="1"/>
  <c r="J2220" i="2" a="1"/>
  <c r="J2225" i="2" a="1"/>
  <c r="J2234" i="2" a="1"/>
  <c r="J2243" i="2" a="1"/>
  <c r="J2252" i="2" a="1"/>
  <c r="J2150" i="2" a="1"/>
  <c r="J2184" i="2" a="1"/>
  <c r="J2198" i="2" a="1"/>
  <c r="J2207" i="2" a="1"/>
  <c r="J2216" i="2" a="1"/>
  <c r="J2230" i="2" a="1"/>
  <c r="J2248" i="2" a="1"/>
  <c r="J2257" i="2" a="1"/>
  <c r="J2265" i="2" a="1"/>
  <c r="J2269" i="2" a="1"/>
  <c r="J2277" i="2" a="1"/>
  <c r="J2285" i="2" a="1"/>
  <c r="J2293" i="2" a="1"/>
  <c r="J2301" i="2" a="1"/>
  <c r="J2305" i="2" a="1"/>
  <c r="J2313" i="2" a="1"/>
  <c r="J2321" i="2" a="1"/>
  <c r="J2325" i="2" a="1"/>
  <c r="J2333" i="2" a="1"/>
  <c r="J2341" i="2" a="1"/>
  <c r="J2349" i="2" a="1"/>
  <c r="J2357" i="2" a="1"/>
  <c r="J2361" i="2" a="1"/>
  <c r="J2369" i="2" a="1"/>
  <c r="J2377" i="2" a="1"/>
  <c r="J2381" i="2" a="1"/>
  <c r="J2389" i="2" a="1"/>
  <c r="J2397" i="2" a="1"/>
  <c r="J2136" i="2" a="1"/>
  <c r="J2209" i="2" a="1"/>
  <c r="J2236" i="2" a="1"/>
  <c r="J1976" i="2" a="1"/>
  <c r="J2009" i="2" a="1"/>
  <c r="J2035" i="2" a="1"/>
  <c r="J2067" i="2" a="1"/>
  <c r="J2089" i="2" a="1"/>
  <c r="J2115" i="2" a="1"/>
  <c r="J2142" i="2" a="1"/>
  <c r="J2168" i="2" a="1"/>
  <c r="J2205" i="2" a="1"/>
  <c r="J2246" i="2" a="1"/>
  <c r="J2275" i="2" a="1"/>
  <c r="J2299" i="2" a="1"/>
  <c r="J2323" i="2" a="1"/>
  <c r="J2343" i="2" a="1"/>
  <c r="J2367" i="2" a="1"/>
  <c r="J2395" i="2" a="1"/>
  <c r="J1988" i="2" a="1"/>
  <c r="J2116" i="2" a="1"/>
  <c r="J1023" i="2" a="1"/>
  <c r="J1210" i="2" a="1"/>
  <c r="J1313" i="2" a="1"/>
  <c r="J1349" i="2" a="1"/>
  <c r="J1373" i="2" a="1"/>
  <c r="J1436" i="2" a="1"/>
  <c r="J1459" i="2" a="1"/>
  <c r="J1481" i="2" a="1"/>
  <c r="J1523" i="2" a="1"/>
  <c r="J1545" i="2" a="1"/>
  <c r="J1587" i="2" a="1"/>
  <c r="J1608" i="2" a="1"/>
  <c r="J1626" i="2" a="1"/>
  <c r="J1657" i="2" a="1"/>
  <c r="J1700" i="2" a="1"/>
  <c r="J1743" i="2" a="1"/>
  <c r="J1758" i="2" a="1"/>
  <c r="J1770" i="2" a="1"/>
  <c r="J1785" i="2" a="1"/>
  <c r="J1822" i="2" a="1"/>
  <c r="J1854" i="2" a="1"/>
  <c r="J1886" i="2" a="1"/>
  <c r="J1979" i="2" a="1"/>
  <c r="J1985" i="2" a="1"/>
  <c r="J1990" i="2" a="1"/>
  <c r="J1995" i="2" a="1"/>
  <c r="J2001" i="2" a="1"/>
  <c r="J2006" i="2" a="1"/>
  <c r="J2011" i="2" a="1"/>
  <c r="J2017" i="2" a="1"/>
  <c r="J2022" i="2" a="1"/>
  <c r="J2027" i="2" a="1"/>
  <c r="J2033" i="2" a="1"/>
  <c r="J2038" i="2" a="1"/>
  <c r="J2043" i="2" a="1"/>
  <c r="J2049" i="2" a="1"/>
  <c r="J2054" i="2" a="1"/>
  <c r="J2059" i="2" a="1"/>
  <c r="J2065" i="2" a="1"/>
  <c r="J2070" i="2" a="1"/>
  <c r="J2075" i="2" a="1"/>
  <c r="J2081" i="2" a="1"/>
  <c r="J2086" i="2" a="1"/>
  <c r="J2091" i="2" a="1"/>
  <c r="J2097" i="2" a="1"/>
  <c r="J2102" i="2" a="1"/>
  <c r="J2107" i="2" a="1"/>
  <c r="J2113" i="2" a="1"/>
  <c r="J2118" i="2" a="1"/>
  <c r="J2123" i="2" a="1"/>
  <c r="J2129" i="2" a="1"/>
  <c r="J2134" i="2" a="1"/>
  <c r="J2139" i="2" a="1"/>
  <c r="J2145" i="2" a="1"/>
  <c r="J2155" i="2" a="1"/>
  <c r="J2161" i="2" a="1"/>
  <c r="J2166" i="2" a="1"/>
  <c r="J2175" i="2" a="1"/>
  <c r="J2189" i="2" a="1"/>
  <c r="J2221" i="2" a="1"/>
  <c r="J2239" i="2" a="1"/>
  <c r="J2253" i="2" a="1"/>
  <c r="J2261" i="2" a="1"/>
  <c r="J2273" i="2" a="1"/>
  <c r="J2281" i="2" a="1"/>
  <c r="J2289" i="2" a="1"/>
  <c r="J2297" i="2" a="1"/>
  <c r="J2309" i="2" a="1"/>
  <c r="J2317" i="2" a="1"/>
  <c r="J2329" i="2" a="1"/>
  <c r="J2337" i="2" a="1"/>
  <c r="J2345" i="2" a="1"/>
  <c r="J2353" i="2" a="1"/>
  <c r="J2365" i="2" a="1"/>
  <c r="J2373" i="2" a="1"/>
  <c r="J2385" i="2" a="1"/>
  <c r="J2393" i="2" a="1"/>
  <c r="J2401" i="2" a="1"/>
  <c r="J2120" i="2" a="1"/>
  <c r="J2152" i="2" a="1"/>
  <c r="J2186" i="2" a="1"/>
  <c r="J2241" i="2" a="1"/>
  <c r="J1633" i="2" a="1"/>
  <c r="J1870" i="2" a="1"/>
  <c r="J1993" i="2" a="1"/>
  <c r="J2014" i="2" a="1"/>
  <c r="J2041" i="2" a="1"/>
  <c r="J2078" i="2" a="1"/>
  <c r="J2094" i="2" a="1"/>
  <c r="J2121" i="2" a="1"/>
  <c r="J2153" i="2" a="1"/>
  <c r="J2182" i="2" a="1"/>
  <c r="J2214" i="2" a="1"/>
  <c r="J2259" i="2" a="1"/>
  <c r="J2283" i="2" a="1"/>
  <c r="J2303" i="2" a="1"/>
  <c r="J2327" i="2" a="1"/>
  <c r="J2351" i="2" a="1"/>
  <c r="J2379" i="2" a="1"/>
  <c r="J2132" i="2" a="1"/>
  <c r="J1095" i="2" a="1"/>
  <c r="J1245" i="2" a="1"/>
  <c r="J1317" i="2" a="1"/>
  <c r="J1352" i="2" a="1"/>
  <c r="J1381" i="2" a="1"/>
  <c r="J1405" i="2" a="1"/>
  <c r="J1483" i="2" a="1"/>
  <c r="J1505" i="2" a="1"/>
  <c r="J1547" i="2" a="1"/>
  <c r="J1569" i="2" a="1"/>
  <c r="J1627" i="2" a="1"/>
  <c r="J1645" i="2" a="1"/>
  <c r="J1658" i="2" a="1"/>
  <c r="J1673" i="2" a="1"/>
  <c r="J1716" i="2" a="1"/>
  <c r="J1759" i="2" a="1"/>
  <c r="J1774" i="2" a="1"/>
  <c r="J1786" i="2" a="1"/>
  <c r="J1801" i="2" a="1"/>
  <c r="J1834" i="2" a="1"/>
  <c r="J1866" i="2" a="1"/>
  <c r="J1898" i="2" a="1"/>
  <c r="J1918" i="2" a="1"/>
  <c r="J1926" i="2" a="1"/>
  <c r="J1934" i="2" a="1"/>
  <c r="J1942" i="2" a="1"/>
  <c r="J1950" i="2" a="1"/>
  <c r="J1958" i="2" a="1"/>
  <c r="J1966" i="2" a="1"/>
  <c r="J1974" i="2" a="1"/>
  <c r="J1980" i="2" a="1"/>
  <c r="J1996" i="2" a="1"/>
  <c r="J2012" i="2" a="1"/>
  <c r="J2028" i="2" a="1"/>
  <c r="J2044" i="2" a="1"/>
  <c r="J2060" i="2" a="1"/>
  <c r="J2076" i="2" a="1"/>
  <c r="J2092" i="2" a="1"/>
  <c r="J2108" i="2" a="1"/>
  <c r="J2124" i="2" a="1"/>
  <c r="J2140" i="2" a="1"/>
  <c r="J2156" i="2" a="1"/>
  <c r="J2171" i="2" a="1"/>
  <c r="J2180" i="2" a="1"/>
  <c r="J2185" i="2" a="1"/>
  <c r="J2194" i="2" a="1"/>
  <c r="J2203" i="2" a="1"/>
  <c r="J2212" i="2" a="1"/>
  <c r="J2217" i="2" a="1"/>
  <c r="J2226" i="2" a="1"/>
  <c r="J2235" i="2" a="1"/>
  <c r="J2244" i="2" a="1"/>
  <c r="J2249" i="2" a="1"/>
  <c r="J2151" i="2" a="1"/>
  <c r="J2181" i="2" a="1"/>
  <c r="J2190" i="2" a="1"/>
  <c r="J2208" i="2" a="1"/>
  <c r="J2222" i="2" a="1"/>
  <c r="J2240" i="2" a="1"/>
  <c r="J2254" i="2" a="1"/>
  <c r="J2262" i="2" a="1"/>
  <c r="J2266" i="2" a="1"/>
  <c r="J2274" i="2" a="1"/>
  <c r="J2282" i="2" a="1"/>
  <c r="J2286" i="2" a="1"/>
  <c r="J2294" i="2" a="1"/>
  <c r="J2302" i="2" a="1"/>
  <c r="J2310" i="2" a="1"/>
  <c r="J2314" i="2" a="1"/>
  <c r="J2322" i="2" a="1"/>
  <c r="J2330" i="2" a="1"/>
  <c r="J2338" i="2" a="1"/>
  <c r="J2346" i="2" a="1"/>
  <c r="J2354" i="2" a="1"/>
  <c r="J2362" i="2" a="1"/>
  <c r="J2370" i="2" a="1"/>
  <c r="J2378" i="2" a="1"/>
  <c r="J2386" i="2" a="1"/>
  <c r="J2394" i="2" a="1"/>
  <c r="J2104" i="2" a="1"/>
  <c r="J2172" i="2" a="1"/>
  <c r="J2204" i="2" a="1"/>
  <c r="J2227" i="2" a="1"/>
  <c r="J2250" i="2" a="1"/>
  <c r="J1615" i="2" a="1"/>
  <c r="J1902" i="2" a="1"/>
  <c r="J1987" i="2" a="1"/>
  <c r="J2019" i="2" a="1"/>
  <c r="J2046" i="2" a="1"/>
  <c r="J2073" i="2" a="1"/>
  <c r="J2083" i="2" a="1"/>
  <c r="J2110" i="2" a="1"/>
  <c r="J2137" i="2" a="1"/>
  <c r="J2163" i="2" a="1"/>
  <c r="J2237" i="2" a="1"/>
  <c r="J2267" i="2" a="1"/>
  <c r="J2295" i="2" a="1"/>
  <c r="J2319" i="2" a="1"/>
  <c r="J2347" i="2" a="1"/>
  <c r="J2371" i="2" a="1"/>
  <c r="J2391" i="2" a="1"/>
  <c r="J1103" i="2" a="1"/>
  <c r="J1249" i="2" a="1"/>
  <c r="J1384" i="2" a="1"/>
  <c r="J1413" i="2" a="1"/>
  <c r="J1437" i="2" a="1"/>
  <c r="J1465" i="2" a="1"/>
  <c r="J1507" i="2" a="1"/>
  <c r="J1529" i="2" a="1"/>
  <c r="J1571" i="2" a="1"/>
  <c r="J1593" i="2" a="1"/>
  <c r="J1613" i="2" a="1"/>
  <c r="J1628" i="2" a="1"/>
  <c r="J1646" i="2" a="1"/>
  <c r="J1662" i="2" a="1"/>
  <c r="J1674" i="2" a="1"/>
  <c r="J1689" i="2" a="1"/>
  <c r="J1732" i="2" a="1"/>
  <c r="J1775" i="2" a="1"/>
  <c r="J1790" i="2" a="1"/>
  <c r="J1802" i="2" a="1"/>
  <c r="J1814" i="2" a="1"/>
  <c r="J1846" i="2" a="1"/>
  <c r="J1878" i="2" a="1"/>
  <c r="J1910" i="2" a="1"/>
  <c r="J1981" i="2" a="1"/>
  <c r="J1986" i="2" a="1"/>
  <c r="J1991" i="2" a="1"/>
  <c r="J1997" i="2" a="1"/>
  <c r="J2002" i="2" a="1"/>
  <c r="J2007" i="2" a="1"/>
  <c r="J2013" i="2" a="1"/>
  <c r="J2018" i="2" a="1"/>
  <c r="J2023" i="2" a="1"/>
  <c r="J2029" i="2" a="1"/>
  <c r="J2034" i="2" a="1"/>
  <c r="J2039" i="2" a="1"/>
  <c r="J2045" i="2" a="1"/>
  <c r="J2050" i="2" a="1"/>
  <c r="J2055" i="2" a="1"/>
  <c r="J2061" i="2" a="1"/>
  <c r="J2066" i="2" a="1"/>
  <c r="J2071" i="2" a="1"/>
  <c r="J2077" i="2" a="1"/>
  <c r="J2082" i="2" a="1"/>
  <c r="J2087" i="2" a="1"/>
  <c r="J2093" i="2" a="1"/>
  <c r="J2098" i="2" a="1"/>
  <c r="J2103" i="2" a="1"/>
  <c r="J2109" i="2" a="1"/>
  <c r="J2114" i="2" a="1"/>
  <c r="J2119" i="2" a="1"/>
  <c r="J2125" i="2" a="1"/>
  <c r="J2130" i="2" a="1"/>
  <c r="J2135" i="2" a="1"/>
  <c r="J2141" i="2" a="1"/>
  <c r="J2146" i="2" a="1"/>
  <c r="J2157" i="2" a="1"/>
  <c r="J2162" i="2" a="1"/>
  <c r="J2167" i="2" a="1"/>
  <c r="J2176" i="2" a="1"/>
  <c r="J2199" i="2" a="1"/>
  <c r="J2213" i="2" a="1"/>
  <c r="J2231" i="2" a="1"/>
  <c r="J2245" i="2" a="1"/>
  <c r="J2258" i="2" a="1"/>
  <c r="J2270" i="2" a="1"/>
  <c r="J2278" i="2" a="1"/>
  <c r="J2290" i="2" a="1"/>
  <c r="J2298" i="2" a="1"/>
  <c r="J2306" i="2" a="1"/>
  <c r="J2318" i="2" a="1"/>
  <c r="J2326" i="2" a="1"/>
  <c r="J2334" i="2" a="1"/>
  <c r="J2342" i="2" a="1"/>
  <c r="J2350" i="2" a="1"/>
  <c r="J2358" i="2" a="1"/>
  <c r="J2366" i="2" a="1"/>
  <c r="J2374" i="2" a="1"/>
  <c r="J2382" i="2" a="1"/>
  <c r="J2390" i="2" a="1"/>
  <c r="J2398" i="2" a="1"/>
  <c r="J2177" i="2" a="1"/>
  <c r="J2195" i="2" a="1"/>
  <c r="J2218" i="2" a="1"/>
  <c r="J1982" i="2" a="1"/>
  <c r="J2003" i="2" a="1"/>
  <c r="J2030" i="2" a="1"/>
  <c r="J2062" i="2" a="1"/>
  <c r="J2105" i="2" a="1"/>
  <c r="J2126" i="2" a="1"/>
  <c r="J2158" i="2" a="1"/>
  <c r="J2200" i="2" a="1"/>
  <c r="J2223" i="2" a="1"/>
  <c r="J2255" i="2" a="1"/>
  <c r="J2279" i="2" a="1"/>
  <c r="J2307" i="2" a="1"/>
  <c r="J2331" i="2" a="1"/>
  <c r="J2355" i="2" a="1"/>
  <c r="J2375" i="2" a="1"/>
  <c r="J2399" i="2" a="1"/>
  <c r="J1146" i="2" a="1"/>
  <c r="J1253" i="2" a="1"/>
  <c r="J1329" i="2" a="1"/>
  <c r="J1416" i="2" a="1"/>
  <c r="J1445" i="2" a="1"/>
  <c r="J1467" i="2" a="1"/>
  <c r="J1489" i="2" a="1"/>
  <c r="J1531" i="2" a="1"/>
  <c r="J1553" i="2" a="1"/>
  <c r="J1595" i="2" a="1"/>
  <c r="J1614" i="2" a="1"/>
  <c r="J1647" i="2" a="1"/>
  <c r="J1663" i="2" a="1"/>
  <c r="J1678" i="2" a="1"/>
  <c r="J1690" i="2" a="1"/>
  <c r="J1705" i="2" a="1"/>
  <c r="J1748" i="2" a="1"/>
  <c r="J1791" i="2" a="1"/>
  <c r="J1826" i="2" a="1"/>
  <c r="J1858" i="2" a="1"/>
  <c r="J1890" i="2" a="1"/>
  <c r="J1919" i="2" a="1"/>
  <c r="J1927" i="2" a="1"/>
  <c r="J1935" i="2" a="1"/>
  <c r="J1943" i="2" a="1"/>
  <c r="J1951" i="2" a="1"/>
  <c r="J1959" i="2" a="1"/>
  <c r="J1967" i="2" a="1"/>
  <c r="J1975" i="2" a="1"/>
  <c r="J1992" i="2" a="1"/>
  <c r="J2008" i="2" a="1"/>
  <c r="J2024" i="2" a="1"/>
  <c r="J2040" i="2" a="1"/>
  <c r="J2056" i="2" a="1"/>
  <c r="J2072" i="2" a="1"/>
  <c r="J2088" i="2" a="1"/>
  <c r="J1721" i="2" a="1"/>
  <c r="J2051" i="2" a="1"/>
  <c r="J2131" i="2" a="1"/>
  <c r="J2173" i="2" a="1"/>
  <c r="J2271" i="2" a="1"/>
  <c r="J2291" i="2" a="1"/>
  <c r="J2315" i="2" a="1"/>
  <c r="J2339" i="2" a="1"/>
  <c r="J2363" i="2" a="1"/>
  <c r="J2387" i="2" a="1"/>
  <c r="J2084" i="2" a="1"/>
  <c r="J1152" i="2" a="1"/>
  <c r="J1277" i="2" a="1"/>
  <c r="J1332" i="2" a="1"/>
  <c r="J1361" i="2" a="1"/>
  <c r="J1448" i="2" a="1"/>
  <c r="J1491" i="2" a="1"/>
  <c r="J1513" i="2" a="1"/>
  <c r="J1555" i="2" a="1"/>
  <c r="J1577" i="2" a="1"/>
  <c r="J1679" i="2" a="1"/>
  <c r="J1694" i="2" a="1"/>
  <c r="J1706" i="2" a="1"/>
  <c r="J1764" i="2" a="1"/>
  <c r="J1806" i="2" a="1"/>
  <c r="J1838" i="2" a="1"/>
  <c r="J1998" i="2" a="1"/>
  <c r="J2025" i="2" a="1"/>
  <c r="J2057" i="2" a="1"/>
  <c r="J2099" i="2" a="1"/>
  <c r="J2147" i="2" a="1"/>
  <c r="J2191" i="2" a="1"/>
  <c r="J2232" i="2" a="1"/>
  <c r="J2263" i="2" a="1"/>
  <c r="J2287" i="2" a="1"/>
  <c r="J2311" i="2" a="1"/>
  <c r="J2335" i="2" a="1"/>
  <c r="J2359" i="2" a="1"/>
  <c r="J2383" i="2" a="1"/>
  <c r="J2004" i="2" a="1"/>
  <c r="J2100" i="2" a="1"/>
  <c r="J1159" i="2" a="1"/>
  <c r="J1281" i="2" a="1"/>
  <c r="J1340" i="2" a="1"/>
  <c r="J1364" i="2" a="1"/>
  <c r="J1393" i="2" a="1"/>
  <c r="J1473" i="2" a="1"/>
  <c r="J1515" i="2" a="1"/>
  <c r="J1537" i="2" a="1"/>
  <c r="J1579" i="2" a="1"/>
  <c r="J1601" i="2" a="1"/>
  <c r="J1620" i="2" a="1"/>
  <c r="J1634" i="2" a="1"/>
  <c r="J1652" i="2" a="1"/>
  <c r="J1695" i="2" a="1"/>
  <c r="J1710" i="2" a="1"/>
  <c r="J1722" i="2" a="1"/>
  <c r="J1737" i="2" a="1"/>
  <c r="J1780" i="2" a="1"/>
  <c r="J1818" i="2" a="1"/>
  <c r="J1850" i="2" a="1"/>
  <c r="J1882" i="2" a="1"/>
  <c r="J1914" i="2" a="1"/>
  <c r="J1922" i="2" a="1"/>
  <c r="J1930" i="2" a="1"/>
  <c r="J1938" i="2" a="1"/>
  <c r="J1946" i="2" a="1"/>
  <c r="J1954" i="2" a="1"/>
  <c r="J1962" i="2" a="1"/>
  <c r="J1970" i="2" a="1"/>
  <c r="J2020" i="2" a="1"/>
  <c r="J2036" i="2" a="1"/>
  <c r="J2052" i="2" a="1"/>
  <c r="J2068" i="2" a="1"/>
  <c r="J1197" i="2" a="1"/>
  <c r="J1285" i="2" a="1"/>
  <c r="J1372" i="2" a="1"/>
  <c r="J1396" i="2" a="1"/>
  <c r="J1425" i="2" a="1"/>
  <c r="J1475" i="2" a="1"/>
  <c r="J1497" i="2" a="1"/>
  <c r="J1539" i="2" a="1"/>
  <c r="J1561" i="2" a="1"/>
  <c r="J1602" i="2" a="1"/>
  <c r="J1639" i="2" a="1"/>
  <c r="J1668" i="2" a="1"/>
  <c r="J1711" i="2" a="1"/>
  <c r="J1726" i="2" a="1"/>
  <c r="J1738" i="2" a="1"/>
  <c r="J1753" i="2" a="1"/>
  <c r="J1796" i="2" a="1"/>
  <c r="J1830" i="2" a="1"/>
  <c r="J1862" i="2" a="1"/>
  <c r="J1894" i="2" a="1"/>
  <c r="J1978" i="2" a="1"/>
  <c r="J1983" i="2" a="1"/>
  <c r="J1989" i="2" a="1"/>
  <c r="J1994" i="2" a="1"/>
  <c r="J1999" i="2" a="1"/>
  <c r="J2005" i="2" a="1"/>
  <c r="J2010" i="2" a="1"/>
  <c r="J2053" i="2" a="1"/>
  <c r="J2095" i="2" a="1"/>
  <c r="J2164" i="2" a="1"/>
  <c r="J2201" i="2" a="1"/>
  <c r="J2219" i="2" a="1"/>
  <c r="J2320" i="2" a="1"/>
  <c r="J2352" i="2" a="1"/>
  <c r="J2384" i="2" a="1"/>
  <c r="J2021" i="2" a="1"/>
  <c r="J2106" i="2" a="1"/>
  <c r="J2169" i="2" a="1"/>
  <c r="J2026" i="2" a="1"/>
  <c r="J2111" i="2" a="1"/>
  <c r="J2206" i="2" a="1"/>
  <c r="J2276" i="2" a="1"/>
  <c r="J2308" i="2" a="1"/>
  <c r="J2340" i="2" a="1"/>
  <c r="J2356" i="2" a="1"/>
  <c r="J2388" i="2" a="1"/>
  <c r="J2031" i="2" a="1"/>
  <c r="J2149" i="2" a="1"/>
  <c r="J2228" i="2" a="1"/>
  <c r="J2037" i="2" a="1"/>
  <c r="J2122" i="2" a="1"/>
  <c r="J2174" i="2" a="1"/>
  <c r="J2247" i="2" a="1"/>
  <c r="J2280" i="2" a="1"/>
  <c r="J2344" i="2" a="1"/>
  <c r="J2376" i="2" a="1"/>
  <c r="J2042" i="2" a="1"/>
  <c r="J2127" i="2" a="1"/>
  <c r="J2196" i="2" a="1"/>
  <c r="J2233" i="2" a="1"/>
  <c r="J2090" i="2" a="1"/>
  <c r="J2159" i="2" a="1"/>
  <c r="J2316" i="2" a="1"/>
  <c r="J2380" i="2" a="1"/>
  <c r="J2015" i="2" a="1"/>
  <c r="J2058" i="2" a="1"/>
  <c r="J2101" i="2" a="1"/>
  <c r="J2138" i="2" a="1"/>
  <c r="J2165" i="2" a="1"/>
  <c r="J2183" i="2" a="1"/>
  <c r="J2238" i="2" a="1"/>
  <c r="J2256" i="2" a="1"/>
  <c r="J2272" i="2" a="1"/>
  <c r="J2288" i="2" a="1"/>
  <c r="J2304" i="2" a="1"/>
  <c r="J2336" i="2" a="1"/>
  <c r="J2368" i="2" a="1"/>
  <c r="J2400" i="2" a="1"/>
  <c r="J2063" i="2" a="1"/>
  <c r="J2143" i="2" a="1"/>
  <c r="J2187" i="2" a="1"/>
  <c r="J2242" i="2" a="1"/>
  <c r="J2069" i="2" a="1"/>
  <c r="J2148" i="2" a="1"/>
  <c r="J2224" i="2" a="1"/>
  <c r="J2260" i="2" a="1"/>
  <c r="J2292" i="2" a="1"/>
  <c r="J2324" i="2" a="1"/>
  <c r="J2372" i="2" a="1"/>
  <c r="J2074" i="2" a="1"/>
  <c r="J2117" i="2" a="1"/>
  <c r="J2210" i="2" a="1"/>
  <c r="J2079" i="2" a="1"/>
  <c r="J2154" i="2" a="1"/>
  <c r="J2192" i="2" a="1"/>
  <c r="J2229" i="2" a="1"/>
  <c r="J2264" i="2" a="1"/>
  <c r="J2296" i="2" a="1"/>
  <c r="J2360" i="2" a="1"/>
  <c r="J2392" i="2" a="1"/>
  <c r="J2085" i="2" a="1"/>
  <c r="J2178" i="2" a="1"/>
  <c r="J2251" i="2" a="1"/>
  <c r="J2047" i="2" a="1"/>
  <c r="J2133" i="2" a="1"/>
  <c r="J2268" i="2" a="1"/>
  <c r="J2348" i="2" a="1"/>
  <c r="J2396" i="2" a="1"/>
  <c r="J2328" i="2" a="1"/>
  <c r="J2332" i="2" a="1"/>
  <c r="J2312" i="2" a="1"/>
  <c r="J2197" i="2" a="1"/>
  <c r="J2364" i="2" a="1"/>
  <c r="J2284" i="2" a="1"/>
  <c r="J2215" i="2" a="1"/>
  <c r="J2300" i="2" a="1"/>
  <c r="J28" i="2" a="1"/>
  <c r="J29" i="2" a="1"/>
  <c r="J37" i="2" a="1"/>
  <c r="J45" i="2" a="1"/>
  <c r="J34" i="2" a="1"/>
  <c r="J42" i="2" a="1"/>
  <c r="J31" i="2" a="1"/>
  <c r="J39" i="2" a="1"/>
  <c r="J36" i="2" a="1"/>
  <c r="J33" i="2" a="1"/>
  <c r="J41" i="2" a="1"/>
  <c r="J38" i="2" a="1"/>
  <c r="J46" i="2" a="1"/>
  <c r="J35" i="2" a="1"/>
  <c r="J43" i="2" a="1"/>
  <c r="J32" i="2" a="1"/>
  <c r="J44" i="2" a="1"/>
  <c r="J40" i="2" a="1"/>
  <c r="J30" i="2" a="1"/>
  <c r="J3" i="2" a="1"/>
  <c r="J7" i="2" a="1"/>
  <c r="J11" i="2" a="1"/>
  <c r="J15" i="2" a="1"/>
  <c r="J19" i="2" a="1"/>
  <c r="J23" i="2" a="1"/>
  <c r="J27" i="2" a="1"/>
  <c r="J4" i="2" a="1"/>
  <c r="J8" i="2" a="1"/>
  <c r="J12" i="2" a="1"/>
  <c r="J16" i="2" a="1"/>
  <c r="J20" i="2" a="1"/>
  <c r="J24" i="2" a="1"/>
  <c r="J5" i="2" a="1"/>
  <c r="J9" i="2" a="1"/>
  <c r="J13" i="2" a="1"/>
  <c r="J17" i="2" a="1"/>
  <c r="J21" i="2" a="1"/>
  <c r="J25" i="2" a="1"/>
  <c r="J6" i="2" a="1"/>
  <c r="J10" i="2" a="1"/>
  <c r="J14" i="2" a="1"/>
  <c r="J18" i="2" a="1"/>
  <c r="J22" i="2" a="1"/>
  <c r="J26" i="2" a="1"/>
  <c r="J2" i="2" a="1"/>
  <c r="I3" i="1" a="1"/>
  <c r="I35" i="1" a="1"/>
  <c r="I67" i="1" a="1"/>
  <c r="I99" i="1" a="1"/>
  <c r="I131" i="1" a="1"/>
  <c r="I163" i="1" a="1"/>
  <c r="I5" i="1" a="1"/>
  <c r="I61" i="1" a="1"/>
  <c r="I150" i="1" a="1"/>
  <c r="I210" i="1" a="1"/>
  <c r="I253" i="1" a="1"/>
  <c r="I295" i="1" a="1"/>
  <c r="I338" i="1" a="1"/>
  <c r="I9" i="1" a="1"/>
  <c r="I100" i="1" a="1"/>
  <c r="I177" i="1" a="1"/>
  <c r="I312" i="1" a="1"/>
  <c r="I88" i="1" a="1"/>
  <c r="I165" i="1" a="1"/>
  <c r="I222" i="1" a="1"/>
  <c r="I265" i="1" a="1"/>
  <c r="I307" i="1" a="1"/>
  <c r="I348" i="1" a="1"/>
  <c r="I380" i="1" a="1"/>
  <c r="I412" i="1" a="1"/>
  <c r="I444" i="1" a="1"/>
  <c r="I476" i="1" a="1"/>
  <c r="I508" i="1" a="1"/>
  <c r="I540" i="1" a="1"/>
  <c r="I572" i="1" a="1"/>
  <c r="I12" i="1" a="1"/>
  <c r="I102" i="1" a="1"/>
  <c r="I191" i="1" a="1"/>
  <c r="I234" i="1" a="1"/>
  <c r="I277" i="1" a="1"/>
  <c r="I13" i="1" a="1"/>
  <c r="I90" i="1" a="1"/>
  <c r="I180" i="1" a="1"/>
  <c r="I72" i="1" a="1"/>
  <c r="I149" i="1" a="1"/>
  <c r="I214" i="1" a="1"/>
  <c r="I257" i="1" a="1"/>
  <c r="I299" i="1" a="1"/>
  <c r="I66" i="1" a="1"/>
  <c r="I156" i="1" a="1"/>
  <c r="I268" i="1" a="1"/>
  <c r="I331" i="1" a="1"/>
  <c r="I642" i="1" a="1"/>
  <c r="I706" i="1" a="1"/>
  <c r="I260" i="1" a="1"/>
  <c r="I383" i="1" a="1"/>
  <c r="I426" i="1" a="1"/>
  <c r="I469" i="1" a="1"/>
  <c r="I511" i="1" a="1"/>
  <c r="I554" i="1" a="1"/>
  <c r="I597" i="1" a="1"/>
  <c r="I82" i="1" a="1"/>
  <c r="I611" i="1" a="1"/>
  <c r="I140" i="1" a="1"/>
  <c r="I385" i="1" a="1"/>
  <c r="I427" i="1" a="1"/>
  <c r="I470" i="1" a="1"/>
  <c r="I513" i="1" a="1"/>
  <c r="I288" i="1" a="1"/>
  <c r="I292" i="1" a="1"/>
  <c r="I577" i="1" a="1"/>
  <c r="I690" i="1" a="1"/>
  <c r="I375" i="1" a="1"/>
  <c r="I461" i="1" a="1"/>
  <c r="I551" i="1" a="1"/>
  <c r="I639" i="1" a="1"/>
  <c r="I722" i="1" a="1"/>
  <c r="I772" i="1" a="1"/>
  <c r="I804" i="1" a="1"/>
  <c r="I836" i="1" a="1"/>
  <c r="I868" i="1" a="1"/>
  <c r="I535" i="1" a="1"/>
  <c r="I646" i="1" a="1"/>
  <c r="I707" i="1" a="1"/>
  <c r="I398" i="1" a="1"/>
  <c r="I483" i="1" a="1"/>
  <c r="I595" i="1" a="1"/>
  <c r="I692" i="1" a="1"/>
  <c r="I753" i="1" a="1"/>
  <c r="I785" i="1" a="1"/>
  <c r="I817" i="1" a="1"/>
  <c r="I849" i="1" a="1"/>
  <c r="I881" i="1" a="1"/>
  <c r="I913" i="1" a="1"/>
  <c r="I555" i="1" a="1"/>
  <c r="I677" i="1" a="1"/>
  <c r="I749" i="1" a="1"/>
  <c r="I434" i="1" a="1"/>
  <c r="I519" i="1" a="1"/>
  <c r="I621" i="1" a="1"/>
  <c r="I719" i="1" a="1"/>
  <c r="I766" i="1" a="1"/>
  <c r="I899" i="1" a="1"/>
  <c r="I951" i="1" a="1"/>
  <c r="I994" i="1" a="1"/>
  <c r="I1040" i="1" a="1"/>
  <c r="I1104" i="1" a="1"/>
  <c r="I1168" i="1" a="1"/>
  <c r="I1232" i="1" a="1"/>
  <c r="I1270" i="1" a="1"/>
  <c r="I1302" i="1" a="1"/>
  <c r="I457" i="1" a="1"/>
  <c r="I746" i="1" a="1"/>
  <c r="I839" i="1" a="1"/>
  <c r="I900" i="1" a="1"/>
  <c r="I1036" i="1" a="1"/>
  <c r="I1100" i="1" a="1"/>
  <c r="I1164" i="1" a="1"/>
  <c r="I1228" i="1" a="1"/>
  <c r="I779" i="1" a="1"/>
  <c r="I942" i="1" a="1"/>
  <c r="I985" i="1" a="1"/>
  <c r="I1027" i="1" a="1"/>
  <c r="I1087" i="1" a="1"/>
  <c r="I1151" i="1" a="1"/>
  <c r="I1215" i="1" a="1"/>
  <c r="I1263" i="1" a="1"/>
  <c r="I1295" i="1" a="1"/>
  <c r="I425" i="1" a="1"/>
  <c r="I751" i="1" a="1"/>
  <c r="I834" i="1" a="1"/>
  <c r="I902" i="1" a="1"/>
  <c r="I7" i="1" a="1"/>
  <c r="I39" i="1" a="1"/>
  <c r="I71" i="1" a="1"/>
  <c r="I103" i="1" a="1"/>
  <c r="I135" i="1" a="1"/>
  <c r="I167" i="1" a="1"/>
  <c r="I6" i="1" a="1"/>
  <c r="I80" i="1" a="1"/>
  <c r="I157" i="1" a="1"/>
  <c r="I215" i="1" a="1"/>
  <c r="I258" i="1" a="1"/>
  <c r="I301" i="1" a="1"/>
  <c r="I343" i="1" a="1"/>
  <c r="I17" i="1" a="1"/>
  <c r="I106" i="1" a="1"/>
  <c r="I200" i="1" a="1"/>
  <c r="I328" i="1" a="1"/>
  <c r="I94" i="1" a="1"/>
  <c r="I184" i="1" a="1"/>
  <c r="I227" i="1" a="1"/>
  <c r="I270" i="1" a="1"/>
  <c r="I313" i="1" a="1"/>
  <c r="I352" i="1" a="1"/>
  <c r="I384" i="1" a="1"/>
  <c r="I416" i="1" a="1"/>
  <c r="I448" i="1" a="1"/>
  <c r="I480" i="1" a="1"/>
  <c r="I512" i="1" a="1"/>
  <c r="I544" i="1" a="1"/>
  <c r="I576" i="1" a="1"/>
  <c r="I32" i="1" a="1"/>
  <c r="I109" i="1" a="1"/>
  <c r="I197" i="1" a="1"/>
  <c r="I239" i="1" a="1"/>
  <c r="I282" i="1" a="1"/>
  <c r="I20" i="1" a="1"/>
  <c r="I97" i="1" a="1"/>
  <c r="I186" i="1" a="1"/>
  <c r="I78" i="1" a="1"/>
  <c r="I168" i="1" a="1"/>
  <c r="I219" i="1" a="1"/>
  <c r="I262" i="1" a="1"/>
  <c r="I305" i="1" a="1"/>
  <c r="I73" i="1" a="1"/>
  <c r="I162" i="1" a="1"/>
  <c r="I284" i="1" a="1"/>
  <c r="I341" i="1" a="1"/>
  <c r="I651" i="1" a="1"/>
  <c r="I715" i="1" a="1"/>
  <c r="I315" i="1" a="1"/>
  <c r="I389" i="1" a="1"/>
  <c r="I431" i="1" a="1"/>
  <c r="I474" i="1" a="1"/>
  <c r="I517" i="1" a="1"/>
  <c r="I559" i="1" a="1"/>
  <c r="I606" i="1" a="1"/>
  <c r="I185" i="1" a="1"/>
  <c r="I616" i="1" a="1"/>
  <c r="I244" i="1" a="1"/>
  <c r="I390" i="1" a="1"/>
  <c r="I433" i="1" a="1"/>
  <c r="I475" i="1" a="1"/>
  <c r="I518" i="1" a="1"/>
  <c r="I308" i="1" a="1"/>
  <c r="I320" i="1" a="1"/>
  <c r="I637" i="1" a="1"/>
  <c r="I695" i="1" a="1"/>
  <c r="I386" i="1" a="1"/>
  <c r="I471" i="1" a="1"/>
  <c r="I561" i="1" a="1"/>
  <c r="I659" i="1" a="1"/>
  <c r="I727" i="1" a="1"/>
  <c r="I776" i="1" a="1"/>
  <c r="I808" i="1" a="1"/>
  <c r="I840" i="1" a="1"/>
  <c r="I872" i="1" a="1"/>
  <c r="I545" i="1" a="1"/>
  <c r="I654" i="1" a="1"/>
  <c r="I728" i="1" a="1"/>
  <c r="I409" i="1" a="1"/>
  <c r="I494" i="1" a="1"/>
  <c r="I604" i="1" a="1"/>
  <c r="I708" i="1" a="1"/>
  <c r="I757" i="1" a="1"/>
  <c r="I789" i="1" a="1"/>
  <c r="I821" i="1" a="1"/>
  <c r="I853" i="1" a="1"/>
  <c r="I885" i="1" a="1"/>
  <c r="I917" i="1" a="1"/>
  <c r="I579" i="1" a="1"/>
  <c r="I682" i="1" a="1"/>
  <c r="I276" i="1" a="1"/>
  <c r="I445" i="1" a="1"/>
  <c r="I530" i="1" a="1"/>
  <c r="I627" i="1" a="1"/>
  <c r="I725" i="1" a="1"/>
  <c r="I770" i="1" a="1"/>
  <c r="I906" i="1" a="1"/>
  <c r="I957" i="1" a="1"/>
  <c r="I999" i="1" a="1"/>
  <c r="I1045" i="1" a="1"/>
  <c r="I1109" i="1" a="1"/>
  <c r="I1173" i="1" a="1"/>
  <c r="I1237" i="1" a="1"/>
  <c r="I1274" i="1" a="1"/>
  <c r="I1306" i="1" a="1"/>
  <c r="I499" i="1" a="1"/>
  <c r="I763" i="1" a="1"/>
  <c r="I847" i="1" a="1"/>
  <c r="I919" i="1" a="1"/>
  <c r="I1041" i="1" a="1"/>
  <c r="I1105" i="1" a="1"/>
  <c r="I1169" i="1" a="1"/>
  <c r="I1233" i="1" a="1"/>
  <c r="I888" i="1" a="1"/>
  <c r="I947" i="1" a="1"/>
  <c r="I990" i="1" a="1"/>
  <c r="I1032" i="1" a="1"/>
  <c r="I1096" i="1" a="1"/>
  <c r="I1160" i="1" a="1"/>
  <c r="I1224" i="1" a="1"/>
  <c r="I1267" i="1" a="1"/>
  <c r="I1299" i="1" a="1"/>
  <c r="I467" i="1" a="1"/>
  <c r="I767" i="1" a="1"/>
  <c r="I842" i="1" a="1"/>
  <c r="I11" i="1" a="1"/>
  <c r="I43" i="1" a="1"/>
  <c r="I75" i="1" a="1"/>
  <c r="I107" i="1" a="1"/>
  <c r="I139" i="1" a="1"/>
  <c r="I171" i="1" a="1"/>
  <c r="I8" i="1" a="1"/>
  <c r="I86" i="1" a="1"/>
  <c r="I176" i="1" a="1"/>
  <c r="I221" i="1" a="1"/>
  <c r="I263" i="1" a="1"/>
  <c r="I306" i="1" a="1"/>
  <c r="I347" i="1" a="1"/>
  <c r="I36" i="1" a="1"/>
  <c r="I113" i="1" a="1"/>
  <c r="I216" i="1" a="1"/>
  <c r="I24" i="1" a="1"/>
  <c r="I101" i="1" a="1"/>
  <c r="I190" i="1" a="1"/>
  <c r="I233" i="1" a="1"/>
  <c r="I275" i="1" a="1"/>
  <c r="I318" i="1" a="1"/>
  <c r="I356" i="1" a="1"/>
  <c r="I388" i="1" a="1"/>
  <c r="I420" i="1" a="1"/>
  <c r="I452" i="1" a="1"/>
  <c r="I484" i="1" a="1"/>
  <c r="I516" i="1" a="1"/>
  <c r="I548" i="1" a="1"/>
  <c r="I580" i="1" a="1"/>
  <c r="I38" i="1" a="1"/>
  <c r="I128" i="1" a="1"/>
  <c r="I202" i="1" a="1"/>
  <c r="I245" i="1" a="1"/>
  <c r="I287" i="1" a="1"/>
  <c r="I26" i="1" a="1"/>
  <c r="I116" i="1" a="1"/>
  <c r="I192" i="1" a="1"/>
  <c r="I85" i="1" a="1"/>
  <c r="I174" i="1" a="1"/>
  <c r="I225" i="1" a="1"/>
  <c r="I267" i="1" a="1"/>
  <c r="I310" i="1" a="1"/>
  <c r="I92" i="1" a="1"/>
  <c r="I169" i="1" a="1"/>
  <c r="I300" i="1" a="1"/>
  <c r="I366" i="1" a="1"/>
  <c r="I656" i="1" a="1"/>
  <c r="I720" i="1" a="1"/>
  <c r="I325" i="1" a="1"/>
  <c r="I394" i="1" a="1"/>
  <c r="I437" i="1" a="1"/>
  <c r="I479" i="1" a="1"/>
  <c r="I522" i="1" a="1"/>
  <c r="I565" i="1" a="1"/>
  <c r="I615" i="1" a="1"/>
  <c r="I240" i="1" a="1"/>
  <c r="I625" i="1" a="1"/>
  <c r="I326" i="1" a="1"/>
  <c r="I395" i="1" a="1"/>
  <c r="I438" i="1" a="1"/>
  <c r="I481" i="1" a="1"/>
  <c r="I523" i="1" a="1"/>
  <c r="I319" i="1" a="1"/>
  <c r="I337" i="1" a="1"/>
  <c r="I645" i="1" a="1"/>
  <c r="I711" i="1" a="1"/>
  <c r="I397" i="1" a="1"/>
  <c r="I482" i="1" a="1"/>
  <c r="I585" i="1" a="1"/>
  <c r="I670" i="1" a="1"/>
  <c r="I743" i="1" a="1"/>
  <c r="I780" i="1" a="1"/>
  <c r="I812" i="1" a="1"/>
  <c r="I844" i="1" a="1"/>
  <c r="I876" i="1" a="1"/>
  <c r="I569" i="1" a="1"/>
  <c r="I660" i="1" a="1"/>
  <c r="I733" i="1" a="1"/>
  <c r="I419" i="1" a="1"/>
  <c r="I505" i="1" a="1"/>
  <c r="I612" i="1" a="1"/>
  <c r="I713" i="1" a="1"/>
  <c r="I761" i="1" a="1"/>
  <c r="I793" i="1" a="1"/>
  <c r="I825" i="1" a="1"/>
  <c r="I857" i="1" a="1"/>
  <c r="I889" i="1" a="1"/>
  <c r="I921" i="1" a="1"/>
  <c r="I589" i="1" a="1"/>
  <c r="I687" i="1" a="1"/>
  <c r="I370" i="1" a="1"/>
  <c r="I455" i="1" a="1"/>
  <c r="I539" i="1" a="1"/>
  <c r="I635" i="1" a="1"/>
  <c r="I730" i="1" a="1"/>
  <c r="I774" i="1" a="1"/>
  <c r="I912" i="1" a="1"/>
  <c r="I962" i="1" a="1"/>
  <c r="I1005" i="1" a="1"/>
  <c r="I1054" i="1" a="1"/>
  <c r="I1118" i="1" a="1"/>
  <c r="I1182" i="1" a="1"/>
  <c r="I1246" i="1" a="1"/>
  <c r="I1278" i="1" a="1"/>
  <c r="I1310" i="1" a="1"/>
  <c r="I541" i="1" a="1"/>
  <c r="I790" i="1" a="1"/>
  <c r="I855" i="1" a="1"/>
  <c r="I936" i="1" a="1"/>
  <c r="I1050" i="1" a="1"/>
  <c r="I1114" i="1" a="1"/>
  <c r="I1178" i="1" a="1"/>
  <c r="I1242" i="1" a="1"/>
  <c r="I907" i="1" a="1"/>
  <c r="I953" i="1" a="1"/>
  <c r="I995" i="1" a="1"/>
  <c r="I1037" i="1" a="1"/>
  <c r="I1101" i="1" a="1"/>
  <c r="I1165" i="1" a="1"/>
  <c r="I15" i="1" a="1"/>
  <c r="I47" i="1" a="1"/>
  <c r="I79" i="1" a="1"/>
  <c r="I111" i="1" a="1"/>
  <c r="I143" i="1" a="1"/>
  <c r="I175" i="1" a="1"/>
  <c r="I16" i="1" a="1"/>
  <c r="I93" i="1" a="1"/>
  <c r="I182" i="1" a="1"/>
  <c r="I226" i="1" a="1"/>
  <c r="I269" i="1" a="1"/>
  <c r="I311" i="1" a="1"/>
  <c r="I351" i="1" a="1"/>
  <c r="I42" i="1" a="1"/>
  <c r="I132" i="1" a="1"/>
  <c r="I232" i="1" a="1"/>
  <c r="I30" i="1" a="1"/>
  <c r="I120" i="1" a="1"/>
  <c r="I195" i="1" a="1"/>
  <c r="I238" i="1" a="1"/>
  <c r="I281" i="1" a="1"/>
  <c r="I323" i="1" a="1"/>
  <c r="I360" i="1" a="1"/>
  <c r="I392" i="1" a="1"/>
  <c r="I424" i="1" a="1"/>
  <c r="I456" i="1" a="1"/>
  <c r="I488" i="1" a="1"/>
  <c r="I520" i="1" a="1"/>
  <c r="I552" i="1" a="1"/>
  <c r="I584" i="1" a="1"/>
  <c r="I45" i="1" a="1"/>
  <c r="I134" i="1" a="1"/>
  <c r="I207" i="1" a="1"/>
  <c r="I250" i="1" a="1"/>
  <c r="I293" i="1" a="1"/>
  <c r="I33" i="1" a="1"/>
  <c r="I122" i="1" a="1"/>
  <c r="I208" i="1" a="1"/>
  <c r="I104" i="1" a="1"/>
  <c r="I181" i="1" a="1"/>
  <c r="I230" i="1" a="1"/>
  <c r="I273" i="1" a="1"/>
  <c r="I14" i="1" a="1"/>
  <c r="I98" i="1" a="1"/>
  <c r="I188" i="1" a="1"/>
  <c r="I18" i="1" a="1"/>
  <c r="I601" i="1" a="1"/>
  <c r="I665" i="1" a="1"/>
  <c r="I729" i="1" a="1"/>
  <c r="I332" i="1" a="1"/>
  <c r="I399" i="1" a="1"/>
  <c r="I442" i="1" a="1"/>
  <c r="I485" i="1" a="1"/>
  <c r="I527" i="1" a="1"/>
  <c r="I570" i="1" a="1"/>
  <c r="I620" i="1" a="1"/>
  <c r="I304" i="1" a="1"/>
  <c r="I634" i="1" a="1"/>
  <c r="I335" i="1" a="1"/>
  <c r="I401" i="1" a="1"/>
  <c r="I443" i="1" a="1"/>
  <c r="I486" i="1" a="1"/>
  <c r="I529" i="1" a="1"/>
  <c r="I336" i="1" a="1"/>
  <c r="I345" i="1" a="1"/>
  <c r="I653" i="1" a="1"/>
  <c r="I732" i="1" a="1"/>
  <c r="I407" i="1" a="1"/>
  <c r="I493" i="1" a="1"/>
  <c r="I594" i="1" a="1"/>
  <c r="I675" i="1" a="1"/>
  <c r="I752" i="1" a="1"/>
  <c r="I784" i="1" a="1"/>
  <c r="I816" i="1" a="1"/>
  <c r="I848" i="1" a="1"/>
  <c r="I880" i="1" a="1"/>
  <c r="I578" i="1" a="1"/>
  <c r="I676" i="1" a="1"/>
  <c r="I748" i="1" a="1"/>
  <c r="I430" i="1" a="1"/>
  <c r="I515" i="1" a="1"/>
  <c r="I618" i="1" a="1"/>
  <c r="I718" i="1" a="1"/>
  <c r="I765" i="1" a="1"/>
  <c r="I797" i="1" a="1"/>
  <c r="I829" i="1" a="1"/>
  <c r="I861" i="1" a="1"/>
  <c r="I893" i="1" a="1"/>
  <c r="I272" i="1" a="1"/>
  <c r="I598" i="1" a="1"/>
  <c r="I693" i="1" a="1"/>
  <c r="I381" i="1" a="1"/>
  <c r="I466" i="1" a="1"/>
  <c r="I563" i="1" a="1"/>
  <c r="I662" i="1" a="1"/>
  <c r="I735" i="1" a="1"/>
  <c r="I607" i="1" a="1"/>
  <c r="I925" i="1" a="1"/>
  <c r="I967" i="1" a="1"/>
  <c r="I1010" i="1" a="1"/>
  <c r="I1063" i="1" a="1"/>
  <c r="I1127" i="1" a="1"/>
  <c r="I1191" i="1" a="1"/>
  <c r="I1250" i="1" a="1"/>
  <c r="I1282" i="1" a="1"/>
  <c r="I1314" i="1" a="1"/>
  <c r="I574" i="1" a="1"/>
  <c r="I799" i="1" a="1"/>
  <c r="I863" i="1" a="1"/>
  <c r="I952" i="1" a="1"/>
  <c r="I1059" i="1" a="1"/>
  <c r="I1123" i="1" a="1"/>
  <c r="I1187" i="1" a="1"/>
  <c r="I547" i="1" a="1"/>
  <c r="I914" i="1" a="1"/>
  <c r="I958" i="1" a="1"/>
  <c r="I1001" i="1" a="1"/>
  <c r="I1046" i="1" a="1"/>
  <c r="I1110" i="1" a="1"/>
  <c r="I1174" i="1" a="1"/>
  <c r="I1238" i="1" a="1"/>
  <c r="I1275" i="1" a="1"/>
  <c r="I1307" i="1" a="1"/>
  <c r="I550" i="1" a="1"/>
  <c r="I791" i="1" a="1"/>
  <c r="I19" i="1" a="1"/>
  <c r="I51" i="1" a="1"/>
  <c r="I83" i="1" a="1"/>
  <c r="I115" i="1" a="1"/>
  <c r="I147" i="1" a="1"/>
  <c r="I179" i="1" a="1"/>
  <c r="I22" i="1" a="1"/>
  <c r="I112" i="1" a="1"/>
  <c r="I189" i="1" a="1"/>
  <c r="I231" i="1" a="1"/>
  <c r="I274" i="1" a="1"/>
  <c r="I317" i="1" a="1"/>
  <c r="I355" i="1" a="1"/>
  <c r="I49" i="1" a="1"/>
  <c r="I138" i="1" a="1"/>
  <c r="I248" i="1" a="1"/>
  <c r="I37" i="1" a="1"/>
  <c r="I126" i="1" a="1"/>
  <c r="I201" i="1" a="1"/>
  <c r="I243" i="1" a="1"/>
  <c r="I286" i="1" a="1"/>
  <c r="I329" i="1" a="1"/>
  <c r="I364" i="1" a="1"/>
  <c r="I396" i="1" a="1"/>
  <c r="I428" i="1" a="1"/>
  <c r="I460" i="1" a="1"/>
  <c r="I492" i="1" a="1"/>
  <c r="I524" i="1" a="1"/>
  <c r="I556" i="1" a="1"/>
  <c r="I588" i="1" a="1"/>
  <c r="I64" i="1" a="1"/>
  <c r="I141" i="1" a="1"/>
  <c r="I213" i="1" a="1"/>
  <c r="I255" i="1" a="1"/>
  <c r="I298" i="1" a="1"/>
  <c r="I52" i="1" a="1"/>
  <c r="I129" i="1" a="1"/>
  <c r="I21" i="1" a="1"/>
  <c r="I110" i="1" a="1"/>
  <c r="I193" i="1" a="1"/>
  <c r="I235" i="1" a="1"/>
  <c r="I278" i="1" a="1"/>
  <c r="I28" i="1" a="1"/>
  <c r="I105" i="1" a="1"/>
  <c r="I204" i="1" a="1"/>
  <c r="I121" i="1" a="1"/>
  <c r="I610" i="1" a="1"/>
  <c r="I674" i="1" a="1"/>
  <c r="I738" i="1" a="1"/>
  <c r="I354" i="1" a="1"/>
  <c r="I405" i="1" a="1"/>
  <c r="I447" i="1" a="1"/>
  <c r="I490" i="1" a="1"/>
  <c r="I533" i="1" a="1"/>
  <c r="I575" i="1" a="1"/>
  <c r="I629" i="1" a="1"/>
  <c r="I316" i="1" a="1"/>
  <c r="I643" i="1" a="1"/>
  <c r="I362" i="1" a="1"/>
  <c r="I406" i="1" a="1"/>
  <c r="I449" i="1" a="1"/>
  <c r="I491" i="1" a="1"/>
  <c r="I44" i="1" a="1"/>
  <c r="I350" i="1" a="1"/>
  <c r="I57" i="1" a="1"/>
  <c r="I664" i="1" a="1"/>
  <c r="I737" i="1" a="1"/>
  <c r="I418" i="1" a="1"/>
  <c r="I503" i="1" a="1"/>
  <c r="I609" i="1" a="1"/>
  <c r="I696" i="1" a="1"/>
  <c r="I756" i="1" a="1"/>
  <c r="I788" i="1" a="1"/>
  <c r="I820" i="1" a="1"/>
  <c r="I852" i="1" a="1"/>
  <c r="I884" i="1" a="1"/>
  <c r="I587" i="1" a="1"/>
  <c r="I681" i="1" a="1"/>
  <c r="I114" i="1" a="1"/>
  <c r="I441" i="1" a="1"/>
  <c r="I526" i="1" a="1"/>
  <c r="I626" i="1" a="1"/>
  <c r="I723" i="1" a="1"/>
  <c r="I769" i="1" a="1"/>
  <c r="I801" i="1" a="1"/>
  <c r="I833" i="1" a="1"/>
  <c r="I865" i="1" a="1"/>
  <c r="I897" i="1" a="1"/>
  <c r="I330" i="1" a="1"/>
  <c r="I641" i="1" a="1"/>
  <c r="I698" i="1" a="1"/>
  <c r="I391" i="1" a="1"/>
  <c r="I477" i="1" a="1"/>
  <c r="I573" i="1" a="1"/>
  <c r="I667" i="1" a="1"/>
  <c r="I745" i="1" a="1"/>
  <c r="I636" i="1" a="1"/>
  <c r="I930" i="1" a="1"/>
  <c r="I973" i="1" a="1"/>
  <c r="I1015" i="1" a="1"/>
  <c r="I1072" i="1" a="1"/>
  <c r="I1136" i="1" a="1"/>
  <c r="I1200" i="1" a="1"/>
  <c r="I1254" i="1" a="1"/>
  <c r="I1286" i="1" a="1"/>
  <c r="I1318" i="1" a="1"/>
  <c r="I608" i="1" a="1"/>
  <c r="I807" i="1" a="1"/>
  <c r="I871" i="1" a="1"/>
  <c r="I968" i="1" a="1"/>
  <c r="I1068" i="1" a="1"/>
  <c r="I1132" i="1" a="1"/>
  <c r="I1196" i="1" a="1"/>
  <c r="I644" i="1" a="1"/>
  <c r="I920" i="1" a="1"/>
  <c r="I963" i="1" a="1"/>
  <c r="I1006" i="1" a="1"/>
  <c r="I1055" i="1" a="1"/>
  <c r="I1119" i="1" a="1"/>
  <c r="I23" i="1" a="1"/>
  <c r="I55" i="1" a="1"/>
  <c r="I87" i="1" a="1"/>
  <c r="I119" i="1" a="1"/>
  <c r="I151" i="1" a="1"/>
  <c r="I183" i="1" a="1"/>
  <c r="I29" i="1" a="1"/>
  <c r="I118" i="1" a="1"/>
  <c r="I194" i="1" a="1"/>
  <c r="I237" i="1" a="1"/>
  <c r="I279" i="1" a="1"/>
  <c r="I322" i="1" a="1"/>
  <c r="I359" i="1" a="1"/>
  <c r="I68" i="1" a="1"/>
  <c r="I145" i="1" a="1"/>
  <c r="I264" i="1" a="1"/>
  <c r="I56" i="1" a="1"/>
  <c r="I133" i="1" a="1"/>
  <c r="I206" i="1" a="1"/>
  <c r="I249" i="1" a="1"/>
  <c r="I291" i="1" a="1"/>
  <c r="I334" i="1" a="1"/>
  <c r="I368" i="1" a="1"/>
  <c r="I400" i="1" a="1"/>
  <c r="I432" i="1" a="1"/>
  <c r="I464" i="1" a="1"/>
  <c r="I496" i="1" a="1"/>
  <c r="I528" i="1" a="1"/>
  <c r="I560" i="1" a="1"/>
  <c r="I592" i="1" a="1"/>
  <c r="I70" i="1" a="1"/>
  <c r="I160" i="1" a="1"/>
  <c r="I218" i="1" a="1"/>
  <c r="I261" i="1" a="1"/>
  <c r="I303" i="1" a="1"/>
  <c r="I58" i="1" a="1"/>
  <c r="I148" i="1" a="1"/>
  <c r="I40" i="1" a="1"/>
  <c r="I117" i="1" a="1"/>
  <c r="I198" i="1" a="1"/>
  <c r="I241" i="1" a="1"/>
  <c r="I283" i="1" a="1"/>
  <c r="I34" i="1" a="1"/>
  <c r="I124" i="1" a="1"/>
  <c r="I220" i="1" a="1"/>
  <c r="I172" i="1" a="1"/>
  <c r="I619" i="1" a="1"/>
  <c r="I683" i="1" a="1"/>
  <c r="I25" i="1" a="1"/>
  <c r="I361" i="1" a="1"/>
  <c r="I410" i="1" a="1"/>
  <c r="I453" i="1" a="1"/>
  <c r="I495" i="1" a="1"/>
  <c r="I538" i="1" a="1"/>
  <c r="I581" i="1" a="1"/>
  <c r="I638" i="1" a="1"/>
  <c r="I342" i="1" a="1"/>
  <c r="I648" i="1" a="1"/>
  <c r="I369" i="1" a="1"/>
  <c r="I411" i="1" a="1"/>
  <c r="I454" i="1" a="1"/>
  <c r="I497" i="1" a="1"/>
  <c r="I146" i="1" a="1"/>
  <c r="I50" i="1" a="1"/>
  <c r="I534" i="1" a="1"/>
  <c r="I669" i="1" a="1"/>
  <c r="I742" i="1" a="1"/>
  <c r="I429" i="1" a="1"/>
  <c r="I514" i="1" a="1"/>
  <c r="I617" i="1" a="1"/>
  <c r="I701" i="1" a="1"/>
  <c r="I760" i="1" a="1"/>
  <c r="I792" i="1" a="1"/>
  <c r="I824" i="1" a="1"/>
  <c r="I856" i="1" a="1"/>
  <c r="I108" i="1" a="1"/>
  <c r="I603" i="1" a="1"/>
  <c r="I686" i="1" a="1"/>
  <c r="I353" i="1" a="1"/>
  <c r="I451" i="1" a="1"/>
  <c r="I553" i="1" a="1"/>
  <c r="I661" i="1" a="1"/>
  <c r="I734" i="1" a="1"/>
  <c r="I773" i="1" a="1"/>
  <c r="I805" i="1" a="1"/>
  <c r="I837" i="1" a="1"/>
  <c r="I869" i="1" a="1"/>
  <c r="I901" i="1" a="1"/>
  <c r="I357" i="1" a="1"/>
  <c r="I649" i="1" a="1"/>
  <c r="I703" i="1" a="1"/>
  <c r="I402" i="1" a="1"/>
  <c r="I487" i="1" a="1"/>
  <c r="I582" i="1" a="1"/>
  <c r="I704" i="1" a="1"/>
  <c r="I754" i="1" a="1"/>
  <c r="I684" i="1" a="1"/>
  <c r="I935" i="1" a="1"/>
  <c r="I978" i="1" a="1"/>
  <c r="I1021" i="1" a="1"/>
  <c r="I1077" i="1" a="1"/>
  <c r="I1141" i="1" a="1"/>
  <c r="I1205" i="1" a="1"/>
  <c r="I1258" i="1" a="1"/>
  <c r="I1290" i="1" a="1"/>
  <c r="I212" i="1" a="1"/>
  <c r="I663" i="1" a="1"/>
  <c r="I815" i="1" a="1"/>
  <c r="I879" i="1" a="1"/>
  <c r="I984" i="1" a="1"/>
  <c r="I1073" i="1" a="1"/>
  <c r="I1137" i="1" a="1"/>
  <c r="I1201" i="1" a="1"/>
  <c r="I27" i="1" a="1"/>
  <c r="I59" i="1" a="1"/>
  <c r="I91" i="1" a="1"/>
  <c r="I123" i="1" a="1"/>
  <c r="I155" i="1" a="1"/>
  <c r="I187" i="1" a="1"/>
  <c r="I48" i="1" a="1"/>
  <c r="I125" i="1" a="1"/>
  <c r="I199" i="1" a="1"/>
  <c r="I242" i="1" a="1"/>
  <c r="I285" i="1" a="1"/>
  <c r="I327" i="1" a="1"/>
  <c r="I363" i="1" a="1"/>
  <c r="I74" i="1" a="1"/>
  <c r="I164" i="1" a="1"/>
  <c r="I280" i="1" a="1"/>
  <c r="I62" i="1" a="1"/>
  <c r="I152" i="1" a="1"/>
  <c r="I211" i="1" a="1"/>
  <c r="I254" i="1" a="1"/>
  <c r="I297" i="1" a="1"/>
  <c r="I339" i="1" a="1"/>
  <c r="I372" i="1" a="1"/>
  <c r="I404" i="1" a="1"/>
  <c r="I436" i="1" a="1"/>
  <c r="I468" i="1" a="1"/>
  <c r="I500" i="1" a="1"/>
  <c r="I532" i="1" a="1"/>
  <c r="I564" i="1" a="1"/>
  <c r="I596" i="1" a="1"/>
  <c r="I77" i="1" a="1"/>
  <c r="I166" i="1" a="1"/>
  <c r="I223" i="1" a="1"/>
  <c r="I266" i="1" a="1"/>
  <c r="I309" i="1" a="1"/>
  <c r="I65" i="1" a="1"/>
  <c r="I154" i="1" a="1"/>
  <c r="I46" i="1" a="1"/>
  <c r="I136" i="1" a="1"/>
  <c r="I203" i="1" a="1"/>
  <c r="I246" i="1" a="1"/>
  <c r="I289" i="1" a="1"/>
  <c r="I41" i="1" a="1"/>
  <c r="I130" i="1" a="1"/>
  <c r="I236" i="1" a="1"/>
  <c r="I256" i="1" a="1"/>
  <c r="I624" i="1" a="1"/>
  <c r="I688" i="1" a="1"/>
  <c r="I76" i="1" a="1"/>
  <c r="I373" i="1" a="1"/>
  <c r="I415" i="1" a="1"/>
  <c r="I458" i="1" a="1"/>
  <c r="I501" i="1" a="1"/>
  <c r="I543" i="1" a="1"/>
  <c r="I586" i="1" a="1"/>
  <c r="I647" i="1" a="1"/>
  <c r="I349" i="1" a="1"/>
  <c r="I657" i="1" a="1"/>
  <c r="I374" i="1" a="1"/>
  <c r="I417" i="1" a="1"/>
  <c r="I459" i="1" a="1"/>
  <c r="I502" i="1" a="1"/>
  <c r="I196" i="1" a="1"/>
  <c r="I153" i="1" a="1"/>
  <c r="I558" i="1" a="1"/>
  <c r="I680" i="1" a="1"/>
  <c r="I747" i="1" a="1"/>
  <c r="I439" i="1" a="1"/>
  <c r="I525" i="1" a="1"/>
  <c r="I623" i="1" a="1"/>
  <c r="I712" i="1" a="1"/>
  <c r="I764" i="1" a="1"/>
  <c r="I796" i="1" a="1"/>
  <c r="I828" i="1" a="1"/>
  <c r="I860" i="1" a="1"/>
  <c r="I321" i="1" a="1"/>
  <c r="I31" i="1" a="1"/>
  <c r="I63" i="1" a="1"/>
  <c r="I95" i="1" a="1"/>
  <c r="I127" i="1" a="1"/>
  <c r="I159" i="1" a="1"/>
  <c r="I4" i="1" a="1"/>
  <c r="I54" i="1" a="1"/>
  <c r="I144" i="1" a="1"/>
  <c r="I205" i="1" a="1"/>
  <c r="I247" i="1" a="1"/>
  <c r="I290" i="1" a="1"/>
  <c r="I333" i="1" a="1"/>
  <c r="I367" i="1" a="1"/>
  <c r="I81" i="1" a="1"/>
  <c r="I170" i="1" a="1"/>
  <c r="I296" i="1" a="1"/>
  <c r="I69" i="1" a="1"/>
  <c r="I158" i="1" a="1"/>
  <c r="I217" i="1" a="1"/>
  <c r="I259" i="1" a="1"/>
  <c r="I302" i="1" a="1"/>
  <c r="I344" i="1" a="1"/>
  <c r="I376" i="1" a="1"/>
  <c r="I408" i="1" a="1"/>
  <c r="I440" i="1" a="1"/>
  <c r="I472" i="1" a="1"/>
  <c r="I504" i="1" a="1"/>
  <c r="I536" i="1" a="1"/>
  <c r="I568" i="1" a="1"/>
  <c r="I10" i="1" a="1"/>
  <c r="I96" i="1" a="1"/>
  <c r="I173" i="1" a="1"/>
  <c r="I229" i="1" a="1"/>
  <c r="I271" i="1" a="1"/>
  <c r="I314" i="1" a="1"/>
  <c r="I84" i="1" a="1"/>
  <c r="I161" i="1" a="1"/>
  <c r="I53" i="1" a="1"/>
  <c r="I142" i="1" a="1"/>
  <c r="I209" i="1" a="1"/>
  <c r="I251" i="1" a="1"/>
  <c r="I294" i="1" a="1"/>
  <c r="I60" i="1" a="1"/>
  <c r="I137" i="1" a="1"/>
  <c r="I252" i="1" a="1"/>
  <c r="I324" i="1" a="1"/>
  <c r="I633" i="1" a="1"/>
  <c r="I697" i="1" a="1"/>
  <c r="I178" i="1" a="1"/>
  <c r="I378" i="1" a="1"/>
  <c r="I421" i="1" a="1"/>
  <c r="I463" i="1" a="1"/>
  <c r="I506" i="1" a="1"/>
  <c r="I549" i="1" a="1"/>
  <c r="I591" i="1" a="1"/>
  <c r="I652" i="1" a="1"/>
  <c r="I602" i="1" a="1"/>
  <c r="I89" i="1" a="1"/>
  <c r="I379" i="1" a="1"/>
  <c r="I422" i="1" a="1"/>
  <c r="I465" i="1" a="1"/>
  <c r="I507" i="1" a="1"/>
  <c r="I224" i="1" a="1"/>
  <c r="I228" i="1" a="1"/>
  <c r="I567" i="1" a="1"/>
  <c r="I685" i="1" a="1"/>
  <c r="I346" i="1" a="1"/>
  <c r="I450" i="1" a="1"/>
  <c r="I542" i="1" a="1"/>
  <c r="I631" i="1" a="1"/>
  <c r="I717" i="1" a="1"/>
  <c r="I768" i="1" a="1"/>
  <c r="I800" i="1" a="1"/>
  <c r="I832" i="1" a="1"/>
  <c r="I864" i="1" a="1"/>
  <c r="I365" i="1" a="1"/>
  <c r="I632" i="1" a="1"/>
  <c r="I562" i="1" a="1"/>
  <c r="I809" i="1" a="1"/>
  <c r="I537" i="1" a="1"/>
  <c r="I498" i="1" a="1"/>
  <c r="I778" i="1" a="1"/>
  <c r="I1086" i="1" a="1"/>
  <c r="I1294" i="1" a="1"/>
  <c r="I887" i="1" a="1"/>
  <c r="I1210" i="1" a="1"/>
  <c r="I969" i="1" a="1"/>
  <c r="I1078" i="1" a="1"/>
  <c r="I1229" i="1" a="1"/>
  <c r="I1287" i="1" a="1"/>
  <c r="I583" i="1" a="1"/>
  <c r="I826" i="1" a="1"/>
  <c r="I932" i="1" a="1"/>
  <c r="I1042" i="1" a="1"/>
  <c r="I1106" i="1" a="1"/>
  <c r="I1170" i="1" a="1"/>
  <c r="I1234" i="1" a="1"/>
  <c r="I794" i="1" a="1"/>
  <c r="I943" i="1" a="1"/>
  <c r="I986" i="1" a="1"/>
  <c r="I1029" i="1" a="1"/>
  <c r="I1093" i="1" a="1"/>
  <c r="I1157" i="1" a="1"/>
  <c r="I1221" i="1" a="1"/>
  <c r="I393" i="1" a="1"/>
  <c r="I771" i="1" a="1"/>
  <c r="I851" i="1" a="1"/>
  <c r="I928" i="1" a="1"/>
  <c r="I1043" i="1" a="1"/>
  <c r="I1107" i="1" a="1"/>
  <c r="I1171" i="1" a="1"/>
  <c r="I939" i="1" a="1"/>
  <c r="I1135" i="1" a="1"/>
  <c r="I830" i="1" a="1"/>
  <c r="I1099" i="1" a="1"/>
  <c r="I1280" i="1" a="1"/>
  <c r="I1335" i="1" a="1"/>
  <c r="I1367" i="1" a="1"/>
  <c r="I1399" i="1" a="1"/>
  <c r="I1431" i="1" a="1"/>
  <c r="I1463" i="1" a="1"/>
  <c r="I1495" i="1" a="1"/>
  <c r="I987" i="1" a="1"/>
  <c r="I1218" i="1" a="1"/>
  <c r="I870" i="1" a="1"/>
  <c r="I1195" i="1" a="1"/>
  <c r="I1304" i="1" a="1"/>
  <c r="I1344" i="1" a="1"/>
  <c r="I1376" i="1" a="1"/>
  <c r="I971" i="1" a="1"/>
  <c r="I1209" i="1" a="1"/>
  <c r="I814" i="1" a="1"/>
  <c r="I1163" i="1" a="1"/>
  <c r="I1305" i="1" a="1"/>
  <c r="I1330" i="1" a="1"/>
  <c r="I1417" i="1" a="1"/>
  <c r="I1511" i="1" a="1"/>
  <c r="I1613" i="1" a="1"/>
  <c r="I1677" i="1" a="1"/>
  <c r="I1741" i="1" a="1"/>
  <c r="I1805" i="1" a="1"/>
  <c r="I1869" i="1" a="1"/>
  <c r="I1906" i="1" a="1"/>
  <c r="I1938" i="1" a="1"/>
  <c r="I1970" i="1" a="1"/>
  <c r="I2002" i="1" a="1"/>
  <c r="I2034" i="1" a="1"/>
  <c r="I1020" i="1" a="1"/>
  <c r="I1430" i="1" a="1"/>
  <c r="I1506" i="1" a="1"/>
  <c r="I1549" i="1" a="1"/>
  <c r="I1591" i="1" a="1"/>
  <c r="I1655" i="1" a="1"/>
  <c r="I1719" i="1" a="1"/>
  <c r="I1783" i="1" a="1"/>
  <c r="I1847" i="1" a="1"/>
  <c r="I1236" i="1" a="1"/>
  <c r="I1393" i="1" a="1"/>
  <c r="I1482" i="1" a="1"/>
  <c r="I1587" i="1" a="1"/>
  <c r="I1651" i="1" a="1"/>
  <c r="I1715" i="1" a="1"/>
  <c r="I1325" i="1" a="1"/>
  <c r="I1452" i="1" a="1"/>
  <c r="I1524" i="1" a="1"/>
  <c r="I1566" i="1" a="1"/>
  <c r="I1624" i="1" a="1"/>
  <c r="I1688" i="1" a="1"/>
  <c r="I1357" i="1" a="1"/>
  <c r="I1433" i="1" a="1"/>
  <c r="I1519" i="1" a="1"/>
  <c r="I1611" i="1" a="1"/>
  <c r="I1285" i="1" a="1"/>
  <c r="I1428" i="1" a="1"/>
  <c r="I1509" i="1" a="1"/>
  <c r="I1552" i="1" a="1"/>
  <c r="I1602" i="1" a="1"/>
  <c r="I1515" i="1" a="1"/>
  <c r="I1693" i="1" a="1"/>
  <c r="I1793" i="1" a="1"/>
  <c r="I2059" i="1" a="1"/>
  <c r="I2123" i="1" a="1"/>
  <c r="I2187" i="1" a="1"/>
  <c r="I2224" i="1" a="1"/>
  <c r="I2256" i="1" a="1"/>
  <c r="I2288" i="1" a="1"/>
  <c r="I2320" i="1" a="1"/>
  <c r="I2352" i="1" a="1"/>
  <c r="I2384" i="1" a="1"/>
  <c r="I1317" i="1" a="1"/>
  <c r="I1599" i="1" a="1"/>
  <c r="I1726" i="1" a="1"/>
  <c r="I1812" i="1" a="1"/>
  <c r="I1884" i="1" a="1"/>
  <c r="I1927" i="1" a="1"/>
  <c r="I1969" i="1" a="1"/>
  <c r="I2012" i="1" a="1"/>
  <c r="I2055" i="1" a="1"/>
  <c r="I2119" i="1" a="1"/>
  <c r="I2183" i="1" a="1"/>
  <c r="I1563" i="1" a="1"/>
  <c r="I1727" i="1" a="1"/>
  <c r="I1818" i="1" a="1"/>
  <c r="I2078" i="1" a="1"/>
  <c r="I640" i="1" a="1"/>
  <c r="I571" i="1" a="1"/>
  <c r="I813" i="1" a="1"/>
  <c r="I546" i="1" a="1"/>
  <c r="I509" i="1" a="1"/>
  <c r="I787" i="1" a="1"/>
  <c r="I1095" i="1" a="1"/>
  <c r="I1298" i="1" a="1"/>
  <c r="I894" i="1" a="1"/>
  <c r="I1219" i="1" a="1"/>
  <c r="I974" i="1" a="1"/>
  <c r="I1128" i="1" a="1"/>
  <c r="I1247" i="1" a="1"/>
  <c r="I1291" i="1" a="1"/>
  <c r="I614" i="1" a="1"/>
  <c r="I850" i="1" a="1"/>
  <c r="I948" i="1" a="1"/>
  <c r="I1051" i="1" a="1"/>
  <c r="I1115" i="1" a="1"/>
  <c r="I1179" i="1" a="1"/>
  <c r="I1243" i="1" a="1"/>
  <c r="I890" i="1" a="1"/>
  <c r="I949" i="1" a="1"/>
  <c r="I991" i="1" a="1"/>
  <c r="I1038" i="1" a="1"/>
  <c r="I1102" i="1" a="1"/>
  <c r="I1166" i="1" a="1"/>
  <c r="I1230" i="1" a="1"/>
  <c r="I435" i="1" a="1"/>
  <c r="I783" i="1" a="1"/>
  <c r="I859" i="1" a="1"/>
  <c r="I944" i="1" a="1"/>
  <c r="I1052" i="1" a="1"/>
  <c r="I1116" i="1" a="1"/>
  <c r="I1180" i="1" a="1"/>
  <c r="I961" i="1" a="1"/>
  <c r="I1190" i="1" a="1"/>
  <c r="I862" i="1" a="1"/>
  <c r="I1154" i="1" a="1"/>
  <c r="I1288" i="1" a="1"/>
  <c r="I1339" i="1" a="1"/>
  <c r="I1371" i="1" a="1"/>
  <c r="I1403" i="1" a="1"/>
  <c r="I1435" i="1" a="1"/>
  <c r="I1467" i="1" a="1"/>
  <c r="I1499" i="1" a="1"/>
  <c r="I1009" i="1" a="1"/>
  <c r="I1231" i="1" a="1"/>
  <c r="I924" i="1" a="1"/>
  <c r="I1208" i="1" a="1"/>
  <c r="I1309" i="1" a="1"/>
  <c r="I1348" i="1" a="1"/>
  <c r="I1380" i="1" a="1"/>
  <c r="I993" i="1" a="1"/>
  <c r="I1222" i="1" a="1"/>
  <c r="I846" i="1" a="1"/>
  <c r="I1199" i="1" a="1"/>
  <c r="I1316" i="1" a="1"/>
  <c r="I1353" i="1" a="1"/>
  <c r="I1424" i="1" a="1"/>
  <c r="I1527" i="1" a="1"/>
  <c r="I1622" i="1" a="1"/>
  <c r="I1686" i="1" a="1"/>
  <c r="I1750" i="1" a="1"/>
  <c r="I1814" i="1" a="1"/>
  <c r="I1878" i="1" a="1"/>
  <c r="I1910" i="1" a="1"/>
  <c r="I1942" i="1" a="1"/>
  <c r="I1974" i="1" a="1"/>
  <c r="I2006" i="1" a="1"/>
  <c r="I2038" i="1" a="1"/>
  <c r="I1269" i="1" a="1"/>
  <c r="I1437" i="1" a="1"/>
  <c r="I1512" i="1" a="1"/>
  <c r="I1554" i="1" a="1"/>
  <c r="I1600" i="1" a="1"/>
  <c r="I1664" i="1" a="1"/>
  <c r="I1728" i="1" a="1"/>
  <c r="I1792" i="1" a="1"/>
  <c r="I1856" i="1" a="1"/>
  <c r="I1322" i="1" a="1"/>
  <c r="I1400" i="1" a="1"/>
  <c r="I1489" i="1" a="1"/>
  <c r="I1596" i="1" a="1"/>
  <c r="I1660" i="1" a="1"/>
  <c r="I1724" i="1" a="1"/>
  <c r="I1334" i="1" a="1"/>
  <c r="I1470" i="1" a="1"/>
  <c r="I1529" i="1" a="1"/>
  <c r="I1572" i="1" a="1"/>
  <c r="I1633" i="1" a="1"/>
  <c r="I1697" i="1" a="1"/>
  <c r="I691" i="1" a="1"/>
  <c r="I666" i="1" a="1"/>
  <c r="I841" i="1" a="1"/>
  <c r="I655" i="1" a="1"/>
  <c r="I605" i="1" a="1"/>
  <c r="I941" i="1" a="1"/>
  <c r="I1150" i="1" a="1"/>
  <c r="I371" i="1" a="1"/>
  <c r="I1000" i="1" a="1"/>
  <c r="I668" i="1" a="1"/>
  <c r="I979" i="1" a="1"/>
  <c r="I1133" i="1" a="1"/>
  <c r="I1251" i="1" a="1"/>
  <c r="I1303" i="1" a="1"/>
  <c r="I710" i="1" a="1"/>
  <c r="I858" i="1" a="1"/>
  <c r="I964" i="1" a="1"/>
  <c r="I1060" i="1" a="1"/>
  <c r="I1124" i="1" a="1"/>
  <c r="I1188" i="1" a="1"/>
  <c r="I557" i="1" a="1"/>
  <c r="I896" i="1" a="1"/>
  <c r="I954" i="1" a="1"/>
  <c r="I997" i="1" a="1"/>
  <c r="I1047" i="1" a="1"/>
  <c r="I1111" i="1" a="1"/>
  <c r="I1175" i="1" a="1"/>
  <c r="I1239" i="1" a="1"/>
  <c r="I478" i="1" a="1"/>
  <c r="I803" i="1" a="1"/>
  <c r="I867" i="1" a="1"/>
  <c r="I960" i="1" a="1"/>
  <c r="I1057" i="1" a="1"/>
  <c r="I1121" i="1" a="1"/>
  <c r="I1185" i="1" a="1"/>
  <c r="I982" i="1" a="1"/>
  <c r="I1217" i="1" a="1"/>
  <c r="I892" i="1" a="1"/>
  <c r="I1172" i="1" a="1"/>
  <c r="I1296" i="1" a="1"/>
  <c r="I1343" i="1" a="1"/>
  <c r="I1375" i="1" a="1"/>
  <c r="I1407" i="1" a="1"/>
  <c r="I1439" i="1" a="1"/>
  <c r="I1471" i="1" a="1"/>
  <c r="I566" i="1" a="1"/>
  <c r="I1030" i="1" a="1"/>
  <c r="I1244" i="1" a="1"/>
  <c r="I988" i="1" a="1"/>
  <c r="I1245" i="1" a="1"/>
  <c r="I1320" i="1" a="1"/>
  <c r="I1352" i="1" a="1"/>
  <c r="I1384" i="1" a="1"/>
  <c r="I1014" i="1" a="1"/>
  <c r="I1235" i="1" a="1"/>
  <c r="I878" i="1" a="1"/>
  <c r="I1212" i="1" a="1"/>
  <c r="I934" i="1" a="1"/>
  <c r="I1361" i="1" a="1"/>
  <c r="I1442" i="1" a="1"/>
  <c r="I1543" i="1" a="1"/>
  <c r="I1627" i="1" a="1"/>
  <c r="I1691" i="1" a="1"/>
  <c r="I1755" i="1" a="1"/>
  <c r="I1819" i="1" a="1"/>
  <c r="I1882" i="1" a="1"/>
  <c r="I1914" i="1" a="1"/>
  <c r="I1946" i="1" a="1"/>
  <c r="I1978" i="1" a="1"/>
  <c r="I2010" i="1" a="1"/>
  <c r="I2042" i="1" a="1"/>
  <c r="I1301" i="1" a="1"/>
  <c r="I1444" i="1" a="1"/>
  <c r="I1517" i="1" a="1"/>
  <c r="I1560" i="1" a="1"/>
  <c r="I1609" i="1" a="1"/>
  <c r="I1673" i="1" a="1"/>
  <c r="I1737" i="1" a="1"/>
  <c r="I1801" i="1" a="1"/>
  <c r="I1865" i="1" a="1"/>
  <c r="I1345" i="1" a="1"/>
  <c r="I1418" i="1" a="1"/>
  <c r="I1496" i="1" a="1"/>
  <c r="I1605" i="1" a="1"/>
  <c r="I1669" i="1" a="1"/>
  <c r="I630" i="1" a="1"/>
  <c r="I1388" i="1" a="1"/>
  <c r="I1477" i="1" a="1"/>
  <c r="I1534" i="1" a="1"/>
  <c r="I1577" i="1" a="1"/>
  <c r="I1642" i="1" a="1"/>
  <c r="I1706" i="1" a="1"/>
  <c r="I1373" i="1" a="1"/>
  <c r="I1458" i="1" a="1"/>
  <c r="I1551" i="1" a="1"/>
  <c r="I1629" i="1" a="1"/>
  <c r="I1326" i="1" a="1"/>
  <c r="I1453" i="1" a="1"/>
  <c r="I1520" i="1" a="1"/>
  <c r="I1562" i="1" a="1"/>
  <c r="I786" i="1" a="1"/>
  <c r="I1598" i="1" a="1"/>
  <c r="I1738" i="1" a="1"/>
  <c r="I1817" i="1" a="1"/>
  <c r="I2077" i="1" a="1"/>
  <c r="I2141" i="1" a="1"/>
  <c r="I2200" i="1" a="1"/>
  <c r="I2232" i="1" a="1"/>
  <c r="I2264" i="1" a="1"/>
  <c r="I2296" i="1" a="1"/>
  <c r="I2328" i="1" a="1"/>
  <c r="I2360" i="1" a="1"/>
  <c r="I2392" i="1" a="1"/>
  <c r="I1468" i="1" a="1"/>
  <c r="I1648" i="1" a="1"/>
  <c r="I1739" i="1" a="1"/>
  <c r="I1836" i="1" a="1"/>
  <c r="I1895" i="1" a="1"/>
  <c r="I1937" i="1" a="1"/>
  <c r="I1980" i="1" a="1"/>
  <c r="I2023" i="1" a="1"/>
  <c r="I2073" i="1" a="1"/>
  <c r="I2137" i="1" a="1"/>
  <c r="I1213" i="1" a="1"/>
  <c r="I1617" i="1" a="1"/>
  <c r="I1752" i="1" a="1"/>
  <c r="I1831" i="1" a="1"/>
  <c r="I702" i="1" a="1"/>
  <c r="I671" i="1" a="1"/>
  <c r="I845" i="1" a="1"/>
  <c r="I672" i="1" a="1"/>
  <c r="I613" i="1" a="1"/>
  <c r="I946" i="1" a="1"/>
  <c r="I1159" i="1" a="1"/>
  <c r="I414" i="1" a="1"/>
  <c r="I1016" i="1" a="1"/>
  <c r="I689" i="1" a="1"/>
  <c r="I1011" i="1" a="1"/>
  <c r="I1142" i="1" a="1"/>
  <c r="I1255" i="1" a="1"/>
  <c r="I1311" i="1" a="1"/>
  <c r="I731" i="1" a="1"/>
  <c r="I866" i="1" a="1"/>
  <c r="I980" i="1" a="1"/>
  <c r="I1065" i="1" a="1"/>
  <c r="I1129" i="1" a="1"/>
  <c r="I1193" i="1" a="1"/>
  <c r="I590" i="1" a="1"/>
  <c r="I915" i="1" a="1"/>
  <c r="I959" i="1" a="1"/>
  <c r="I1002" i="1" a="1"/>
  <c r="I1056" i="1" a="1"/>
  <c r="I1120" i="1" a="1"/>
  <c r="I1184" i="1" a="1"/>
  <c r="I1248" i="1" a="1"/>
  <c r="I521" i="1" a="1"/>
  <c r="I811" i="1" a="1"/>
  <c r="I875" i="1" a="1"/>
  <c r="I976" i="1" a="1"/>
  <c r="I1066" i="1" a="1"/>
  <c r="I1130" i="1" a="1"/>
  <c r="I1194" i="1" a="1"/>
  <c r="I1003" i="1" a="1"/>
  <c r="I1227" i="1" a="1"/>
  <c r="I918" i="1" a="1"/>
  <c r="I1204" i="1" a="1"/>
  <c r="I1308" i="1" a="1"/>
  <c r="I1347" i="1" a="1"/>
  <c r="I1379" i="1" a="1"/>
  <c r="I1411" i="1" a="1"/>
  <c r="I1443" i="1" a="1"/>
  <c r="I1475" i="1" a="1"/>
  <c r="I678" i="1" a="1"/>
  <c r="I1048" i="1" a="1"/>
  <c r="I403" i="1" a="1"/>
  <c r="I1049" i="1" a="1"/>
  <c r="I1265" i="1" a="1"/>
  <c r="I1324" i="1" a="1"/>
  <c r="I1356" i="1" a="1"/>
  <c r="I599" i="1" a="1"/>
  <c r="I1053" i="1" a="1"/>
  <c r="I1257" i="1" a="1"/>
  <c r="I972" i="1" a="1"/>
  <c r="I1268" i="1" a="1"/>
  <c r="I1019" i="1" a="1"/>
  <c r="I1369" i="1" a="1"/>
  <c r="I1449" i="1" a="1"/>
  <c r="I1559" i="1" a="1"/>
  <c r="I1636" i="1" a="1"/>
  <c r="I1700" i="1" a="1"/>
  <c r="I1764" i="1" a="1"/>
  <c r="I1828" i="1" a="1"/>
  <c r="I1886" i="1" a="1"/>
  <c r="I1918" i="1" a="1"/>
  <c r="I1950" i="1" a="1"/>
  <c r="I1982" i="1" a="1"/>
  <c r="I2014" i="1" a="1"/>
  <c r="I2046" i="1" a="1"/>
  <c r="I1333" i="1" a="1"/>
  <c r="I1462" i="1" a="1"/>
  <c r="I1522" i="1" a="1"/>
  <c r="I1565" i="1" a="1"/>
  <c r="I1618" i="1" a="1"/>
  <c r="I1682" i="1" a="1"/>
  <c r="I1746" i="1" a="1"/>
  <c r="I1810" i="1" a="1"/>
  <c r="I1874" i="1" a="1"/>
  <c r="I1354" i="1" a="1"/>
  <c r="I1425" i="1" a="1"/>
  <c r="I1507" i="1" a="1"/>
  <c r="I1614" i="1" a="1"/>
  <c r="I1678" i="1" a="1"/>
  <c r="I854" i="1" a="1"/>
  <c r="I1406" i="1" a="1"/>
  <c r="I1484" i="1" a="1"/>
  <c r="I1540" i="1" a="1"/>
  <c r="I1582" i="1" a="1"/>
  <c r="I1647" i="1" a="1"/>
  <c r="I1711" i="1" a="1"/>
  <c r="I1381" i="1" a="1"/>
  <c r="I1465" i="1" a="1"/>
  <c r="I1567" i="1" a="1"/>
  <c r="I721" i="1" a="1"/>
  <c r="I1349" i="1" a="1"/>
  <c r="I1460" i="1" a="1"/>
  <c r="I1525" i="1" a="1"/>
  <c r="I1568" i="1" a="1"/>
  <c r="I1149" i="1" a="1"/>
  <c r="I1616" i="1" a="1"/>
  <c r="I1744" i="1" a="1"/>
  <c r="I1823" i="1" a="1"/>
  <c r="I2086" i="1" a="1"/>
  <c r="I2150" i="1" a="1"/>
  <c r="I2204" i="1" a="1"/>
  <c r="I2236" i="1" a="1"/>
  <c r="I2268" i="1" a="1"/>
  <c r="I2300" i="1" a="1"/>
  <c r="I2332" i="1" a="1"/>
  <c r="I2364" i="1" a="1"/>
  <c r="I2396" i="1" a="1"/>
  <c r="I1493" i="1" a="1"/>
  <c r="I1657" i="1" a="1"/>
  <c r="I1757" i="1" a="1"/>
  <c r="I1843" i="1" a="1"/>
  <c r="I1900" i="1" a="1"/>
  <c r="I1943" i="1" a="1"/>
  <c r="I1985" i="1" a="1"/>
  <c r="I2028" i="1" a="1"/>
  <c r="I2082" i="1" a="1"/>
  <c r="I2146" i="1" a="1"/>
  <c r="I1329" i="1" a="1"/>
  <c r="I1630" i="1" a="1"/>
  <c r="I377" i="1" a="1"/>
  <c r="I739" i="1" a="1"/>
  <c r="I873" i="1" a="1"/>
  <c r="I724" i="1" a="1"/>
  <c r="I709" i="1" a="1"/>
  <c r="I983" i="1" a="1"/>
  <c r="I1214" i="1" a="1"/>
  <c r="I705" i="1" a="1"/>
  <c r="I1082" i="1" a="1"/>
  <c r="I750" i="1" a="1"/>
  <c r="I1017" i="1" a="1"/>
  <c r="I1183" i="1" a="1"/>
  <c r="I1259" i="1" a="1"/>
  <c r="I1315" i="1" a="1"/>
  <c r="I782" i="1" a="1"/>
  <c r="I874" i="1" a="1"/>
  <c r="I996" i="1" a="1"/>
  <c r="I1074" i="1" a="1"/>
  <c r="I1138" i="1" a="1"/>
  <c r="I1202" i="1" a="1"/>
  <c r="I650" i="1" a="1"/>
  <c r="I922" i="1" a="1"/>
  <c r="I965" i="1" a="1"/>
  <c r="I1007" i="1" a="1"/>
  <c r="I1061" i="1" a="1"/>
  <c r="I1125" i="1" a="1"/>
  <c r="I1189" i="1" a="1"/>
  <c r="I1252" i="1" a="1"/>
  <c r="I593" i="1" a="1"/>
  <c r="I819" i="1" a="1"/>
  <c r="I883" i="1" a="1"/>
  <c r="I992" i="1" a="1"/>
  <c r="I1075" i="1" a="1"/>
  <c r="I1139" i="1" a="1"/>
  <c r="I358" i="1" a="1"/>
  <c r="I1025" i="1" a="1"/>
  <c r="I1240" i="1" a="1"/>
  <c r="I940" i="1" a="1"/>
  <c r="I1241" i="1" a="1"/>
  <c r="I1313" i="1" a="1"/>
  <c r="I1351" i="1" a="1"/>
  <c r="I1383" i="1" a="1"/>
  <c r="I1415" i="1" a="1"/>
  <c r="I1447" i="1" a="1"/>
  <c r="I1479" i="1" a="1"/>
  <c r="I898" i="1" a="1"/>
  <c r="I1085" i="1" a="1"/>
  <c r="I679" i="1" a="1"/>
  <c r="I1067" i="1" a="1"/>
  <c r="I1273" i="1" a="1"/>
  <c r="I1328" i="1" a="1"/>
  <c r="I1360" i="1" a="1"/>
  <c r="I699" i="1" a="1"/>
  <c r="I1071" i="1" a="1"/>
  <c r="I446" i="1" a="1"/>
  <c r="I1035" i="1" a="1"/>
  <c r="I1276" i="1" a="1"/>
  <c r="I1094" i="1" a="1"/>
  <c r="I1377" i="1" a="1"/>
  <c r="I1456" i="1" a="1"/>
  <c r="I1575" i="1" a="1"/>
  <c r="I1645" i="1" a="1"/>
  <c r="I1709" i="1" a="1"/>
  <c r="I1773" i="1" a="1"/>
  <c r="I1837" i="1" a="1"/>
  <c r="I1890" i="1" a="1"/>
  <c r="I1922" i="1" a="1"/>
  <c r="I1954" i="1" a="1"/>
  <c r="I1986" i="1" a="1"/>
  <c r="I2018" i="1" a="1"/>
  <c r="I2050" i="1" a="1"/>
  <c r="I1342" i="1" a="1"/>
  <c r="I1469" i="1" a="1"/>
  <c r="I1528" i="1" a="1"/>
  <c r="I1570" i="1" a="1"/>
  <c r="I1623" i="1" a="1"/>
  <c r="I1687" i="1" a="1"/>
  <c r="I1751" i="1" a="1"/>
  <c r="I1815" i="1" a="1"/>
  <c r="I628" i="1" a="1"/>
  <c r="I1362" i="1" a="1"/>
  <c r="I1432" i="1" a="1"/>
  <c r="I1523" i="1" a="1"/>
  <c r="I1619" i="1" a="1"/>
  <c r="I1683" i="1" a="1"/>
  <c r="I956" i="1" a="1"/>
  <c r="I1413" i="1" a="1"/>
  <c r="I1502" i="1" a="1"/>
  <c r="I1545" i="1" a="1"/>
  <c r="I1592" i="1" a="1"/>
  <c r="I1656" i="1" a="1"/>
  <c r="I977" i="1" a="1"/>
  <c r="I387" i="1" a="1"/>
  <c r="I744" i="1" a="1"/>
  <c r="I877" i="1" a="1"/>
  <c r="I740" i="1" a="1"/>
  <c r="I714" i="1" a="1"/>
  <c r="I989" i="1" a="1"/>
  <c r="I1223" i="1" a="1"/>
  <c r="I726" i="1" a="1"/>
  <c r="I1091" i="1" a="1"/>
  <c r="I926" i="1" a="1"/>
  <c r="I1022" i="1" a="1"/>
  <c r="I1192" i="1" a="1"/>
  <c r="I1271" i="1" a="1"/>
  <c r="I1319" i="1" a="1"/>
  <c r="I802" i="1" a="1"/>
  <c r="I882" i="1" a="1"/>
  <c r="I1012" i="1" a="1"/>
  <c r="I1083" i="1" a="1"/>
  <c r="I1147" i="1" a="1"/>
  <c r="I1211" i="1" a="1"/>
  <c r="I673" i="1" a="1"/>
  <c r="I927" i="1" a="1"/>
  <c r="I970" i="1" a="1"/>
  <c r="I1013" i="1" a="1"/>
  <c r="I1070" i="1" a="1"/>
  <c r="I1134" i="1" a="1"/>
  <c r="I1198" i="1" a="1"/>
  <c r="I1256" i="1" a="1"/>
  <c r="I622" i="1" a="1"/>
  <c r="I827" i="1" a="1"/>
  <c r="I903" i="1" a="1"/>
  <c r="I1008" i="1" a="1"/>
  <c r="I1084" i="1" a="1"/>
  <c r="I1148" i="1" a="1"/>
  <c r="I741" i="1" a="1"/>
  <c r="I1062" i="1" a="1"/>
  <c r="I531" i="1" a="1"/>
  <c r="I1004" i="1" a="1"/>
  <c r="I1253" i="1" a="1"/>
  <c r="I1323" i="1" a="1"/>
  <c r="I1355" i="1" a="1"/>
  <c r="I1387" i="1" a="1"/>
  <c r="I1419" i="1" a="1"/>
  <c r="I1451" i="1" a="1"/>
  <c r="I1483" i="1" a="1"/>
  <c r="I923" i="1" a="1"/>
  <c r="I1103" i="1" a="1"/>
  <c r="I759" i="1" a="1"/>
  <c r="I1122" i="1" a="1"/>
  <c r="I1281" i="1" a="1"/>
  <c r="I1332" i="1" a="1"/>
  <c r="I1364" i="1" a="1"/>
  <c r="I904" i="1" a="1"/>
  <c r="I1126" i="1" a="1"/>
  <c r="I600" i="1" a="1"/>
  <c r="I1090" i="1" a="1"/>
  <c r="I1284" i="1" a="1"/>
  <c r="I1167" i="1" a="1"/>
  <c r="I462" i="1" a="1"/>
  <c r="I758" i="1" a="1"/>
  <c r="I1146" i="1" a="1"/>
  <c r="I1279" i="1" a="1"/>
  <c r="I1028" i="1" a="1"/>
  <c r="I694" i="1" a="1"/>
  <c r="I1079" i="1" a="1"/>
  <c r="I716" i="1" a="1"/>
  <c r="I1089" i="1" a="1"/>
  <c r="I658" i="1" a="1"/>
  <c r="I1359" i="1" a="1"/>
  <c r="I1487" i="1" a="1"/>
  <c r="I1140" i="1" a="1"/>
  <c r="I929" i="1" a="1"/>
  <c r="I1292" i="1" a="1"/>
  <c r="I1481" i="1" a="1"/>
  <c r="I1718" i="1" a="1"/>
  <c r="I1860" i="1" a="1"/>
  <c r="I1962" i="1" a="1"/>
  <c r="I2054" i="1" a="1"/>
  <c r="I1501" i="1" a="1"/>
  <c r="I1641" i="1" a="1"/>
  <c r="I1824" i="1" a="1"/>
  <c r="I1386" i="1" a="1"/>
  <c r="I1637" i="1" a="1"/>
  <c r="I1420" i="1" a="1"/>
  <c r="I1561" i="1" a="1"/>
  <c r="I1337" i="1" a="1"/>
  <c r="I1472" i="1" a="1"/>
  <c r="I1606" i="1" a="1"/>
  <c r="I1396" i="1" a="1"/>
  <c r="I1514" i="1" a="1"/>
  <c r="I1584" i="1" a="1"/>
  <c r="I1626" i="1" a="1"/>
  <c r="I1786" i="1" a="1"/>
  <c r="I2100" i="1" a="1"/>
  <c r="I2196" i="1" a="1"/>
  <c r="I2248" i="1" a="1"/>
  <c r="I2304" i="1" a="1"/>
  <c r="I2348" i="1" a="1"/>
  <c r="I2404" i="1" a="1"/>
  <c r="I1639" i="1" a="1"/>
  <c r="I1788" i="1" a="1"/>
  <c r="I1905" i="1" a="1"/>
  <c r="I1964" i="1" a="1"/>
  <c r="I2039" i="1" a="1"/>
  <c r="I2128" i="1" a="1"/>
  <c r="I1473" i="1" a="1"/>
  <c r="I1770" i="1" a="1"/>
  <c r="I1873" i="1" a="1"/>
  <c r="I2124" i="1" a="1"/>
  <c r="I2188" i="1" a="1"/>
  <c r="I2225" i="1" a="1"/>
  <c r="I2257" i="1" a="1"/>
  <c r="I2289" i="1" a="1"/>
  <c r="I2321" i="1" a="1"/>
  <c r="I2353" i="1" a="1"/>
  <c r="I2385" i="1" a="1"/>
  <c r="I1542" i="1" a="1"/>
  <c r="I1704" i="1" a="1"/>
  <c r="I1771" i="1" a="1"/>
  <c r="I1868" i="1" a="1"/>
  <c r="I1912" i="1" a="1"/>
  <c r="I1955" i="1" a="1"/>
  <c r="I1997" i="1" a="1"/>
  <c r="I2040" i="1" a="1"/>
  <c r="I2097" i="1" a="1"/>
  <c r="I2161" i="1" a="1"/>
  <c r="I1402" i="1" a="1"/>
  <c r="I1670" i="1" a="1"/>
  <c r="I1802" i="1" a="1"/>
  <c r="I2061" i="1" a="1"/>
  <c r="I2125" i="1" a="1"/>
  <c r="I2189" i="1" a="1"/>
  <c r="I2226" i="1" a="1"/>
  <c r="I1429" i="1" a="1"/>
  <c r="I1671" i="1" a="1"/>
  <c r="I1766" i="1" a="1"/>
  <c r="I1845" i="1" a="1"/>
  <c r="I1903" i="1" a="1"/>
  <c r="I1945" i="1" a="1"/>
  <c r="I1988" i="1" a="1"/>
  <c r="I2031" i="1" a="1"/>
  <c r="I2080" i="1" a="1"/>
  <c r="I2144" i="1" a="1"/>
  <c r="I1840" i="1" a="1"/>
  <c r="I2186" i="1" a="1"/>
  <c r="I2430" i="1" a="1"/>
  <c r="I2472" i="1" a="1"/>
  <c r="I2515" i="1" a="1"/>
  <c r="I2652" i="1" a="1"/>
  <c r="I2527" i="1" a="1"/>
  <c r="I2649" i="1" a="1"/>
  <c r="I2674" i="1" a="1"/>
  <c r="I1594" i="1" a="1"/>
  <c r="I1995" i="1" a="1"/>
  <c r="I2251" i="1" a="1"/>
  <c r="I2315" i="1" a="1"/>
  <c r="I2379" i="1" a="1"/>
  <c r="I2489" i="1" a="1"/>
  <c r="I2556" i="1" a="1"/>
  <c r="I2588" i="1" a="1"/>
  <c r="I2624" i="1" a="1"/>
  <c r="I2688" i="1" a="1"/>
  <c r="I2605" i="1" a="1"/>
  <c r="I2606" i="1" a="1"/>
  <c r="I2487" i="1" a="1"/>
  <c r="I2099" i="1" a="1"/>
  <c r="I2420" i="1" a="1"/>
  <c r="I2463" i="1" a="1"/>
  <c r="I2585" i="1" a="1"/>
  <c r="I2594" i="1" a="1"/>
  <c r="I2476" i="1" a="1"/>
  <c r="I1774" i="1" a="1"/>
  <c r="I2000" i="1" a="1"/>
  <c r="I2203" i="1" a="1"/>
  <c r="I2294" i="1" a="1"/>
  <c r="I473" i="1" a="1"/>
  <c r="I762" i="1" a="1"/>
  <c r="I1155" i="1" a="1"/>
  <c r="I1283" i="1" a="1"/>
  <c r="I1033" i="1" a="1"/>
  <c r="I736" i="1" a="1"/>
  <c r="I1088" i="1" a="1"/>
  <c r="I755" i="1" a="1"/>
  <c r="I1098" i="1" a="1"/>
  <c r="I798" i="1" a="1"/>
  <c r="I1363" i="1" a="1"/>
  <c r="I1491" i="1" a="1"/>
  <c r="I1177" i="1" a="1"/>
  <c r="I950" i="1" a="1"/>
  <c r="I1300" i="1" a="1"/>
  <c r="I1488" i="1" a="1"/>
  <c r="I1723" i="1" a="1"/>
  <c r="I1894" i="1" a="1"/>
  <c r="I1966" i="1" a="1"/>
  <c r="I489" i="1" a="1"/>
  <c r="I1533" i="1" a="1"/>
  <c r="I1650" i="1" a="1"/>
  <c r="I1833" i="1" a="1"/>
  <c r="I1450" i="1" a="1"/>
  <c r="I1646" i="1" a="1"/>
  <c r="I1438" i="1" a="1"/>
  <c r="I1601" i="1" a="1"/>
  <c r="I1346" i="1" a="1"/>
  <c r="I1490" i="1" a="1"/>
  <c r="I1620" i="1" a="1"/>
  <c r="I1414" i="1" a="1"/>
  <c r="I1530" i="1" a="1"/>
  <c r="I1593" i="1" a="1"/>
  <c r="I1638" i="1" a="1"/>
  <c r="I1799" i="1" a="1"/>
  <c r="I2109" i="1" a="1"/>
  <c r="I2208" i="1" a="1"/>
  <c r="I2252" i="1" a="1"/>
  <c r="I2308" i="1" a="1"/>
  <c r="I2356" i="1" a="1"/>
  <c r="I2408" i="1" a="1"/>
  <c r="I1666" i="1" a="1"/>
  <c r="I1806" i="1" a="1"/>
  <c r="I1911" i="1" a="1"/>
  <c r="I1975" i="1" a="1"/>
  <c r="I2044" i="1" a="1"/>
  <c r="I2151" i="1" a="1"/>
  <c r="I1498" i="1" a="1"/>
  <c r="I1776" i="1" a="1"/>
  <c r="I2060" i="1" a="1"/>
  <c r="I2133" i="1" a="1"/>
  <c r="I2197" i="1" a="1"/>
  <c r="I2229" i="1" a="1"/>
  <c r="I2261" i="1" a="1"/>
  <c r="I2293" i="1" a="1"/>
  <c r="I2325" i="1" a="1"/>
  <c r="I2357" i="1" a="1"/>
  <c r="I2389" i="1" a="1"/>
  <c r="I1564" i="1" a="1"/>
  <c r="I1713" i="1" a="1"/>
  <c r="I1789" i="1" a="1"/>
  <c r="I1875" i="1" a="1"/>
  <c r="I1917" i="1" a="1"/>
  <c r="I1960" i="1" a="1"/>
  <c r="I2003" i="1" a="1"/>
  <c r="I2045" i="1" a="1"/>
  <c r="I2106" i="1" a="1"/>
  <c r="I2170" i="1" a="1"/>
  <c r="I1480" i="1" a="1"/>
  <c r="I1707" i="1" a="1"/>
  <c r="I1808" i="1" a="1"/>
  <c r="I2070" i="1" a="1"/>
  <c r="I2134" i="1" a="1"/>
  <c r="I2198" i="1" a="1"/>
  <c r="I2230" i="1" a="1"/>
  <c r="I1454" i="1" a="1"/>
  <c r="I1680" i="1" a="1"/>
  <c r="I1772" i="1" a="1"/>
  <c r="I1852" i="1" a="1"/>
  <c r="I1908" i="1" a="1"/>
  <c r="I1951" i="1" a="1"/>
  <c r="I1993" i="1" a="1"/>
  <c r="I2036" i="1" a="1"/>
  <c r="I2089" i="1" a="1"/>
  <c r="I2153" i="1" a="1"/>
  <c r="I1864" i="1" a="1"/>
  <c r="I2199" i="1" a="1"/>
  <c r="I2435" i="1" a="1"/>
  <c r="I2478" i="1" a="1"/>
  <c r="I2520" i="1" a="1"/>
  <c r="I2660" i="1" a="1"/>
  <c r="I2553" i="1" a="1"/>
  <c r="I2665" i="1" a="1"/>
  <c r="I2406" i="1" a="1"/>
  <c r="I1681" i="1" a="1"/>
  <c r="I2016" i="1" a="1"/>
  <c r="I2259" i="1" a="1"/>
  <c r="I2323" i="1" a="1"/>
  <c r="I2387" i="1" a="1"/>
  <c r="I2505" i="1" a="1"/>
  <c r="I2560" i="1" a="1"/>
  <c r="I2592" i="1" a="1"/>
  <c r="I2632" i="1" a="1"/>
  <c r="I2479" i="1" a="1"/>
  <c r="I2621" i="1" a="1"/>
  <c r="I2630" i="1" a="1"/>
  <c r="I2519" i="1" a="1"/>
  <c r="I2117" i="1" a="1"/>
  <c r="I2426" i="1" a="1"/>
  <c r="I2468" i="1" a="1"/>
  <c r="I2609" i="1" a="1"/>
  <c r="I2614" i="1" a="1"/>
  <c r="I2508" i="1" a="1"/>
  <c r="I1798" i="1" a="1"/>
  <c r="I2021" i="1" a="1"/>
  <c r="I2235" i="1" a="1"/>
  <c r="I2302" i="1" a="1"/>
  <c r="I2366" i="1" a="1"/>
  <c r="I2437" i="1" a="1"/>
  <c r="I2541" i="1" a="1"/>
  <c r="I2645" i="1" a="1"/>
  <c r="I2678" i="1" a="1"/>
  <c r="I1699" i="1" a="1"/>
  <c r="I2194" i="1" a="1"/>
  <c r="I2443" i="1" a="1"/>
  <c r="I2486" i="1" a="1"/>
  <c r="I2528" i="1" a="1"/>
  <c r="I777" i="1" a="1"/>
  <c r="I1026" i="1" a="1"/>
  <c r="I931" i="1" a="1"/>
  <c r="I382" i="1" a="1"/>
  <c r="I1092" i="1" a="1"/>
  <c r="I933" i="1" a="1"/>
  <c r="I1143" i="1" a="1"/>
  <c r="I835" i="1" a="1"/>
  <c r="I1153" i="1" a="1"/>
  <c r="I1044" i="1" a="1"/>
  <c r="I1391" i="1" a="1"/>
  <c r="I945" i="1" a="1"/>
  <c r="I1289" i="1" a="1"/>
  <c r="I1144" i="1" a="1"/>
  <c r="I1226" i="1" a="1"/>
  <c r="I1590" i="1" a="1"/>
  <c r="I1732" i="1" a="1"/>
  <c r="I1898" i="1" a="1"/>
  <c r="I1990" i="1" a="1"/>
  <c r="I822" i="1" a="1"/>
  <c r="I1538" i="1" a="1"/>
  <c r="I1696" i="1" a="1"/>
  <c r="I1842" i="1" a="1"/>
  <c r="I1457" i="1" a="1"/>
  <c r="I1692" i="1" a="1"/>
  <c r="I1445" i="1" a="1"/>
  <c r="I1610" i="1" a="1"/>
  <c r="I1365" i="1" a="1"/>
  <c r="I1497" i="1" a="1"/>
  <c r="I886" i="1" a="1"/>
  <c r="I1421" i="1" a="1"/>
  <c r="I1536" i="1" a="1"/>
  <c r="I1607" i="1" a="1"/>
  <c r="I1675" i="1" a="1"/>
  <c r="I1841" i="1" a="1"/>
  <c r="I2118" i="1" a="1"/>
  <c r="I2212" i="1" a="1"/>
  <c r="I2260" i="1" a="1"/>
  <c r="I2312" i="1" a="1"/>
  <c r="I2368" i="1" a="1"/>
  <c r="I2412" i="1" a="1"/>
  <c r="I1703" i="1" a="1"/>
  <c r="I1830" i="1" a="1"/>
  <c r="I1916" i="1" a="1"/>
  <c r="I1991" i="1" a="1"/>
  <c r="I2049" i="1" a="1"/>
  <c r="I2160" i="1" a="1"/>
  <c r="I1603" i="1" a="1"/>
  <c r="I1794" i="1" a="1"/>
  <c r="I2069" i="1" a="1"/>
  <c r="I2142" i="1" a="1"/>
  <c r="I2201" i="1" a="1"/>
  <c r="I2233" i="1" a="1"/>
  <c r="I2265" i="1" a="1"/>
  <c r="I2297" i="1" a="1"/>
  <c r="I2329" i="1" a="1"/>
  <c r="I2361" i="1" a="1"/>
  <c r="I2393" i="1" a="1"/>
  <c r="I1585" i="1" a="1"/>
  <c r="I1721" i="1" a="1"/>
  <c r="I1795" i="1" a="1"/>
  <c r="I1880" i="1" a="1"/>
  <c r="I1923" i="1" a="1"/>
  <c r="I1965" i="1" a="1"/>
  <c r="I2008" i="1" a="1"/>
  <c r="I2051" i="1" a="1"/>
  <c r="I2111" i="1" a="1"/>
  <c r="I2175" i="1" a="1"/>
  <c r="I1547" i="1" a="1"/>
  <c r="I1729" i="1" a="1"/>
  <c r="I1826" i="1" a="1"/>
  <c r="I2075" i="1" a="1"/>
  <c r="I2139" i="1" a="1"/>
  <c r="I2202" i="1" a="1"/>
  <c r="I2234" i="1" a="1"/>
  <c r="I1505" i="1" a="1"/>
  <c r="I1689" i="1" a="1"/>
  <c r="I1779" i="1" a="1"/>
  <c r="I1870" i="1" a="1"/>
  <c r="I1913" i="1" a="1"/>
  <c r="I1956" i="1" a="1"/>
  <c r="I1999" i="1" a="1"/>
  <c r="I2041" i="1" a="1"/>
  <c r="I781" i="1" a="1"/>
  <c r="I1031" i="1" a="1"/>
  <c r="I937" i="1" a="1"/>
  <c r="I510" i="1" a="1"/>
  <c r="I1097" i="1" a="1"/>
  <c r="I938" i="1" a="1"/>
  <c r="I1152" i="1" a="1"/>
  <c r="I843" i="1" a="1"/>
  <c r="I1162" i="1" a="1"/>
  <c r="I1081" i="1" a="1"/>
  <c r="I1395" i="1" a="1"/>
  <c r="I966" i="1" a="1"/>
  <c r="I1297" i="1" a="1"/>
  <c r="I1181" i="1" a="1"/>
  <c r="I1321" i="1" a="1"/>
  <c r="I1595" i="1" a="1"/>
  <c r="I1782" i="1" a="1"/>
  <c r="I1902" i="1" a="1"/>
  <c r="I1994" i="1" a="1"/>
  <c r="I1398" i="1" a="1"/>
  <c r="I1544" i="1" a="1"/>
  <c r="I1705" i="1" a="1"/>
  <c r="I955" i="1" a="1"/>
  <c r="I1464" i="1" a="1"/>
  <c r="I1701" i="1" a="1"/>
  <c r="I1508" i="1" a="1"/>
  <c r="I1615" i="1" a="1"/>
  <c r="I1394" i="1" a="1"/>
  <c r="I1503" i="1" a="1"/>
  <c r="I1058" i="1" a="1"/>
  <c r="I1446" i="1" a="1"/>
  <c r="I1541" i="1" a="1"/>
  <c r="I1358" i="1" a="1"/>
  <c r="I1684" i="1" a="1"/>
  <c r="I1848" i="1" a="1"/>
  <c r="I2132" i="1" a="1"/>
  <c r="I2216" i="1" a="1"/>
  <c r="I2272" i="1" a="1"/>
  <c r="I2316" i="1" a="1"/>
  <c r="I2372" i="1" a="1"/>
  <c r="I1390" i="1" a="1"/>
  <c r="I1712" i="1" a="1"/>
  <c r="I1854" i="1" a="1"/>
  <c r="I1921" i="1" a="1"/>
  <c r="I1996" i="1" a="1"/>
  <c r="I2064" i="1" a="1"/>
  <c r="I2169" i="1" a="1"/>
  <c r="I1667" i="1" a="1"/>
  <c r="I1800" i="1" a="1"/>
  <c r="I2083" i="1" a="1"/>
  <c r="I2147" i="1" a="1"/>
  <c r="I2205" i="1" a="1"/>
  <c r="I2237" i="1" a="1"/>
  <c r="I2269" i="1" a="1"/>
  <c r="I2301" i="1" a="1"/>
  <c r="I2333" i="1" a="1"/>
  <c r="I2365" i="1" a="1"/>
  <c r="I911" i="1" a="1"/>
  <c r="I1631" i="1" a="1"/>
  <c r="I1734" i="1" a="1"/>
  <c r="I1813" i="1" a="1"/>
  <c r="I1885" i="1" a="1"/>
  <c r="I1928" i="1" a="1"/>
  <c r="I1971" i="1" a="1"/>
  <c r="I2013" i="1" a="1"/>
  <c r="I2056" i="1" a="1"/>
  <c r="I2120" i="1" a="1"/>
  <c r="I2184" i="1" a="1"/>
  <c r="I1589" i="1" a="1"/>
  <c r="I1735" i="1" a="1"/>
  <c r="I1832" i="1" a="1"/>
  <c r="I2084" i="1" a="1"/>
  <c r="I2148" i="1" a="1"/>
  <c r="I2206" i="1" a="1"/>
  <c r="I2238" i="1" a="1"/>
  <c r="I1526" i="1" a="1"/>
  <c r="I1698" i="1" a="1"/>
  <c r="I1790" i="1" a="1"/>
  <c r="I1876" i="1" a="1"/>
  <c r="I1919" i="1" a="1"/>
  <c r="I1961" i="1" a="1"/>
  <c r="I2004" i="1" a="1"/>
  <c r="I2047" i="1" a="1"/>
  <c r="I2103" i="1" a="1"/>
  <c r="I1644" i="1" a="1"/>
  <c r="I2094" i="1" a="1"/>
  <c r="I2401" i="1" a="1"/>
  <c r="I2446" i="1" a="1"/>
  <c r="I2488" i="1" a="1"/>
  <c r="I2535" i="1" a="1"/>
  <c r="I2676" i="1" a="1"/>
  <c r="I2573" i="1" a="1"/>
  <c r="I2566" i="1" a="1"/>
  <c r="I2471" i="1" a="1"/>
  <c r="I1888" i="1" a="1"/>
  <c r="I2058" i="1" a="1"/>
  <c r="I2275" i="1" a="1"/>
  <c r="I2339" i="1" a="1"/>
  <c r="I2402" i="1" a="1"/>
  <c r="I2531" i="1" a="1"/>
  <c r="I2568" i="1" a="1"/>
  <c r="I2600" i="1" a="1"/>
  <c r="I2648" i="1" a="1"/>
  <c r="I2536" i="1" a="1"/>
  <c r="I2653" i="1" a="1"/>
  <c r="I2682" i="1" a="1"/>
  <c r="I1531" i="1" a="1"/>
  <c r="I2177" i="1" a="1"/>
  <c r="I2436" i="1" a="1"/>
  <c r="I2484" i="1" a="1"/>
  <c r="I2641" i="1" a="1"/>
  <c r="I2662" i="1" a="1"/>
  <c r="I1436" i="1" a="1"/>
  <c r="I1893" i="1" a="1"/>
  <c r="I2063" i="1" a="1"/>
  <c r="I2254" i="1" a="1"/>
  <c r="I2318" i="1" a="1"/>
  <c r="I2382" i="1" a="1"/>
  <c r="I2469" i="1" a="1"/>
  <c r="I2557" i="1" a="1"/>
  <c r="I2677" i="1" a="1"/>
  <c r="I2418" i="1" a="1"/>
  <c r="I1754" i="1" a="1"/>
  <c r="I2398" i="1" a="1"/>
  <c r="I905" i="1" a="1"/>
  <c r="I1262" i="1" a="1"/>
  <c r="I1064" i="1" a="1"/>
  <c r="I810" i="1" a="1"/>
  <c r="I1156" i="1" a="1"/>
  <c r="I975" i="1" a="1"/>
  <c r="I1207" i="1" a="1"/>
  <c r="I910" i="1" a="1"/>
  <c r="I795" i="1" a="1"/>
  <c r="I1264" i="1" a="1"/>
  <c r="I1423" i="1" a="1"/>
  <c r="I1158" i="1" a="1"/>
  <c r="I1336" i="1" a="1"/>
  <c r="I700" i="1" a="1"/>
  <c r="I1385" i="1" a="1"/>
  <c r="I1604" i="1" a="1"/>
  <c r="I1787" i="1" a="1"/>
  <c r="I1926" i="1" a="1"/>
  <c r="I1998" i="1" a="1"/>
  <c r="I1405" i="1" a="1"/>
  <c r="I1576" i="1" a="1"/>
  <c r="I1714" i="1" a="1"/>
  <c r="I1039" i="1" a="1"/>
  <c r="I1539" i="1" a="1"/>
  <c r="I1710" i="1" a="1"/>
  <c r="I1513" i="1" a="1"/>
  <c r="I1665" i="1" a="1"/>
  <c r="I1401" i="1" a="1"/>
  <c r="I1535" i="1" a="1"/>
  <c r="I1131" i="1" a="1"/>
  <c r="I1478" i="1" a="1"/>
  <c r="I1546" i="1" a="1"/>
  <c r="I1416" i="1" a="1"/>
  <c r="I1702" i="1" a="1"/>
  <c r="I1866" i="1" a="1"/>
  <c r="I2155" i="1" a="1"/>
  <c r="I2220" i="1" a="1"/>
  <c r="I2276" i="1" a="1"/>
  <c r="I2324" i="1" a="1"/>
  <c r="I2376" i="1" a="1"/>
  <c r="I1516" i="1" a="1"/>
  <c r="I1720" i="1" a="1"/>
  <c r="I1861" i="1" a="1"/>
  <c r="I1932" i="1" a="1"/>
  <c r="I2001" i="1" a="1"/>
  <c r="I2087" i="1" a="1"/>
  <c r="I2178" i="1" a="1"/>
  <c r="I1676" i="1" a="1"/>
  <c r="I1807" i="1" a="1"/>
  <c r="I2092" i="1" a="1"/>
  <c r="I2156" i="1" a="1"/>
  <c r="I2209" i="1" a="1"/>
  <c r="I2241" i="1" a="1"/>
  <c r="I2273" i="1" a="1"/>
  <c r="I2305" i="1" a="1"/>
  <c r="I2337" i="1" a="1"/>
  <c r="I2369" i="1" a="1"/>
  <c r="I1397" i="1" a="1"/>
  <c r="I1640" i="1" a="1"/>
  <c r="I1740" i="1" a="1"/>
  <c r="I1820" i="1" a="1"/>
  <c r="I1891" i="1" a="1"/>
  <c r="I1933" i="1" a="1"/>
  <c r="I1976" i="1" a="1"/>
  <c r="I2019" i="1" a="1"/>
  <c r="I2065" i="1" a="1"/>
  <c r="I2129" i="1" a="1"/>
  <c r="I2193" i="1" a="1"/>
  <c r="I1621" i="1" a="1"/>
  <c r="I1753" i="1" a="1"/>
  <c r="I1839" i="1" a="1"/>
  <c r="I2093" i="1" a="1"/>
  <c r="I2157" i="1" a="1"/>
  <c r="I2210" i="1" a="1"/>
  <c r="I2242" i="1" a="1"/>
  <c r="I1548" i="1" a="1"/>
  <c r="I1716" i="1" a="1"/>
  <c r="I1797" i="1" a="1"/>
  <c r="I1881" i="1" a="1"/>
  <c r="I1924" i="1" a="1"/>
  <c r="I1967" i="1" a="1"/>
  <c r="I2009" i="1" a="1"/>
  <c r="I2052" i="1" a="1"/>
  <c r="I2112" i="1" a="1"/>
  <c r="I1743" i="1" a="1"/>
  <c r="I2131" i="1" a="1"/>
  <c r="I2407" i="1" a="1"/>
  <c r="I2451" i="1" a="1"/>
  <c r="I2494" i="1" a="1"/>
  <c r="I2620" i="1" a="1"/>
  <c r="I2684" i="1" a="1"/>
  <c r="I2589" i="1" a="1"/>
  <c r="I2582" i="1" a="1"/>
  <c r="I2503" i="1" a="1"/>
  <c r="I1909" i="1" a="1"/>
  <c r="I2095" i="1" a="1"/>
  <c r="I2283" i="1" a="1"/>
  <c r="I2347" i="1" a="1"/>
  <c r="I2425" i="1" a="1"/>
  <c r="I2540" i="1" a="1"/>
  <c r="I2572" i="1" a="1"/>
  <c r="I2604" i="1" a="1"/>
  <c r="I2656" i="1" a="1"/>
  <c r="I2549" i="1" a="1"/>
  <c r="I2669" i="1" a="1"/>
  <c r="I1635" i="1" a="1"/>
  <c r="I1612" i="1" a="1"/>
  <c r="I2190" i="1" a="1"/>
  <c r="I2442" i="1" a="1"/>
  <c r="I2495" i="1" a="1"/>
  <c r="I2657" i="1" a="1"/>
  <c r="I2686" i="1" a="1"/>
  <c r="I1532" i="1" a="1"/>
  <c r="I1915" i="1" a="1"/>
  <c r="I2081" i="1" a="1"/>
  <c r="I2262" i="1" a="1"/>
  <c r="I909" i="1" a="1"/>
  <c r="I1266" i="1" a="1"/>
  <c r="I1069" i="1" a="1"/>
  <c r="I818" i="1" a="1"/>
  <c r="I1161" i="1" a="1"/>
  <c r="I981" i="1" a="1"/>
  <c r="I1216" i="1" a="1"/>
  <c r="I916" i="1" a="1"/>
  <c r="I891" i="1" a="1"/>
  <c r="I1272" i="1" a="1"/>
  <c r="I1427" i="1" a="1"/>
  <c r="I1176" i="1" a="1"/>
  <c r="I1340" i="1" a="1"/>
  <c r="I775" i="1" a="1"/>
  <c r="I1392" i="1" a="1"/>
  <c r="I1654" i="1" a="1"/>
  <c r="I1796" i="1" a="1"/>
  <c r="I1930" i="1" a="1"/>
  <c r="I2022" i="1" a="1"/>
  <c r="I1412" i="1" a="1"/>
  <c r="I1581" i="1" a="1"/>
  <c r="I1760" i="1" a="1"/>
  <c r="I1112" i="1" a="1"/>
  <c r="I1555" i="1" a="1"/>
  <c r="I1113" i="1" a="1"/>
  <c r="I1518" i="1" a="1"/>
  <c r="I1674" i="1" a="1"/>
  <c r="I1408" i="1" a="1"/>
  <c r="I1583" i="1" a="1"/>
  <c r="I1203" i="1" a="1"/>
  <c r="I1485" i="1" a="1"/>
  <c r="I1557" i="1" a="1"/>
  <c r="I1441" i="1" a="1"/>
  <c r="I1762" i="1" a="1"/>
  <c r="I1872" i="1" a="1"/>
  <c r="I2164" i="1" a="1"/>
  <c r="I2228" i="1" a="1"/>
  <c r="I2280" i="1" a="1"/>
  <c r="I2336" i="1" a="1"/>
  <c r="I2380" i="1" a="1"/>
  <c r="I1537" i="1" a="1"/>
  <c r="I1733" i="1" a="1"/>
  <c r="I1867" i="1" a="1"/>
  <c r="I1948" i="1" a="1"/>
  <c r="I2007" i="1" a="1"/>
  <c r="I2096" i="1" a="1"/>
  <c r="I2192" i="1" a="1"/>
  <c r="I1685" i="1" a="1"/>
  <c r="I1825" i="1" a="1"/>
  <c r="I2101" i="1" a="1"/>
  <c r="I2165" i="1" a="1"/>
  <c r="I2213" i="1" a="1"/>
  <c r="I2245" i="1" a="1"/>
  <c r="I2277" i="1" a="1"/>
  <c r="I2309" i="1" a="1"/>
  <c r="I2341" i="1" a="1"/>
  <c r="I2373" i="1" a="1"/>
  <c r="I1422" i="1" a="1"/>
  <c r="I1649" i="1" a="1"/>
  <c r="I1747" i="1" a="1"/>
  <c r="I1838" i="1" a="1"/>
  <c r="I1896" i="1" a="1"/>
  <c r="I1939" i="1" a="1"/>
  <c r="I1981" i="1" a="1"/>
  <c r="I2024" i="1" a="1"/>
  <c r="I2074" i="1" a="1"/>
  <c r="I2138" i="1" a="1"/>
  <c r="I998" i="1" a="1"/>
  <c r="I1643" i="1" a="1"/>
  <c r="I1759" i="1" a="1"/>
  <c r="I1850" i="1" a="1"/>
  <c r="I2102" i="1" a="1"/>
  <c r="I2166" i="1" a="1"/>
  <c r="I2214" i="1" a="1"/>
  <c r="I1261" i="1" a="1"/>
  <c r="I1569" i="1" a="1"/>
  <c r="I1722" i="1" a="1"/>
  <c r="I1803" i="1" a="1"/>
  <c r="I1887" i="1" a="1"/>
  <c r="I1929" i="1" a="1"/>
  <c r="I1972" i="1" a="1"/>
  <c r="I2015" i="1" a="1"/>
  <c r="I2057" i="1" a="1"/>
  <c r="I2121" i="1" a="1"/>
  <c r="I1767" i="1" a="1"/>
  <c r="I2149" i="1" a="1"/>
  <c r="I2414" i="1" a="1"/>
  <c r="I413" i="1" a="1"/>
  <c r="I823" i="1" a="1"/>
  <c r="I1197" i="1" a="1"/>
  <c r="I895" i="1" a="1"/>
  <c r="I1220" i="1" a="1"/>
  <c r="I1018" i="1" a="1"/>
  <c r="I1260" i="1" a="1"/>
  <c r="I1024" i="1" a="1"/>
  <c r="I1080" i="1" a="1"/>
  <c r="I1327" i="1" a="1"/>
  <c r="I1455" i="1" a="1"/>
  <c r="I806" i="1" a="1"/>
  <c r="I1368" i="1" a="1"/>
  <c r="I1108" i="1" a="1"/>
  <c r="I1410" i="1" a="1"/>
  <c r="I1659" i="1" a="1"/>
  <c r="I1846" i="1" a="1"/>
  <c r="I1934" i="1" a="1"/>
  <c r="I2026" i="1" a="1"/>
  <c r="I1476" i="1" a="1"/>
  <c r="I1586" i="1" a="1"/>
  <c r="I1769" i="1" a="1"/>
  <c r="I1370" i="1" a="1"/>
  <c r="I1571" i="1" a="1"/>
  <c r="I1186" i="1" a="1"/>
  <c r="I1550" i="1" a="1"/>
  <c r="I1679" i="1" a="1"/>
  <c r="I1426" i="1" a="1"/>
  <c r="I1588" i="1" a="1"/>
  <c r="I1312" i="1" a="1"/>
  <c r="I1492" i="1" a="1"/>
  <c r="I1573" i="1" a="1"/>
  <c r="I1466" i="1" a="1"/>
  <c r="I1768" i="1" a="1"/>
  <c r="I2068" i="1" a="1"/>
  <c r="I2173" i="1" a="1"/>
  <c r="I2240" i="1" a="1"/>
  <c r="I2284" i="1" a="1"/>
  <c r="I2340" i="1" a="1"/>
  <c r="I2388" i="1" a="1"/>
  <c r="I1558" i="1" a="1"/>
  <c r="I1763" i="1" a="1"/>
  <c r="I1879" i="1" a="1"/>
  <c r="I1953" i="1" a="1"/>
  <c r="I2017" i="1" a="1"/>
  <c r="I2105" i="1" a="1"/>
  <c r="I1366" i="1" a="1"/>
  <c r="I1694" i="1" a="1"/>
  <c r="I1849" i="1" a="1"/>
  <c r="I2110" i="1" a="1"/>
  <c r="I2174" i="1" a="1"/>
  <c r="I2217" i="1" a="1"/>
  <c r="I2249" i="1" a="1"/>
  <c r="I2281" i="1" a="1"/>
  <c r="I2313" i="1" a="1"/>
  <c r="I2345" i="1" a="1"/>
  <c r="I2377" i="1" a="1"/>
  <c r="I1500" i="1" a="1"/>
  <c r="I1658" i="1" a="1"/>
  <c r="I1758" i="1" a="1"/>
  <c r="I1844" i="1" a="1"/>
  <c r="I1901" i="1" a="1"/>
  <c r="I1944" i="1" a="1"/>
  <c r="I1987" i="1" a="1"/>
  <c r="I2029" i="1" a="1"/>
  <c r="I2079" i="1" a="1"/>
  <c r="I2143" i="1" a="1"/>
  <c r="I1338" i="1" a="1"/>
  <c r="I1652" i="1" a="1"/>
  <c r="I1777" i="1" a="1"/>
  <c r="I1857" i="1" a="1"/>
  <c r="I2107" i="1" a="1"/>
  <c r="I2171" i="1" a="1"/>
  <c r="I2218" i="1" a="1"/>
  <c r="I1341" i="1" a="1"/>
  <c r="I1608" i="1" a="1"/>
  <c r="I1742" i="1" a="1"/>
  <c r="I1821" i="1" a="1"/>
  <c r="I1892" i="1" a="1"/>
  <c r="I1935" i="1" a="1"/>
  <c r="I1977" i="1" a="1"/>
  <c r="I2020" i="1" a="1"/>
  <c r="I2066" i="1" a="1"/>
  <c r="I2130" i="1" a="1"/>
  <c r="I1791" i="1" a="1"/>
  <c r="I2163" i="1" a="1"/>
  <c r="I2419" i="1" a="1"/>
  <c r="I423" i="1" a="1"/>
  <c r="I831" i="1" a="1"/>
  <c r="I1206" i="1" a="1"/>
  <c r="I908" i="1" a="1"/>
  <c r="I1225" i="1" a="1"/>
  <c r="I1023" i="1" a="1"/>
  <c r="I340" i="1" a="1"/>
  <c r="I1034" i="1" a="1"/>
  <c r="I1117" i="1" a="1"/>
  <c r="I1331" i="1" a="1"/>
  <c r="I1459" i="1" a="1"/>
  <c r="I838" i="1" a="1"/>
  <c r="I1372" i="1" a="1"/>
  <c r="I1145" i="1" a="1"/>
  <c r="I1474" i="1" a="1"/>
  <c r="I1668" i="1" a="1"/>
  <c r="I1851" i="1" a="1"/>
  <c r="I1958" i="1" a="1"/>
  <c r="I2030" i="1" a="1"/>
  <c r="I1494" i="1" a="1"/>
  <c r="I1632" i="1" a="1"/>
  <c r="I1778" i="1" a="1"/>
  <c r="I1378" i="1" a="1"/>
  <c r="I1628" i="1" a="1"/>
  <c r="I1277" i="1" a="1"/>
  <c r="I1556" i="1" a="1"/>
  <c r="I1249" i="1" a="1"/>
  <c r="I1440" i="1" a="1"/>
  <c r="I1597" i="1" a="1"/>
  <c r="I1389" i="1" a="1"/>
  <c r="I1504" i="1" a="1"/>
  <c r="I1578" i="1" a="1"/>
  <c r="I1579" i="1" a="1"/>
  <c r="I1775" i="1" a="1"/>
  <c r="I2091" i="1" a="1"/>
  <c r="I2182" i="1" a="1"/>
  <c r="I2244" i="1" a="1"/>
  <c r="I2292" i="1" a="1"/>
  <c r="I2344" i="1" a="1"/>
  <c r="I2400" i="1" a="1"/>
  <c r="I1580" i="1" a="1"/>
  <c r="I1781" i="1" a="1"/>
  <c r="I1889" i="1" a="1"/>
  <c r="I1959" i="1" a="1"/>
  <c r="I2033" i="1" a="1"/>
  <c r="I2114" i="1" a="1"/>
  <c r="I1448" i="1" a="1"/>
  <c r="I1745" i="1" a="1"/>
  <c r="I1855" i="1" a="1"/>
  <c r="I2115" i="1" a="1"/>
  <c r="I2179" i="1" a="1"/>
  <c r="I2221" i="1" a="1"/>
  <c r="I2253" i="1" a="1"/>
  <c r="I2285" i="1" a="1"/>
  <c r="I2317" i="1" a="1"/>
  <c r="I2349" i="1" a="1"/>
  <c r="I2381" i="1" a="1"/>
  <c r="I1521" i="1" a="1"/>
  <c r="I1695" i="1" a="1"/>
  <c r="I1765" i="1" a="1"/>
  <c r="I1862" i="1" a="1"/>
  <c r="I1907" i="1" a="1"/>
  <c r="I1949" i="1" a="1"/>
  <c r="I1992" i="1" a="1"/>
  <c r="I2035" i="1" a="1"/>
  <c r="I2088" i="1" a="1"/>
  <c r="I2152" i="1" a="1"/>
  <c r="I1374" i="1" a="1"/>
  <c r="I1661" i="1" a="1"/>
  <c r="I1784" i="1" a="1"/>
  <c r="I1863" i="1" a="1"/>
  <c r="I2116" i="1" a="1"/>
  <c r="I2180" i="1" a="1"/>
  <c r="I2222" i="1" a="1"/>
  <c r="I1404" i="1" a="1"/>
  <c r="I1634" i="1" a="1"/>
  <c r="I1748" i="1" a="1"/>
  <c r="I1827" i="1" a="1"/>
  <c r="I1897" i="1" a="1"/>
  <c r="I1940" i="1" a="1"/>
  <c r="I1983" i="1" a="1"/>
  <c r="I2025" i="1" a="1"/>
  <c r="I2071" i="1" a="1"/>
  <c r="I2135" i="1" a="1"/>
  <c r="I1816" i="1" a="1"/>
  <c r="I2176" i="1" a="1"/>
  <c r="I2424" i="1" a="1"/>
  <c r="I2467" i="1" a="1"/>
  <c r="I2510" i="1" a="1"/>
  <c r="I2098" i="1" a="1"/>
  <c r="I2499" i="1" a="1"/>
  <c r="I2490" i="1" a="1"/>
  <c r="I2626" i="1" a="1"/>
  <c r="I1952" i="1" a="1"/>
  <c r="I2299" i="1" a="1"/>
  <c r="I2457" i="1" a="1"/>
  <c r="I2580" i="1" a="1"/>
  <c r="I2672" i="1" a="1"/>
  <c r="I2562" i="1" a="1"/>
  <c r="I1871" i="1" a="1"/>
  <c r="I2452" i="1" a="1"/>
  <c r="I2689" i="1" a="1"/>
  <c r="I1725" i="1" a="1"/>
  <c r="I2154" i="1" a="1"/>
  <c r="I2334" i="1" a="1"/>
  <c r="I2410" i="1" a="1"/>
  <c r="I2545" i="1" a="1"/>
  <c r="I2586" i="1" a="1"/>
  <c r="I1625" i="1" a="1"/>
  <c r="I2215" i="1" a="1"/>
  <c r="I2459" i="1" a="1"/>
  <c r="I2507" i="1" a="1"/>
  <c r="I2670" i="1" a="1"/>
  <c r="I2207" i="1" a="1"/>
  <c r="I1663" i="1" a="1"/>
  <c r="I1899" i="1" a="1"/>
  <c r="I2104" i="1" a="1"/>
  <c r="I2271" i="1" a="1"/>
  <c r="I2335" i="1" a="1"/>
  <c r="I2405" i="1" a="1"/>
  <c r="I2513" i="1" a="1"/>
  <c r="I2598" i="1" a="1"/>
  <c r="I2239" i="1" a="1"/>
  <c r="I2461" i="1" a="1"/>
  <c r="I2429" i="1" a="1"/>
  <c r="I2663" i="1" a="1"/>
  <c r="I2587" i="1" a="1"/>
  <c r="I1486" i="1" a="1"/>
  <c r="I2595" i="1" a="1"/>
  <c r="I2378" i="1" a="1"/>
  <c r="I2679" i="1" a="1"/>
  <c r="I2603" i="1" a="1"/>
  <c r="I2607" i="1" a="1"/>
  <c r="I2571" i="1" a="1"/>
  <c r="I2504" i="1" a="1"/>
  <c r="I2511" i="1" a="1"/>
  <c r="I2650" i="1" a="1"/>
  <c r="I1973" i="1" a="1"/>
  <c r="I2307" i="1" a="1"/>
  <c r="I2473" i="1" a="1"/>
  <c r="I2584" i="1" a="1"/>
  <c r="I2680" i="1" a="1"/>
  <c r="I2578" i="1" a="1"/>
  <c r="I2062" i="1" a="1"/>
  <c r="I2458" i="1" a="1"/>
  <c r="I2558" i="1" a="1"/>
  <c r="I1749" i="1" a="1"/>
  <c r="I2342" i="1" a="1"/>
  <c r="I2421" i="1" a="1"/>
  <c r="I2569" i="1" a="1"/>
  <c r="I2610" i="1" a="1"/>
  <c r="I1662" i="1" a="1"/>
  <c r="I2464" i="1" a="1"/>
  <c r="I2512" i="1" a="1"/>
  <c r="I2399" i="1" a="1"/>
  <c r="I1920" i="1" a="1"/>
  <c r="I2122" i="1" a="1"/>
  <c r="I2343" i="1" a="1"/>
  <c r="I2529" i="1" a="1"/>
  <c r="I2434" i="1" a="1"/>
  <c r="I2543" i="1" a="1"/>
  <c r="I1883" i="1" a="1"/>
  <c r="I1811" i="1" a="1"/>
  <c r="I2579" i="1" a="1"/>
  <c r="I2651" i="1" a="1"/>
  <c r="I2655" i="1" a="1"/>
  <c r="I2454" i="1" a="1"/>
  <c r="I2497" i="1" a="1"/>
  <c r="I2250" i="1" a="1"/>
  <c r="I1409" i="1" a="1"/>
  <c r="I2191" i="1" a="1"/>
  <c r="I2416" i="1" a="1"/>
  <c r="I2690" i="1" a="1"/>
  <c r="I1731" i="1" a="1"/>
  <c r="I2279" i="1" a="1"/>
  <c r="I2411" i="1" a="1"/>
  <c r="I2622" i="1" a="1"/>
  <c r="I2551" i="1" a="1"/>
  <c r="I2619" i="1" a="1"/>
  <c r="I2611" i="1" a="1"/>
  <c r="I1672" i="1" a="1"/>
  <c r="I2274" i="1" a="1"/>
  <c r="I2126" i="1" a="1"/>
  <c r="I2631" i="1" a="1"/>
  <c r="I2219" i="1" a="1"/>
  <c r="I2076" i="1" a="1"/>
  <c r="I2526" i="1" a="1"/>
  <c r="I2561" i="1" a="1"/>
  <c r="I2439" i="1" a="1"/>
  <c r="I2037" i="1" a="1"/>
  <c r="I2331" i="1" a="1"/>
  <c r="I2521" i="1" a="1"/>
  <c r="I2596" i="1" a="1"/>
  <c r="I2522" i="1" a="1"/>
  <c r="I2658" i="1" a="1"/>
  <c r="I2167" i="1" a="1"/>
  <c r="I2474" i="1" a="1"/>
  <c r="I2638" i="1" a="1"/>
  <c r="I1822" i="1" a="1"/>
  <c r="I2246" i="1" a="1"/>
  <c r="I2350" i="1" a="1"/>
  <c r="I2453" i="1" a="1"/>
  <c r="I2581" i="1" a="1"/>
  <c r="I2634" i="1" a="1"/>
  <c r="I1730" i="1" a="1"/>
  <c r="I2422" i="1" a="1"/>
  <c r="I2470" i="1" a="1"/>
  <c r="I2518" i="1" a="1"/>
  <c r="I1708" i="1" a="1"/>
  <c r="I2444" i="1" a="1"/>
  <c r="I1756" i="1" a="1"/>
  <c r="I1941" i="1" a="1"/>
  <c r="I2158" i="1" a="1"/>
  <c r="I2287" i="1" a="1"/>
  <c r="I2351" i="1" a="1"/>
  <c r="I2417" i="1" a="1"/>
  <c r="I2538" i="1" a="1"/>
  <c r="I2642" i="1" a="1"/>
  <c r="I2466" i="1" a="1"/>
  <c r="I2575" i="1" a="1"/>
  <c r="I1859" i="1" a="1"/>
  <c r="I2053" i="1" a="1"/>
  <c r="I2667" i="1" a="1"/>
  <c r="I1989" i="1" a="1"/>
  <c r="I2627" i="1" a="1"/>
  <c r="I2032" i="1" a="1"/>
  <c r="I2266" i="1" a="1"/>
  <c r="I2683" i="1" a="1"/>
  <c r="I2354" i="1" a="1"/>
  <c r="I2687" i="1" a="1"/>
  <c r="I1925" i="1" a="1"/>
  <c r="I2671" i="1" a="1"/>
  <c r="I2640" i="1" a="1"/>
  <c r="I2532" i="1" a="1"/>
  <c r="I2618" i="1" a="1"/>
  <c r="I2255" i="1" a="1"/>
  <c r="I1834" i="1" a="1"/>
  <c r="I2591" i="1" a="1"/>
  <c r="I2445" i="1" a="1"/>
  <c r="I2326" i="1" a="1"/>
  <c r="I2646" i="1" a="1"/>
  <c r="I2391" i="1" a="1"/>
  <c r="I2639" i="1" a="1"/>
  <c r="I2231" i="1" a="1"/>
  <c r="I2628" i="1" a="1"/>
  <c r="I2601" i="1" a="1"/>
  <c r="I2534" i="1" a="1"/>
  <c r="I2113" i="1" a="1"/>
  <c r="I2355" i="1" a="1"/>
  <c r="I2544" i="1" a="1"/>
  <c r="I2608" i="1" a="1"/>
  <c r="I2565" i="1" a="1"/>
  <c r="I2108" i="1" a="1"/>
  <c r="I2223" i="1" a="1"/>
  <c r="I2500" i="1" a="1"/>
  <c r="I2159" i="1" a="1"/>
  <c r="I1936" i="1" a="1"/>
  <c r="I2270" i="1" a="1"/>
  <c r="I2358" i="1" a="1"/>
  <c r="I2485" i="1" a="1"/>
  <c r="I2597" i="1" a="1"/>
  <c r="I2654" i="1" a="1"/>
  <c r="I2067" i="1" a="1"/>
  <c r="I2427" i="1" a="1"/>
  <c r="I2475" i="1" a="1"/>
  <c r="I2523" i="1" a="1"/>
  <c r="I1736" i="1" a="1"/>
  <c r="I2482" i="1" a="1"/>
  <c r="I1780" i="1" a="1"/>
  <c r="I1963" i="1" a="1"/>
  <c r="I2195" i="1" a="1"/>
  <c r="I2295" i="1" a="1"/>
  <c r="I2359" i="1" a="1"/>
  <c r="I2433" i="1" a="1"/>
  <c r="I2542" i="1" a="1"/>
  <c r="I2666" i="1" a="1"/>
  <c r="I2498" i="1" a="1"/>
  <c r="I2643" i="1" a="1"/>
  <c r="I2258" i="1" a="1"/>
  <c r="I2330" i="1" a="1"/>
  <c r="I2090" i="1" a="1"/>
  <c r="I2145" i="1" a="1"/>
  <c r="I2659" i="1" a="1"/>
  <c r="I2322" i="1" a="1"/>
  <c r="I2394" i="1" a="1"/>
  <c r="I2539" i="1" a="1"/>
  <c r="I2564" i="1" a="1"/>
  <c r="I2492" i="1" a="1"/>
  <c r="I1858" i="1" a="1"/>
  <c r="I2027" i="1" a="1"/>
  <c r="I2554" i="1" a="1"/>
  <c r="I2599" i="1" a="1"/>
  <c r="I2615" i="1" a="1"/>
  <c r="I2136" i="1" a="1"/>
  <c r="I1553" i="1" a="1"/>
  <c r="I2185" i="1" a="1"/>
  <c r="I2563" i="1" a="1"/>
  <c r="I2440" i="1" a="1"/>
  <c r="I2636" i="1" a="1"/>
  <c r="I2617" i="1" a="1"/>
  <c r="I1076" i="1" a="1"/>
  <c r="I2211" i="1" a="1"/>
  <c r="I2363" i="1" a="1"/>
  <c r="I2548" i="1" a="1"/>
  <c r="I2612" i="1" a="1"/>
  <c r="I2577" i="1" a="1"/>
  <c r="I2423" i="1" a="1"/>
  <c r="I2409" i="1" a="1"/>
  <c r="I2506" i="1" a="1"/>
  <c r="I2428" i="1" a="1"/>
  <c r="I1957" i="1" a="1"/>
  <c r="I2278" i="1" a="1"/>
  <c r="I2374" i="1" a="1"/>
  <c r="I2501" i="1" a="1"/>
  <c r="I2613" i="1" a="1"/>
  <c r="I2172" i="1" a="1"/>
  <c r="I2085" i="1" a="1"/>
  <c r="I2432" i="1" a="1"/>
  <c r="I2480" i="1" a="1"/>
  <c r="I2533" i="1" a="1"/>
  <c r="I1785" i="1" a="1"/>
  <c r="I2514" i="1" a="1"/>
  <c r="I1804" i="1" a="1"/>
  <c r="I1984" i="1" a="1"/>
  <c r="I2227" i="1" a="1"/>
  <c r="I2303" i="1" a="1"/>
  <c r="I2367" i="1" a="1"/>
  <c r="I2449" i="1" a="1"/>
  <c r="I2546" i="1" a="1"/>
  <c r="I1382" i="1" a="1"/>
  <c r="I1968" i="1" a="1"/>
  <c r="I2675" i="1" a="1"/>
  <c r="I2386" i="1" a="1"/>
  <c r="I2525" i="1" a="1"/>
  <c r="I2282" i="1" a="1"/>
  <c r="I2306" i="1" a="1"/>
  <c r="I2691" i="1" a="1"/>
  <c r="I2477" i="1" a="1"/>
  <c r="I2559" i="1" a="1"/>
  <c r="I2346" i="1" a="1"/>
  <c r="I2623" i="1" a="1"/>
  <c r="I2" i="1" a="1"/>
  <c r="I2072" i="1" a="1"/>
  <c r="I2635" i="1" a="1"/>
  <c r="I2668" i="1" a="1"/>
  <c r="I2637" i="1" a="1"/>
  <c r="I2625" i="1" a="1"/>
  <c r="I2310" i="1" a="1"/>
  <c r="I2661" i="1" a="1"/>
  <c r="I2448" i="1" a="1"/>
  <c r="I1853" i="1" a="1"/>
  <c r="I2481" i="1" a="1"/>
  <c r="I2162" i="1" a="1"/>
  <c r="I2509" i="1" a="1"/>
  <c r="I2567" i="1" a="1"/>
  <c r="I2570" i="1" a="1"/>
  <c r="I2502" i="1" a="1"/>
  <c r="I2327" i="1" a="1"/>
  <c r="I2530" i="1" a="1"/>
  <c r="I2456" i="1" a="1"/>
  <c r="I2644" i="1" a="1"/>
  <c r="I2633" i="1" a="1"/>
  <c r="I1510" i="1" a="1"/>
  <c r="I2243" i="1" a="1"/>
  <c r="I2371" i="1" a="1"/>
  <c r="I2552" i="1" a="1"/>
  <c r="I2616" i="1" a="1"/>
  <c r="I2593" i="1" a="1"/>
  <c r="I2460" i="1" a="1"/>
  <c r="I2415" i="1" a="1"/>
  <c r="I2516" i="1" a="1"/>
  <c r="I2450" i="1" a="1"/>
  <c r="I1979" i="1" a="1"/>
  <c r="I2286" i="1" a="1"/>
  <c r="I2390" i="1" a="1"/>
  <c r="I2517" i="1" a="1"/>
  <c r="I2629" i="1" a="1"/>
  <c r="I2455" i="1" a="1"/>
  <c r="I2140" i="1" a="1"/>
  <c r="I2438" i="1" a="1"/>
  <c r="I2491" i="1" a="1"/>
  <c r="I2590" i="1" a="1"/>
  <c r="I1809" i="1" a="1"/>
  <c r="I1350" i="1" a="1"/>
  <c r="I1829" i="1" a="1"/>
  <c r="I2005" i="1" a="1"/>
  <c r="I2247" i="1" a="1"/>
  <c r="I2311" i="1" a="1"/>
  <c r="I2375" i="1" a="1"/>
  <c r="I2465" i="1" a="1"/>
  <c r="I2550" i="1" a="1"/>
  <c r="I1761" i="1" a="1"/>
  <c r="I2127" i="1" a="1"/>
  <c r="I1574" i="1" a="1"/>
  <c r="I2555" i="1" a="1"/>
  <c r="I1904" i="1" a="1"/>
  <c r="I2290" i="1" a="1"/>
  <c r="I2370" i="1" a="1"/>
  <c r="I1835" i="1" a="1"/>
  <c r="I2583" i="1" a="1"/>
  <c r="I2493" i="1" a="1"/>
  <c r="I2685" i="1" a="1"/>
  <c r="I1293" i="1" a="1"/>
  <c r="I2168" i="1" a="1"/>
  <c r="I1461" i="1" a="1"/>
  <c r="I2383" i="1" a="1"/>
  <c r="I2338" i="1" a="1"/>
  <c r="I1947" i="1" a="1"/>
  <c r="I2524" i="1" a="1"/>
  <c r="I1877" i="1" a="1"/>
  <c r="I2574" i="1" a="1"/>
  <c r="I2547" i="1" a="1"/>
  <c r="I2462" i="1" a="1"/>
  <c r="I1717" i="1" a="1"/>
  <c r="I2267" i="1" a="1"/>
  <c r="I2395" i="1" a="1"/>
  <c r="I1434" i="1" a="1"/>
  <c r="I2431" i="1" a="1"/>
  <c r="I2043" i="1" a="1"/>
  <c r="I2397" i="1" a="1"/>
  <c r="I2496" i="1" a="1"/>
  <c r="I2319" i="1" a="1"/>
  <c r="I2298" i="1" a="1"/>
  <c r="I2011" i="1" a="1"/>
  <c r="I2403" i="1" a="1"/>
  <c r="I2048" i="1" a="1"/>
  <c r="I2314" i="1" a="1"/>
  <c r="I2413" i="1" a="1"/>
  <c r="I2483" i="1" a="1"/>
  <c r="I2692" i="1" a="1"/>
  <c r="I2602" i="1" a="1"/>
  <c r="I1931" i="1" a="1"/>
  <c r="I2291" i="1" a="1"/>
  <c r="I2441" i="1" a="1"/>
  <c r="I2576" i="1" a="1"/>
  <c r="I2664" i="1" a="1"/>
  <c r="I2681" i="1" a="1"/>
  <c r="I1653" i="1" a="1"/>
  <c r="I2447" i="1" a="1"/>
  <c r="I2673" i="1" a="1"/>
  <c r="I1690" i="1" a="1"/>
  <c r="I2537" i="1" a="1"/>
  <c r="I2181" i="1" a="1"/>
  <c r="I2263" i="1" a="1"/>
  <c r="I2362" i="1" a="1"/>
  <c r="I2647" i="1" a="1"/>
  <c r="K2301" i="2" l="1"/>
  <c r="K2292" i="2"/>
  <c r="K2283" i="2"/>
  <c r="K2274" i="2"/>
  <c r="K2269" i="2"/>
  <c r="K2260" i="2"/>
  <c r="K2251" i="2"/>
  <c r="K2242" i="2"/>
  <c r="K2237" i="2"/>
  <c r="K2228" i="2"/>
  <c r="K2219" i="2"/>
  <c r="K2209" i="2"/>
  <c r="K2204" i="2"/>
  <c r="K2199" i="2"/>
  <c r="K2193" i="2"/>
  <c r="K2188" i="2"/>
  <c r="K2183" i="2"/>
  <c r="K2177" i="2"/>
  <c r="K2172" i="2"/>
  <c r="K2167" i="2"/>
  <c r="K2161" i="2"/>
  <c r="K2156" i="2"/>
  <c r="K2151" i="2"/>
  <c r="K2145" i="2"/>
  <c r="K2140" i="2"/>
  <c r="K2135" i="2"/>
  <c r="K2129" i="2"/>
  <c r="K2124" i="2"/>
  <c r="K2119" i="2"/>
  <c r="K2113" i="2"/>
  <c r="K2108" i="2"/>
  <c r="K2103" i="2"/>
  <c r="K2097" i="2"/>
  <c r="K2092" i="2"/>
  <c r="K2087" i="2"/>
  <c r="K2081" i="2"/>
  <c r="K2076" i="2"/>
  <c r="K2071" i="2"/>
  <c r="K2065" i="2"/>
  <c r="K2060" i="2"/>
  <c r="K2055" i="2"/>
  <c r="K2049" i="2"/>
  <c r="K2044" i="2"/>
  <c r="K2039" i="2"/>
  <c r="K2033" i="2"/>
  <c r="K2028" i="2"/>
  <c r="K2023" i="2"/>
  <c r="K2017" i="2"/>
  <c r="K2012" i="2"/>
  <c r="K2007" i="2"/>
  <c r="K1988" i="2"/>
  <c r="K1981" i="2"/>
  <c r="K1962" i="2"/>
  <c r="K1939" i="2"/>
  <c r="K1930" i="2"/>
  <c r="K1921" i="2"/>
  <c r="K1908" i="2"/>
  <c r="K1876" i="2"/>
  <c r="K1858" i="2"/>
  <c r="K1803" i="2"/>
  <c r="K2393" i="2"/>
  <c r="K2377" i="2"/>
  <c r="K2373" i="2"/>
  <c r="K2369" i="2"/>
  <c r="K2365" i="2"/>
  <c r="K2361" i="2"/>
  <c r="K2357" i="2"/>
  <c r="K2353" i="2"/>
  <c r="K2349" i="2"/>
  <c r="K2345" i="2"/>
  <c r="K2341" i="2"/>
  <c r="K2337" i="2"/>
  <c r="K2333" i="2"/>
  <c r="K2329" i="2"/>
  <c r="K2325" i="2"/>
  <c r="K2321" i="2"/>
  <c r="K2317" i="2"/>
  <c r="K2313" i="2"/>
  <c r="K2309" i="2"/>
  <c r="K2305" i="2"/>
  <c r="K2296" i="2"/>
  <c r="K2287" i="2"/>
  <c r="K2278" i="2"/>
  <c r="K2273" i="2"/>
  <c r="K2264" i="2"/>
  <c r="K2255" i="2"/>
  <c r="K2246" i="2"/>
  <c r="K2241" i="2"/>
  <c r="K2232" i="2"/>
  <c r="K2223" i="2"/>
  <c r="K2214" i="2"/>
  <c r="K2000" i="2"/>
  <c r="K1993" i="2"/>
  <c r="K1968" i="2"/>
  <c r="K1960" i="2"/>
  <c r="K1954" i="2"/>
  <c r="K1946" i="2"/>
  <c r="K1937" i="2"/>
  <c r="K1907" i="2"/>
  <c r="K1891" i="2"/>
  <c r="K1873" i="2"/>
  <c r="K1836" i="2"/>
  <c r="K1818" i="2"/>
  <c r="K2300" i="2"/>
  <c r="K2268" i="2"/>
  <c r="K2236" i="2"/>
  <c r="K2227" i="2"/>
  <c r="K2218" i="2"/>
  <c r="K2213" i="2"/>
  <c r="K2181" i="2"/>
  <c r="K2176" i="2"/>
  <c r="K2171" i="2"/>
  <c r="K2165" i="2"/>
  <c r="K2160" i="2"/>
  <c r="K2155" i="2"/>
  <c r="K2149" i="2"/>
  <c r="K2144" i="2"/>
  <c r="K2139" i="2"/>
  <c r="K2133" i="2"/>
  <c r="K2128" i="2"/>
  <c r="K2123" i="2"/>
  <c r="K2117" i="2"/>
  <c r="K2112" i="2"/>
  <c r="K2107" i="2"/>
  <c r="K2101" i="2"/>
  <c r="K2096" i="2"/>
  <c r="K2091" i="2"/>
  <c r="K2085" i="2"/>
  <c r="K2080" i="2"/>
  <c r="K2075" i="2"/>
  <c r="K2069" i="2"/>
  <c r="K2064" i="2"/>
  <c r="K2059" i="2"/>
  <c r="K2053" i="2"/>
  <c r="K2048" i="2"/>
  <c r="K2043" i="2"/>
  <c r="K2037" i="2"/>
  <c r="K2032" i="2"/>
  <c r="K2027" i="2"/>
  <c r="K2021" i="2"/>
  <c r="K2016" i="2"/>
  <c r="K2011" i="2"/>
  <c r="K2005" i="2"/>
  <c r="K1980" i="2"/>
  <c r="K1973" i="2"/>
  <c r="K1953" i="2"/>
  <c r="K1936" i="2"/>
  <c r="K1927" i="2"/>
  <c r="K1905" i="2"/>
  <c r="K1890" i="2"/>
  <c r="K1835" i="2"/>
  <c r="K1817" i="2"/>
  <c r="K2401" i="2"/>
  <c r="K2208" i="2"/>
  <c r="K2384" i="2"/>
  <c r="K2360" i="2"/>
  <c r="K2332" i="2"/>
  <c r="K2312" i="2"/>
  <c r="K2272" i="2"/>
  <c r="K2249" i="2"/>
  <c r="K2240" i="2"/>
  <c r="K2231" i="2"/>
  <c r="K2222" i="2"/>
  <c r="K2217" i="2"/>
  <c r="K1992" i="2"/>
  <c r="K1985" i="2"/>
  <c r="K1959" i="2"/>
  <c r="K1951" i="2"/>
  <c r="K1945" i="2"/>
  <c r="K1916" i="2"/>
  <c r="K1868" i="2"/>
  <c r="K1850" i="2"/>
  <c r="K1795" i="2"/>
  <c r="K2397" i="2"/>
  <c r="K2282" i="2"/>
  <c r="K2250" i="2"/>
  <c r="K2197" i="2"/>
  <c r="K2396" i="2"/>
  <c r="K2376" i="2"/>
  <c r="K2356" i="2"/>
  <c r="K2336" i="2"/>
  <c r="K2320" i="2"/>
  <c r="K2295" i="2"/>
  <c r="K2281" i="2"/>
  <c r="K2290" i="2"/>
  <c r="K2258" i="2"/>
  <c r="K2221" i="2"/>
  <c r="K2207" i="2"/>
  <c r="K2201" i="2"/>
  <c r="K2196" i="2"/>
  <c r="K2180" i="2"/>
  <c r="K2169" i="2"/>
  <c r="K2164" i="2"/>
  <c r="K2159" i="2"/>
  <c r="K2153" i="2"/>
  <c r="K2148" i="2"/>
  <c r="K2143" i="2"/>
  <c r="K2137" i="2"/>
  <c r="K2132" i="2"/>
  <c r="K2127" i="2"/>
  <c r="K2121" i="2"/>
  <c r="K2116" i="2"/>
  <c r="K2111" i="2"/>
  <c r="K2105" i="2"/>
  <c r="K2100" i="2"/>
  <c r="K2095" i="2"/>
  <c r="K2089" i="2"/>
  <c r="K2084" i="2"/>
  <c r="K2079" i="2"/>
  <c r="K2073" i="2"/>
  <c r="K2068" i="2"/>
  <c r="K2063" i="2"/>
  <c r="K2057" i="2"/>
  <c r="K2052" i="2"/>
  <c r="K2047" i="2"/>
  <c r="K2041" i="2"/>
  <c r="K2036" i="2"/>
  <c r="K2031" i="2"/>
  <c r="K2025" i="2"/>
  <c r="K2020" i="2"/>
  <c r="K2015" i="2"/>
  <c r="K2009" i="2"/>
  <c r="K2004" i="2"/>
  <c r="K1997" i="2"/>
  <c r="K1972" i="2"/>
  <c r="K1965" i="2"/>
  <c r="K1914" i="2"/>
  <c r="K1867" i="2"/>
  <c r="K1849" i="2"/>
  <c r="K1812" i="2"/>
  <c r="K1794" i="2"/>
  <c r="K2389" i="2"/>
  <c r="K2277" i="2"/>
  <c r="K2245" i="2"/>
  <c r="K2192" i="2"/>
  <c r="K2392" i="2"/>
  <c r="K2372" i="2"/>
  <c r="K2352" i="2"/>
  <c r="K2340" i="2"/>
  <c r="K2324" i="2"/>
  <c r="K2308" i="2"/>
  <c r="K2286" i="2"/>
  <c r="K2267" i="2"/>
  <c r="K2235" i="2"/>
  <c r="K2191" i="2"/>
  <c r="K2395" i="2"/>
  <c r="K2375" i="2"/>
  <c r="K2355" i="2"/>
  <c r="K2339" i="2"/>
  <c r="K2319" i="2"/>
  <c r="K2271" i="2"/>
  <c r="K2239" i="2"/>
  <c r="K1984" i="2"/>
  <c r="K1977" i="2"/>
  <c r="K1964" i="2"/>
  <c r="K1950" i="2"/>
  <c r="K1932" i="2"/>
  <c r="K1923" i="2"/>
  <c r="K1913" i="2"/>
  <c r="K1900" i="2"/>
  <c r="K1882" i="2"/>
  <c r="K1827" i="2"/>
  <c r="K1809" i="2"/>
  <c r="K2381" i="2"/>
  <c r="K2291" i="2"/>
  <c r="K2259" i="2"/>
  <c r="K2203" i="2"/>
  <c r="K2400" i="2"/>
  <c r="K2380" i="2"/>
  <c r="K2364" i="2"/>
  <c r="K2348" i="2"/>
  <c r="K2328" i="2"/>
  <c r="K2304" i="2"/>
  <c r="K2263" i="2"/>
  <c r="K2285" i="2"/>
  <c r="K2253" i="2"/>
  <c r="K2226" i="2"/>
  <c r="K2175" i="2"/>
  <c r="K2391" i="2"/>
  <c r="K2379" i="2"/>
  <c r="K2371" i="2"/>
  <c r="K2363" i="2"/>
  <c r="K2351" i="2"/>
  <c r="K2343" i="2"/>
  <c r="K2331" i="2"/>
  <c r="K2323" i="2"/>
  <c r="K2311" i="2"/>
  <c r="K2303" i="2"/>
  <c r="K2289" i="2"/>
  <c r="K2262" i="2"/>
  <c r="K2248" i="2"/>
  <c r="K2230" i="2"/>
  <c r="K2216" i="2"/>
  <c r="K2298" i="2"/>
  <c r="K2293" i="2"/>
  <c r="K2284" i="2"/>
  <c r="K2275" i="2"/>
  <c r="K2266" i="2"/>
  <c r="K2261" i="2"/>
  <c r="K2252" i="2"/>
  <c r="K2243" i="2"/>
  <c r="K2234" i="2"/>
  <c r="K2229" i="2"/>
  <c r="K2220" i="2"/>
  <c r="K2211" i="2"/>
  <c r="K2205" i="2"/>
  <c r="K2200" i="2"/>
  <c r="K2195" i="2"/>
  <c r="K2189" i="2"/>
  <c r="K2184" i="2"/>
  <c r="K2179" i="2"/>
  <c r="K2173" i="2"/>
  <c r="K2168" i="2"/>
  <c r="K2163" i="2"/>
  <c r="K2157" i="2"/>
  <c r="K2152" i="2"/>
  <c r="K2147" i="2"/>
  <c r="K2141" i="2"/>
  <c r="K2136" i="2"/>
  <c r="K2131" i="2"/>
  <c r="K2125" i="2"/>
  <c r="K2120" i="2"/>
  <c r="K2115" i="2"/>
  <c r="K2109" i="2"/>
  <c r="K2104" i="2"/>
  <c r="K2099" i="2"/>
  <c r="K2093" i="2"/>
  <c r="K2088" i="2"/>
  <c r="K2083" i="2"/>
  <c r="K2077" i="2"/>
  <c r="K2072" i="2"/>
  <c r="K2067" i="2"/>
  <c r="K2061" i="2"/>
  <c r="K2056" i="2"/>
  <c r="K2051" i="2"/>
  <c r="K2045" i="2"/>
  <c r="K2040" i="2"/>
  <c r="K2035" i="2"/>
  <c r="K2029" i="2"/>
  <c r="K2024" i="2"/>
  <c r="K2019" i="2"/>
  <c r="K2013" i="2"/>
  <c r="K2008" i="2"/>
  <c r="K1996" i="2"/>
  <c r="K1989" i="2"/>
  <c r="K1941" i="2"/>
  <c r="K1899" i="2"/>
  <c r="K1881" i="2"/>
  <c r="K1844" i="2"/>
  <c r="K1826" i="2"/>
  <c r="K1786" i="2"/>
  <c r="K2385" i="2"/>
  <c r="K2187" i="2"/>
  <c r="K2388" i="2"/>
  <c r="K2368" i="2"/>
  <c r="K2344" i="2"/>
  <c r="K2316" i="2"/>
  <c r="K2254" i="2"/>
  <c r="K2299" i="2"/>
  <c r="K2276" i="2"/>
  <c r="K2244" i="2"/>
  <c r="K2212" i="2"/>
  <c r="K2185" i="2"/>
  <c r="K2399" i="2"/>
  <c r="K2387" i="2"/>
  <c r="K2383" i="2"/>
  <c r="K2367" i="2"/>
  <c r="K2359" i="2"/>
  <c r="K2347" i="2"/>
  <c r="K2335" i="2"/>
  <c r="K2327" i="2"/>
  <c r="K2315" i="2"/>
  <c r="K2307" i="2"/>
  <c r="K2294" i="2"/>
  <c r="K2280" i="2"/>
  <c r="K2257" i="2"/>
  <c r="K2225" i="2"/>
  <c r="K2398" i="2"/>
  <c r="K2394" i="2"/>
  <c r="K2390" i="2"/>
  <c r="K2386" i="2"/>
  <c r="K2382" i="2"/>
  <c r="K2378" i="2"/>
  <c r="K2374" i="2"/>
  <c r="K2370" i="2"/>
  <c r="K2366" i="2"/>
  <c r="K2362" i="2"/>
  <c r="K2358" i="2"/>
  <c r="K2354" i="2"/>
  <c r="K2350" i="2"/>
  <c r="K2346" i="2"/>
  <c r="K2342" i="2"/>
  <c r="K2338" i="2"/>
  <c r="K2334" i="2"/>
  <c r="K2330" i="2"/>
  <c r="K2326" i="2"/>
  <c r="K2322" i="2"/>
  <c r="K2318" i="2"/>
  <c r="K2314" i="2"/>
  <c r="K2310" i="2"/>
  <c r="K2306" i="2"/>
  <c r="K2302" i="2"/>
  <c r="K2297" i="2"/>
  <c r="K2288" i="2"/>
  <c r="K2279" i="2"/>
  <c r="K2270" i="2"/>
  <c r="K2265" i="2"/>
  <c r="K2256" i="2"/>
  <c r="K2247" i="2"/>
  <c r="K2238" i="2"/>
  <c r="K2233" i="2"/>
  <c r="K2224" i="2"/>
  <c r="K2215" i="2"/>
  <c r="K2001" i="2"/>
  <c r="K1976" i="2"/>
  <c r="K1969" i="2"/>
  <c r="K1963" i="2"/>
  <c r="K1955" i="2"/>
  <c r="K1948" i="2"/>
  <c r="K1940" i="2"/>
  <c r="K1931" i="2"/>
  <c r="K1922" i="2"/>
  <c r="K1859" i="2"/>
  <c r="K1841" i="2"/>
  <c r="K1804" i="2"/>
  <c r="K1942" i="2"/>
  <c r="K1933" i="2"/>
  <c r="K1928" i="2"/>
  <c r="K1919" i="2"/>
  <c r="K1910" i="2"/>
  <c r="K1901" i="2"/>
  <c r="K1896" i="2"/>
  <c r="K1887" i="2"/>
  <c r="K1878" i="2"/>
  <c r="K1869" i="2"/>
  <c r="K1864" i="2"/>
  <c r="K1855" i="2"/>
  <c r="K1846" i="2"/>
  <c r="K1837" i="2"/>
  <c r="K1832" i="2"/>
  <c r="K1823" i="2"/>
  <c r="K1814" i="2"/>
  <c r="K1805" i="2"/>
  <c r="K1800" i="2"/>
  <c r="K1791" i="2"/>
  <c r="K1782" i="2"/>
  <c r="K1773" i="2"/>
  <c r="K1768" i="2"/>
  <c r="K1759" i="2"/>
  <c r="K1750" i="2"/>
  <c r="K1542" i="2"/>
  <c r="K1524" i="2"/>
  <c r="K1518" i="2"/>
  <c r="K1452" i="2"/>
  <c r="K1407" i="2"/>
  <c r="K1777" i="2"/>
  <c r="K1772" i="2"/>
  <c r="K1763" i="2"/>
  <c r="K1754" i="2"/>
  <c r="K1744" i="2"/>
  <c r="K1739" i="2"/>
  <c r="K1734" i="2"/>
  <c r="K1728" i="2"/>
  <c r="K1723" i="2"/>
  <c r="K1718" i="2"/>
  <c r="K1712" i="2"/>
  <c r="K1707" i="2"/>
  <c r="K1702" i="2"/>
  <c r="K1696" i="2"/>
  <c r="K1691" i="2"/>
  <c r="K1686" i="2"/>
  <c r="K1680" i="2"/>
  <c r="K1675" i="2"/>
  <c r="K1670" i="2"/>
  <c r="K1664" i="2"/>
  <c r="K1659" i="2"/>
  <c r="K1654" i="2"/>
  <c r="K1648" i="2"/>
  <c r="K1643" i="2"/>
  <c r="K1638" i="2"/>
  <c r="K1632" i="2"/>
  <c r="K1627" i="2"/>
  <c r="K1622" i="2"/>
  <c r="K1616" i="2"/>
  <c r="K1611" i="2"/>
  <c r="K1606" i="2"/>
  <c r="K1600" i="2"/>
  <c r="K1595" i="2"/>
  <c r="K1590" i="2"/>
  <c r="K1584" i="2"/>
  <c r="K1579" i="2"/>
  <c r="K1574" i="2"/>
  <c r="K1568" i="2"/>
  <c r="K1563" i="2"/>
  <c r="K1558" i="2"/>
  <c r="K1552" i="2"/>
  <c r="K1547" i="2"/>
  <c r="K1535" i="2"/>
  <c r="K1529" i="2"/>
  <c r="K1511" i="2"/>
  <c r="K1505" i="2"/>
  <c r="K1497" i="2"/>
  <c r="K1488" i="2"/>
  <c r="K1479" i="2"/>
  <c r="K1466" i="2"/>
  <c r="K1448" i="2"/>
  <c r="K1402" i="2"/>
  <c r="K1918" i="2"/>
  <c r="K1909" i="2"/>
  <c r="K1904" i="2"/>
  <c r="K1895" i="2"/>
  <c r="K1886" i="2"/>
  <c r="K1877" i="2"/>
  <c r="K1872" i="2"/>
  <c r="K1863" i="2"/>
  <c r="K1854" i="2"/>
  <c r="K1845" i="2"/>
  <c r="K1840" i="2"/>
  <c r="K1831" i="2"/>
  <c r="K1822" i="2"/>
  <c r="K1813" i="2"/>
  <c r="K1808" i="2"/>
  <c r="K1799" i="2"/>
  <c r="K1790" i="2"/>
  <c r="K1781" i="2"/>
  <c r="K1776" i="2"/>
  <c r="K1767" i="2"/>
  <c r="K1758" i="2"/>
  <c r="K1749" i="2"/>
  <c r="K1541" i="2"/>
  <c r="K1534" i="2"/>
  <c r="K1523" i="2"/>
  <c r="K1516" i="2"/>
  <c r="K1510" i="2"/>
  <c r="K1496" i="2"/>
  <c r="K1487" i="2"/>
  <c r="K1429" i="2"/>
  <c r="K1397" i="2"/>
  <c r="K1785" i="2"/>
  <c r="K1780" i="2"/>
  <c r="K1771" i="2"/>
  <c r="K1762" i="2"/>
  <c r="K1753" i="2"/>
  <c r="K1748" i="2"/>
  <c r="K1743" i="2"/>
  <c r="K1738" i="2"/>
  <c r="K1732" i="2"/>
  <c r="K1727" i="2"/>
  <c r="K1722" i="2"/>
  <c r="K1716" i="2"/>
  <c r="K1711" i="2"/>
  <c r="K1706" i="2"/>
  <c r="K1700" i="2"/>
  <c r="K1695" i="2"/>
  <c r="K1690" i="2"/>
  <c r="K1684" i="2"/>
  <c r="K1679" i="2"/>
  <c r="K1674" i="2"/>
  <c r="K1668" i="2"/>
  <c r="K1663" i="2"/>
  <c r="K1658" i="2"/>
  <c r="K1652" i="2"/>
  <c r="K1647" i="2"/>
  <c r="K1642" i="2"/>
  <c r="K1636" i="2"/>
  <c r="K1631" i="2"/>
  <c r="K1626" i="2"/>
  <c r="K1620" i="2"/>
  <c r="K1615" i="2"/>
  <c r="K1610" i="2"/>
  <c r="K1604" i="2"/>
  <c r="K1599" i="2"/>
  <c r="K1594" i="2"/>
  <c r="K1588" i="2"/>
  <c r="K1583" i="2"/>
  <c r="K1578" i="2"/>
  <c r="K1572" i="2"/>
  <c r="K1567" i="2"/>
  <c r="K1562" i="2"/>
  <c r="K1556" i="2"/>
  <c r="K1551" i="2"/>
  <c r="K1546" i="2"/>
  <c r="K1528" i="2"/>
  <c r="K1521" i="2"/>
  <c r="K1503" i="2"/>
  <c r="K1425" i="2"/>
  <c r="K1392" i="2"/>
  <c r="K2003" i="2"/>
  <c r="K1999" i="2"/>
  <c r="K1995" i="2"/>
  <c r="K1991" i="2"/>
  <c r="K1987" i="2"/>
  <c r="K1983" i="2"/>
  <c r="K1979" i="2"/>
  <c r="K1975" i="2"/>
  <c r="K1971" i="2"/>
  <c r="K1967" i="2"/>
  <c r="K1958" i="2"/>
  <c r="K1949" i="2"/>
  <c r="K1944" i="2"/>
  <c r="K1935" i="2"/>
  <c r="K1926" i="2"/>
  <c r="K1917" i="2"/>
  <c r="K1912" i="2"/>
  <c r="K1903" i="2"/>
  <c r="K1894" i="2"/>
  <c r="K1885" i="2"/>
  <c r="K1880" i="2"/>
  <c r="K1871" i="2"/>
  <c r="K1862" i="2"/>
  <c r="K1853" i="2"/>
  <c r="K1848" i="2"/>
  <c r="K1839" i="2"/>
  <c r="K1830" i="2"/>
  <c r="K1821" i="2"/>
  <c r="K1816" i="2"/>
  <c r="K1807" i="2"/>
  <c r="K1798" i="2"/>
  <c r="K1789" i="2"/>
  <c r="K1784" i="2"/>
  <c r="K1775" i="2"/>
  <c r="K1766" i="2"/>
  <c r="K1757" i="2"/>
  <c r="K1752" i="2"/>
  <c r="K1539" i="2"/>
  <c r="K1533" i="2"/>
  <c r="K1515" i="2"/>
  <c r="K1509" i="2"/>
  <c r="K1502" i="2"/>
  <c r="K1493" i="2"/>
  <c r="K1484" i="2"/>
  <c r="K1475" i="2"/>
  <c r="K1461" i="2"/>
  <c r="K1443" i="2"/>
  <c r="K1386" i="2"/>
  <c r="K1898" i="2"/>
  <c r="K1889" i="2"/>
  <c r="K1884" i="2"/>
  <c r="K1875" i="2"/>
  <c r="K1866" i="2"/>
  <c r="K1857" i="2"/>
  <c r="K1852" i="2"/>
  <c r="K1843" i="2"/>
  <c r="K1834" i="2"/>
  <c r="K1825" i="2"/>
  <c r="K1820" i="2"/>
  <c r="K1811" i="2"/>
  <c r="K1802" i="2"/>
  <c r="K1793" i="2"/>
  <c r="K1788" i="2"/>
  <c r="K1779" i="2"/>
  <c r="K1770" i="2"/>
  <c r="K1761" i="2"/>
  <c r="K1756" i="2"/>
  <c r="K1747" i="2"/>
  <c r="K1742" i="2"/>
  <c r="K1736" i="2"/>
  <c r="K1731" i="2"/>
  <c r="K1726" i="2"/>
  <c r="K1720" i="2"/>
  <c r="K1715" i="2"/>
  <c r="K1710" i="2"/>
  <c r="K1704" i="2"/>
  <c r="K1699" i="2"/>
  <c r="K1694" i="2"/>
  <c r="K1688" i="2"/>
  <c r="K1683" i="2"/>
  <c r="K1678" i="2"/>
  <c r="K1672" i="2"/>
  <c r="K1667" i="2"/>
  <c r="K1662" i="2"/>
  <c r="K1656" i="2"/>
  <c r="K1651" i="2"/>
  <c r="K1646" i="2"/>
  <c r="K1640" i="2"/>
  <c r="K1635" i="2"/>
  <c r="K1630" i="2"/>
  <c r="K1624" i="2"/>
  <c r="K1619" i="2"/>
  <c r="K1614" i="2"/>
  <c r="K1608" i="2"/>
  <c r="K1603" i="2"/>
  <c r="K1598" i="2"/>
  <c r="K1592" i="2"/>
  <c r="K1587" i="2"/>
  <c r="K1582" i="2"/>
  <c r="K1576" i="2"/>
  <c r="K1571" i="2"/>
  <c r="K1566" i="2"/>
  <c r="K1560" i="2"/>
  <c r="K1555" i="2"/>
  <c r="K1550" i="2"/>
  <c r="K1544" i="2"/>
  <c r="K1538" i="2"/>
  <c r="K1520" i="2"/>
  <c r="K1514" i="2"/>
  <c r="K1474" i="2"/>
  <c r="K1457" i="2"/>
  <c r="K1439" i="2"/>
  <c r="K1381" i="2"/>
  <c r="K2210" i="2"/>
  <c r="K2206" i="2"/>
  <c r="K2202" i="2"/>
  <c r="K2198" i="2"/>
  <c r="K2194" i="2"/>
  <c r="K2190" i="2"/>
  <c r="K2186" i="2"/>
  <c r="K2182" i="2"/>
  <c r="K2178" i="2"/>
  <c r="K2174" i="2"/>
  <c r="K2170" i="2"/>
  <c r="K2166" i="2"/>
  <c r="K2162" i="2"/>
  <c r="K2158" i="2"/>
  <c r="K2154" i="2"/>
  <c r="K2150" i="2"/>
  <c r="K2146" i="2"/>
  <c r="K2142" i="2"/>
  <c r="K2138" i="2"/>
  <c r="K2134" i="2"/>
  <c r="K2130" i="2"/>
  <c r="K2126" i="2"/>
  <c r="K2122" i="2"/>
  <c r="K2118" i="2"/>
  <c r="K2114" i="2"/>
  <c r="K2110" i="2"/>
  <c r="K2106" i="2"/>
  <c r="K2102" i="2"/>
  <c r="K2098" i="2"/>
  <c r="K2094" i="2"/>
  <c r="K2090" i="2"/>
  <c r="K2086" i="2"/>
  <c r="K2082" i="2"/>
  <c r="K2078" i="2"/>
  <c r="K2074" i="2"/>
  <c r="K2070" i="2"/>
  <c r="K2066" i="2"/>
  <c r="K2062" i="2"/>
  <c r="K2058" i="2"/>
  <c r="K2054" i="2"/>
  <c r="K2050" i="2"/>
  <c r="K2046" i="2"/>
  <c r="K2042" i="2"/>
  <c r="K2038" i="2"/>
  <c r="K2034" i="2"/>
  <c r="K2030" i="2"/>
  <c r="K2026" i="2"/>
  <c r="K2022" i="2"/>
  <c r="K2018" i="2"/>
  <c r="K2014" i="2"/>
  <c r="K2010" i="2"/>
  <c r="K2006" i="2"/>
  <c r="K2002" i="2"/>
  <c r="K1998" i="2"/>
  <c r="K1994" i="2"/>
  <c r="K1990" i="2"/>
  <c r="K1986" i="2"/>
  <c r="K1982" i="2"/>
  <c r="K1978" i="2"/>
  <c r="K1974" i="2"/>
  <c r="K1970" i="2"/>
  <c r="K1966" i="2"/>
  <c r="K1957" i="2"/>
  <c r="K1952" i="2"/>
  <c r="K1943" i="2"/>
  <c r="K1934" i="2"/>
  <c r="K1925" i="2"/>
  <c r="K1920" i="2"/>
  <c r="K1911" i="2"/>
  <c r="K1902" i="2"/>
  <c r="K1893" i="2"/>
  <c r="K1888" i="2"/>
  <c r="K1879" i="2"/>
  <c r="K1870" i="2"/>
  <c r="K1861" i="2"/>
  <c r="K1856" i="2"/>
  <c r="K1847" i="2"/>
  <c r="K1838" i="2"/>
  <c r="K1829" i="2"/>
  <c r="K1824" i="2"/>
  <c r="K1815" i="2"/>
  <c r="K1806" i="2"/>
  <c r="K1797" i="2"/>
  <c r="K1792" i="2"/>
  <c r="K1783" i="2"/>
  <c r="K1774" i="2"/>
  <c r="K1765" i="2"/>
  <c r="K1760" i="2"/>
  <c r="K1751" i="2"/>
  <c r="K1532" i="2"/>
  <c r="K1525" i="2"/>
  <c r="K1507" i="2"/>
  <c r="K1482" i="2"/>
  <c r="K1471" i="2"/>
  <c r="K1438" i="2"/>
  <c r="K1416" i="2"/>
  <c r="K1376" i="2"/>
  <c r="K1961" i="2"/>
  <c r="K1956" i="2"/>
  <c r="K1947" i="2"/>
  <c r="K1938" i="2"/>
  <c r="K1929" i="2"/>
  <c r="K1924" i="2"/>
  <c r="K1915" i="2"/>
  <c r="K1906" i="2"/>
  <c r="K1897" i="2"/>
  <c r="K1892" i="2"/>
  <c r="K1883" i="2"/>
  <c r="K1874" i="2"/>
  <c r="K1865" i="2"/>
  <c r="K1860" i="2"/>
  <c r="K1851" i="2"/>
  <c r="K1842" i="2"/>
  <c r="K1833" i="2"/>
  <c r="K1828" i="2"/>
  <c r="K1819" i="2"/>
  <c r="K1810" i="2"/>
  <c r="K1801" i="2"/>
  <c r="K1796" i="2"/>
  <c r="K1787" i="2"/>
  <c r="K1778" i="2"/>
  <c r="K1769" i="2"/>
  <c r="K1764" i="2"/>
  <c r="K1755" i="2"/>
  <c r="K1746" i="2"/>
  <c r="K1740" i="2"/>
  <c r="K1735" i="2"/>
  <c r="K1730" i="2"/>
  <c r="K1724" i="2"/>
  <c r="K1719" i="2"/>
  <c r="K1714" i="2"/>
  <c r="K1708" i="2"/>
  <c r="K1703" i="2"/>
  <c r="K1698" i="2"/>
  <c r="K1692" i="2"/>
  <c r="K1687" i="2"/>
  <c r="K1682" i="2"/>
  <c r="K1676" i="2"/>
  <c r="K1671" i="2"/>
  <c r="K1666" i="2"/>
  <c r="K1660" i="2"/>
  <c r="K1655" i="2"/>
  <c r="K1650" i="2"/>
  <c r="K1644" i="2"/>
  <c r="K1639" i="2"/>
  <c r="K1634" i="2"/>
  <c r="K1628" i="2"/>
  <c r="K1623" i="2"/>
  <c r="K1618" i="2"/>
  <c r="K1612" i="2"/>
  <c r="K1607" i="2"/>
  <c r="K1602" i="2"/>
  <c r="K1596" i="2"/>
  <c r="K1591" i="2"/>
  <c r="K1586" i="2"/>
  <c r="K1580" i="2"/>
  <c r="K1575" i="2"/>
  <c r="K1570" i="2"/>
  <c r="K1564" i="2"/>
  <c r="K1559" i="2"/>
  <c r="K1554" i="2"/>
  <c r="K1548" i="2"/>
  <c r="K1543" i="2"/>
  <c r="K1537" i="2"/>
  <c r="K1530" i="2"/>
  <c r="K1519" i="2"/>
  <c r="K1512" i="2"/>
  <c r="K1506" i="2"/>
  <c r="K1498" i="2"/>
  <c r="K1489" i="2"/>
  <c r="K1480" i="2"/>
  <c r="K1470" i="2"/>
  <c r="K1434" i="2"/>
  <c r="K1370" i="2"/>
  <c r="K1365" i="2"/>
  <c r="K1360" i="2"/>
  <c r="K1354" i="2"/>
  <c r="K1349" i="2"/>
  <c r="K1344" i="2"/>
  <c r="K1338" i="2"/>
  <c r="K1333" i="2"/>
  <c r="K1328" i="2"/>
  <c r="K1316" i="2"/>
  <c r="K1310" i="2"/>
  <c r="K1303" i="2"/>
  <c r="K1292" i="2"/>
  <c r="K1285" i="2"/>
  <c r="K1279" i="2"/>
  <c r="K1271" i="2"/>
  <c r="K1265" i="2"/>
  <c r="K1257" i="2"/>
  <c r="K1214" i="2"/>
  <c r="K1206" i="2"/>
  <c r="K1198" i="2"/>
  <c r="K1192" i="2"/>
  <c r="K1184" i="2"/>
  <c r="K1175" i="2"/>
  <c r="K1165" i="2"/>
  <c r="K1150" i="2"/>
  <c r="K1133" i="2"/>
  <c r="K1112" i="2"/>
  <c r="K1090" i="2"/>
  <c r="K1069" i="2"/>
  <c r="K1048" i="2"/>
  <c r="K1026" i="2"/>
  <c r="K1420" i="2"/>
  <c r="K1411" i="2"/>
  <c r="K1406" i="2"/>
  <c r="K1321" i="2"/>
  <c r="K1315" i="2"/>
  <c r="K1297" i="2"/>
  <c r="K1291" i="2"/>
  <c r="K1242" i="2"/>
  <c r="K1234" i="2"/>
  <c r="K1228" i="2"/>
  <c r="K1220" i="2"/>
  <c r="K1212" i="2"/>
  <c r="K1191" i="2"/>
  <c r="K1183" i="2"/>
  <c r="K1174" i="2"/>
  <c r="K1164" i="2"/>
  <c r="K1149" i="2"/>
  <c r="K1132" i="2"/>
  <c r="K1110" i="2"/>
  <c r="K1089" i="2"/>
  <c r="K1068" i="2"/>
  <c r="K1046" i="2"/>
  <c r="K1025" i="2"/>
  <c r="K1465" i="2"/>
  <c r="K1456" i="2"/>
  <c r="K1447" i="2"/>
  <c r="K1442" i="2"/>
  <c r="K1433" i="2"/>
  <c r="K1424" i="2"/>
  <c r="K1415" i="2"/>
  <c r="K1410" i="2"/>
  <c r="K1401" i="2"/>
  <c r="K1396" i="2"/>
  <c r="K1390" i="2"/>
  <c r="K1385" i="2"/>
  <c r="K1380" i="2"/>
  <c r="K1374" i="2"/>
  <c r="K1369" i="2"/>
  <c r="K1364" i="2"/>
  <c r="K1358" i="2"/>
  <c r="K1353" i="2"/>
  <c r="K1348" i="2"/>
  <c r="K1342" i="2"/>
  <c r="K1337" i="2"/>
  <c r="K1332" i="2"/>
  <c r="K1326" i="2"/>
  <c r="K1308" i="2"/>
  <c r="K1302" i="2"/>
  <c r="K1284" i="2"/>
  <c r="K1278" i="2"/>
  <c r="K1270" i="2"/>
  <c r="K1262" i="2"/>
  <c r="K1256" i="2"/>
  <c r="K1248" i="2"/>
  <c r="K1219" i="2"/>
  <c r="K1211" i="2"/>
  <c r="K1205" i="2"/>
  <c r="K1197" i="2"/>
  <c r="K1189" i="2"/>
  <c r="K1161" i="2"/>
  <c r="K1148" i="2"/>
  <c r="K1128" i="2"/>
  <c r="K1106" i="2"/>
  <c r="K1085" i="2"/>
  <c r="K1064" i="2"/>
  <c r="K1042" i="2"/>
  <c r="K1021" i="2"/>
  <c r="K1501" i="2"/>
  <c r="K1492" i="2"/>
  <c r="K1483" i="2"/>
  <c r="K1478" i="2"/>
  <c r="K1469" i="2"/>
  <c r="K1460" i="2"/>
  <c r="K1451" i="2"/>
  <c r="K1446" i="2"/>
  <c r="K1437" i="2"/>
  <c r="K1428" i="2"/>
  <c r="K1419" i="2"/>
  <c r="K1414" i="2"/>
  <c r="K1405" i="2"/>
  <c r="K1320" i="2"/>
  <c r="K1314" i="2"/>
  <c r="K1307" i="2"/>
  <c r="K1296" i="2"/>
  <c r="K1289" i="2"/>
  <c r="K1283" i="2"/>
  <c r="K1276" i="2"/>
  <c r="K1255" i="2"/>
  <c r="K1247" i="2"/>
  <c r="K1239" i="2"/>
  <c r="K1233" i="2"/>
  <c r="K1225" i="2"/>
  <c r="K1182" i="2"/>
  <c r="K1173" i="2"/>
  <c r="K1160" i="2"/>
  <c r="K1145" i="2"/>
  <c r="K1126" i="2"/>
  <c r="K1105" i="2"/>
  <c r="K1084" i="2"/>
  <c r="K1062" i="2"/>
  <c r="K1041" i="2"/>
  <c r="K1020" i="2"/>
  <c r="K1473" i="2"/>
  <c r="K1464" i="2"/>
  <c r="K1455" i="2"/>
  <c r="K1450" i="2"/>
  <c r="K1441" i="2"/>
  <c r="K1432" i="2"/>
  <c r="K1423" i="2"/>
  <c r="K1418" i="2"/>
  <c r="K1409" i="2"/>
  <c r="K1400" i="2"/>
  <c r="K1394" i="2"/>
  <c r="K1389" i="2"/>
  <c r="K1384" i="2"/>
  <c r="K1378" i="2"/>
  <c r="K1373" i="2"/>
  <c r="K1368" i="2"/>
  <c r="K1362" i="2"/>
  <c r="K1357" i="2"/>
  <c r="K1352" i="2"/>
  <c r="K1346" i="2"/>
  <c r="K1341" i="2"/>
  <c r="K1336" i="2"/>
  <c r="K1330" i="2"/>
  <c r="K1325" i="2"/>
  <c r="K1319" i="2"/>
  <c r="K1301" i="2"/>
  <c r="K1294" i="2"/>
  <c r="K1275" i="2"/>
  <c r="K1269" i="2"/>
  <c r="K1261" i="2"/>
  <c r="K1253" i="2"/>
  <c r="K1210" i="2"/>
  <c r="K1202" i="2"/>
  <c r="K1196" i="2"/>
  <c r="K1188" i="2"/>
  <c r="K1180" i="2"/>
  <c r="K1158" i="2"/>
  <c r="K1144" i="2"/>
  <c r="K1122" i="2"/>
  <c r="K1101" i="2"/>
  <c r="K1080" i="2"/>
  <c r="K1058" i="2"/>
  <c r="K1037" i="2"/>
  <c r="K1016" i="2"/>
  <c r="K1500" i="2"/>
  <c r="K1491" i="2"/>
  <c r="K1486" i="2"/>
  <c r="K1477" i="2"/>
  <c r="K1468" i="2"/>
  <c r="K1459" i="2"/>
  <c r="K1454" i="2"/>
  <c r="K1445" i="2"/>
  <c r="K1436" i="2"/>
  <c r="K1427" i="2"/>
  <c r="K1422" i="2"/>
  <c r="K1413" i="2"/>
  <c r="K1404" i="2"/>
  <c r="K1312" i="2"/>
  <c r="K1306" i="2"/>
  <c r="K1288" i="2"/>
  <c r="K1282" i="2"/>
  <c r="K1246" i="2"/>
  <c r="K1238" i="2"/>
  <c r="K1230" i="2"/>
  <c r="K1224" i="2"/>
  <c r="K1216" i="2"/>
  <c r="K1187" i="2"/>
  <c r="K1156" i="2"/>
  <c r="K1142" i="2"/>
  <c r="K1121" i="2"/>
  <c r="K1100" i="2"/>
  <c r="K1078" i="2"/>
  <c r="K1057" i="2"/>
  <c r="K1036" i="2"/>
  <c r="K1014" i="2"/>
  <c r="K1745" i="2"/>
  <c r="K1741" i="2"/>
  <c r="K1737" i="2"/>
  <c r="K1733" i="2"/>
  <c r="K1729" i="2"/>
  <c r="K1725" i="2"/>
  <c r="K1721" i="2"/>
  <c r="K1717" i="2"/>
  <c r="K1713" i="2"/>
  <c r="K1709" i="2"/>
  <c r="K1705" i="2"/>
  <c r="K1701" i="2"/>
  <c r="K1697" i="2"/>
  <c r="K1693" i="2"/>
  <c r="K1689" i="2"/>
  <c r="K1685" i="2"/>
  <c r="K1681" i="2"/>
  <c r="K1677" i="2"/>
  <c r="K1673" i="2"/>
  <c r="K1669" i="2"/>
  <c r="K1665" i="2"/>
  <c r="K1661" i="2"/>
  <c r="K1657" i="2"/>
  <c r="K1653" i="2"/>
  <c r="K1649" i="2"/>
  <c r="K1645" i="2"/>
  <c r="K1641" i="2"/>
  <c r="K1637" i="2"/>
  <c r="K1633" i="2"/>
  <c r="K1629" i="2"/>
  <c r="K1625" i="2"/>
  <c r="K1621" i="2"/>
  <c r="K1617" i="2"/>
  <c r="K1613" i="2"/>
  <c r="K1609" i="2"/>
  <c r="K1605" i="2"/>
  <c r="K1601" i="2"/>
  <c r="K1597" i="2"/>
  <c r="K1593" i="2"/>
  <c r="K1589" i="2"/>
  <c r="K1585" i="2"/>
  <c r="K1581" i="2"/>
  <c r="K1577" i="2"/>
  <c r="K1573" i="2"/>
  <c r="K1569" i="2"/>
  <c r="K1565" i="2"/>
  <c r="K1561" i="2"/>
  <c r="K1557" i="2"/>
  <c r="K1553" i="2"/>
  <c r="K1549" i="2"/>
  <c r="K1545" i="2"/>
  <c r="K1536" i="2"/>
  <c r="K1527" i="2"/>
  <c r="K1522" i="2"/>
  <c r="K1513" i="2"/>
  <c r="K1504" i="2"/>
  <c r="K1495" i="2"/>
  <c r="K1490" i="2"/>
  <c r="K1481" i="2"/>
  <c r="K1472" i="2"/>
  <c r="K1463" i="2"/>
  <c r="K1458" i="2"/>
  <c r="K1449" i="2"/>
  <c r="K1440" i="2"/>
  <c r="K1431" i="2"/>
  <c r="K1426" i="2"/>
  <c r="K1417" i="2"/>
  <c r="K1408" i="2"/>
  <c r="K1398" i="2"/>
  <c r="K1393" i="2"/>
  <c r="K1388" i="2"/>
  <c r="K1382" i="2"/>
  <c r="K1377" i="2"/>
  <c r="K1372" i="2"/>
  <c r="K1366" i="2"/>
  <c r="K1361" i="2"/>
  <c r="K1356" i="2"/>
  <c r="K1350" i="2"/>
  <c r="K1345" i="2"/>
  <c r="K1340" i="2"/>
  <c r="K1334" i="2"/>
  <c r="K1329" i="2"/>
  <c r="K1324" i="2"/>
  <c r="K1317" i="2"/>
  <c r="K1311" i="2"/>
  <c r="K1293" i="2"/>
  <c r="K1287" i="2"/>
  <c r="K1274" i="2"/>
  <c r="K1266" i="2"/>
  <c r="K1260" i="2"/>
  <c r="K1252" i="2"/>
  <c r="K1244" i="2"/>
  <c r="K1223" i="2"/>
  <c r="K1215" i="2"/>
  <c r="K1207" i="2"/>
  <c r="K1201" i="2"/>
  <c r="K1193" i="2"/>
  <c r="K1178" i="2"/>
  <c r="K1154" i="2"/>
  <c r="K1138" i="2"/>
  <c r="K1117" i="2"/>
  <c r="K1096" i="2"/>
  <c r="K1074" i="2"/>
  <c r="K1053" i="2"/>
  <c r="K1032" i="2"/>
  <c r="K1010" i="2"/>
  <c r="K1540" i="2"/>
  <c r="K1531" i="2"/>
  <c r="K1526" i="2"/>
  <c r="K1517" i="2"/>
  <c r="K1508" i="2"/>
  <c r="K1499" i="2"/>
  <c r="K1494" i="2"/>
  <c r="K1485" i="2"/>
  <c r="K1476" i="2"/>
  <c r="K1467" i="2"/>
  <c r="K1462" i="2"/>
  <c r="K1453" i="2"/>
  <c r="K1444" i="2"/>
  <c r="K1435" i="2"/>
  <c r="K1430" i="2"/>
  <c r="K1421" i="2"/>
  <c r="K1412" i="2"/>
  <c r="K1403" i="2"/>
  <c r="K1323" i="2"/>
  <c r="K1305" i="2"/>
  <c r="K1298" i="2"/>
  <c r="K1280" i="2"/>
  <c r="K1251" i="2"/>
  <c r="K1243" i="2"/>
  <c r="K1237" i="2"/>
  <c r="K1229" i="2"/>
  <c r="K1221" i="2"/>
  <c r="K1166" i="2"/>
  <c r="K1153" i="2"/>
  <c r="K1137" i="2"/>
  <c r="K1116" i="2"/>
  <c r="K1094" i="2"/>
  <c r="K1073" i="2"/>
  <c r="K1052" i="2"/>
  <c r="K1030" i="2"/>
  <c r="K1009" i="2"/>
  <c r="K1179" i="2"/>
  <c r="K1170" i="2"/>
  <c r="K929" i="2"/>
  <c r="K922" i="2"/>
  <c r="K916" i="2"/>
  <c r="K897" i="2"/>
  <c r="K890" i="2"/>
  <c r="K826" i="2"/>
  <c r="K816" i="2"/>
  <c r="K784" i="2"/>
  <c r="K763" i="2"/>
  <c r="K1005" i="2"/>
  <c r="K1000" i="2"/>
  <c r="K994" i="2"/>
  <c r="K989" i="2"/>
  <c r="K984" i="2"/>
  <c r="K978" i="2"/>
  <c r="K973" i="2"/>
  <c r="K968" i="2"/>
  <c r="K962" i="2"/>
  <c r="K957" i="2"/>
  <c r="K952" i="2"/>
  <c r="K946" i="2"/>
  <c r="K941" i="2"/>
  <c r="K934" i="2"/>
  <c r="K928" i="2"/>
  <c r="K909" i="2"/>
  <c r="K902" i="2"/>
  <c r="K896" i="2"/>
  <c r="K882" i="2"/>
  <c r="K874" i="2"/>
  <c r="K866" i="2"/>
  <c r="K858" i="2"/>
  <c r="K850" i="2"/>
  <c r="K842" i="2"/>
  <c r="K834" i="2"/>
  <c r="K802" i="2"/>
  <c r="K783" i="2"/>
  <c r="K761" i="2"/>
  <c r="K1169" i="2"/>
  <c r="K940" i="2"/>
  <c r="K921" i="2"/>
  <c r="K914" i="2"/>
  <c r="K908" i="2"/>
  <c r="K889" i="2"/>
  <c r="K825" i="2"/>
  <c r="K799" i="2"/>
  <c r="K779" i="2"/>
  <c r="K756" i="2"/>
  <c r="K1004" i="2"/>
  <c r="K998" i="2"/>
  <c r="K993" i="2"/>
  <c r="K988" i="2"/>
  <c r="K982" i="2"/>
  <c r="K977" i="2"/>
  <c r="K972" i="2"/>
  <c r="K966" i="2"/>
  <c r="K961" i="2"/>
  <c r="K956" i="2"/>
  <c r="K950" i="2"/>
  <c r="K945" i="2"/>
  <c r="K933" i="2"/>
  <c r="K926" i="2"/>
  <c r="K920" i="2"/>
  <c r="K901" i="2"/>
  <c r="K894" i="2"/>
  <c r="K888" i="2"/>
  <c r="K881" i="2"/>
  <c r="K873" i="2"/>
  <c r="K865" i="2"/>
  <c r="K857" i="2"/>
  <c r="K849" i="2"/>
  <c r="K841" i="2"/>
  <c r="K833" i="2"/>
  <c r="K777" i="2"/>
  <c r="K751" i="2"/>
  <c r="K1273" i="2"/>
  <c r="K1264" i="2"/>
  <c r="K1259" i="2"/>
  <c r="K1250" i="2"/>
  <c r="K1241" i="2"/>
  <c r="K1232" i="2"/>
  <c r="K1227" i="2"/>
  <c r="K1218" i="2"/>
  <c r="K1209" i="2"/>
  <c r="K1200" i="2"/>
  <c r="K1195" i="2"/>
  <c r="K1186" i="2"/>
  <c r="K1177" i="2"/>
  <c r="K1168" i="2"/>
  <c r="K938" i="2"/>
  <c r="K932" i="2"/>
  <c r="K913" i="2"/>
  <c r="K906" i="2"/>
  <c r="K900" i="2"/>
  <c r="K811" i="2"/>
  <c r="K794" i="2"/>
  <c r="K773" i="2"/>
  <c r="K745" i="2"/>
  <c r="K1399" i="2"/>
  <c r="K1395" i="2"/>
  <c r="K1391" i="2"/>
  <c r="K1387" i="2"/>
  <c r="K1383" i="2"/>
  <c r="K1379" i="2"/>
  <c r="K1375" i="2"/>
  <c r="K1371" i="2"/>
  <c r="K1367" i="2"/>
  <c r="K1363" i="2"/>
  <c r="K1359" i="2"/>
  <c r="K1355" i="2"/>
  <c r="K1351" i="2"/>
  <c r="K1347" i="2"/>
  <c r="K1343" i="2"/>
  <c r="K1339" i="2"/>
  <c r="K1335" i="2"/>
  <c r="K1331" i="2"/>
  <c r="K1327" i="2"/>
  <c r="K1318" i="2"/>
  <c r="K1309" i="2"/>
  <c r="K1300" i="2"/>
  <c r="K1295" i="2"/>
  <c r="K1286" i="2"/>
  <c r="K1277" i="2"/>
  <c r="K1268" i="2"/>
  <c r="K1263" i="2"/>
  <c r="K1254" i="2"/>
  <c r="K1245" i="2"/>
  <c r="K1236" i="2"/>
  <c r="K1231" i="2"/>
  <c r="K1222" i="2"/>
  <c r="K1213" i="2"/>
  <c r="K1204" i="2"/>
  <c r="K1199" i="2"/>
  <c r="K1190" i="2"/>
  <c r="K1181" i="2"/>
  <c r="K1172" i="2"/>
  <c r="K1167" i="2"/>
  <c r="K1162" i="2"/>
  <c r="K1157" i="2"/>
  <c r="K1152" i="2"/>
  <c r="K1146" i="2"/>
  <c r="K1141" i="2"/>
  <c r="K1136" i="2"/>
  <c r="K1130" i="2"/>
  <c r="K1125" i="2"/>
  <c r="K1120" i="2"/>
  <c r="K1114" i="2"/>
  <c r="K1109" i="2"/>
  <c r="K1104" i="2"/>
  <c r="K1098" i="2"/>
  <c r="K1093" i="2"/>
  <c r="K1088" i="2"/>
  <c r="K1082" i="2"/>
  <c r="K1077" i="2"/>
  <c r="K1072" i="2"/>
  <c r="K1066" i="2"/>
  <c r="K1061" i="2"/>
  <c r="K1056" i="2"/>
  <c r="K1050" i="2"/>
  <c r="K1045" i="2"/>
  <c r="K1040" i="2"/>
  <c r="K1034" i="2"/>
  <c r="K1029" i="2"/>
  <c r="K1024" i="2"/>
  <c r="K1018" i="2"/>
  <c r="K1013" i="2"/>
  <c r="K1008" i="2"/>
  <c r="K1002" i="2"/>
  <c r="K997" i="2"/>
  <c r="K992" i="2"/>
  <c r="K986" i="2"/>
  <c r="K981" i="2"/>
  <c r="K976" i="2"/>
  <c r="K970" i="2"/>
  <c r="K965" i="2"/>
  <c r="K960" i="2"/>
  <c r="K954" i="2"/>
  <c r="K949" i="2"/>
  <c r="K944" i="2"/>
  <c r="K925" i="2"/>
  <c r="K918" i="2"/>
  <c r="K912" i="2"/>
  <c r="K893" i="2"/>
  <c r="K886" i="2"/>
  <c r="K878" i="2"/>
  <c r="K870" i="2"/>
  <c r="K862" i="2"/>
  <c r="K854" i="2"/>
  <c r="K846" i="2"/>
  <c r="K838" i="2"/>
  <c r="K830" i="2"/>
  <c r="K808" i="2"/>
  <c r="K793" i="2"/>
  <c r="K772" i="2"/>
  <c r="K740" i="2"/>
  <c r="K1322" i="2"/>
  <c r="K1313" i="2"/>
  <c r="K1304" i="2"/>
  <c r="K1299" i="2"/>
  <c r="K1290" i="2"/>
  <c r="K1281" i="2"/>
  <c r="K1272" i="2"/>
  <c r="K1267" i="2"/>
  <c r="K1258" i="2"/>
  <c r="K1249" i="2"/>
  <c r="K1240" i="2"/>
  <c r="K1235" i="2"/>
  <c r="K1226" i="2"/>
  <c r="K1217" i="2"/>
  <c r="K1208" i="2"/>
  <c r="K1203" i="2"/>
  <c r="K1194" i="2"/>
  <c r="K1185" i="2"/>
  <c r="K1176" i="2"/>
  <c r="K1171" i="2"/>
  <c r="K937" i="2"/>
  <c r="K930" i="2"/>
  <c r="K924" i="2"/>
  <c r="K905" i="2"/>
  <c r="K898" i="2"/>
  <c r="K892" i="2"/>
  <c r="K820" i="2"/>
  <c r="K807" i="2"/>
  <c r="K789" i="2"/>
  <c r="K768" i="2"/>
  <c r="K735" i="2"/>
  <c r="K1140" i="2"/>
  <c r="K1134" i="2"/>
  <c r="K1129" i="2"/>
  <c r="K1124" i="2"/>
  <c r="K1118" i="2"/>
  <c r="K1113" i="2"/>
  <c r="K1108" i="2"/>
  <c r="K1102" i="2"/>
  <c r="K1097" i="2"/>
  <c r="K1092" i="2"/>
  <c r="K1086" i="2"/>
  <c r="K1081" i="2"/>
  <c r="K1076" i="2"/>
  <c r="K1070" i="2"/>
  <c r="K1065" i="2"/>
  <c r="K1060" i="2"/>
  <c r="K1054" i="2"/>
  <c r="K1049" i="2"/>
  <c r="K1044" i="2"/>
  <c r="K1038" i="2"/>
  <c r="K1033" i="2"/>
  <c r="K1028" i="2"/>
  <c r="K1022" i="2"/>
  <c r="K1017" i="2"/>
  <c r="K1012" i="2"/>
  <c r="K1006" i="2"/>
  <c r="K1001" i="2"/>
  <c r="K996" i="2"/>
  <c r="K990" i="2"/>
  <c r="K985" i="2"/>
  <c r="K980" i="2"/>
  <c r="K974" i="2"/>
  <c r="K969" i="2"/>
  <c r="K964" i="2"/>
  <c r="K958" i="2"/>
  <c r="K953" i="2"/>
  <c r="K948" i="2"/>
  <c r="K942" i="2"/>
  <c r="K936" i="2"/>
  <c r="K917" i="2"/>
  <c r="K910" i="2"/>
  <c r="K904" i="2"/>
  <c r="K885" i="2"/>
  <c r="K877" i="2"/>
  <c r="K869" i="2"/>
  <c r="K861" i="2"/>
  <c r="K853" i="2"/>
  <c r="K845" i="2"/>
  <c r="K837" i="2"/>
  <c r="K829" i="2"/>
  <c r="K817" i="2"/>
  <c r="K806" i="2"/>
  <c r="K788" i="2"/>
  <c r="K767" i="2"/>
  <c r="K729" i="2"/>
  <c r="K757" i="2"/>
  <c r="K752" i="2"/>
  <c r="K747" i="2"/>
  <c r="K741" i="2"/>
  <c r="K736" i="2"/>
  <c r="K731" i="2"/>
  <c r="K725" i="2"/>
  <c r="K720" i="2"/>
  <c r="K702" i="2"/>
  <c r="K696" i="2"/>
  <c r="K689" i="2"/>
  <c r="K678" i="2"/>
  <c r="K671" i="2"/>
  <c r="K665" i="2"/>
  <c r="K647" i="2"/>
  <c r="K641" i="2"/>
  <c r="K623" i="2"/>
  <c r="K616" i="2"/>
  <c r="K597" i="2"/>
  <c r="K589" i="2"/>
  <c r="K583" i="2"/>
  <c r="K575" i="2"/>
  <c r="K560" i="2"/>
  <c r="K551" i="2"/>
  <c r="K533" i="2"/>
  <c r="K523" i="2"/>
  <c r="K512" i="2"/>
  <c r="K501" i="2"/>
  <c r="K491" i="2"/>
  <c r="K480" i="2"/>
  <c r="K469" i="2"/>
  <c r="K459" i="2"/>
  <c r="K445" i="2"/>
  <c r="K420" i="2"/>
  <c r="K821" i="2"/>
  <c r="K812" i="2"/>
  <c r="K803" i="2"/>
  <c r="K798" i="2"/>
  <c r="K707" i="2"/>
  <c r="K701" i="2"/>
  <c r="K683" i="2"/>
  <c r="K676" i="2"/>
  <c r="K658" i="2"/>
  <c r="K652" i="2"/>
  <c r="K634" i="2"/>
  <c r="K628" i="2"/>
  <c r="K621" i="2"/>
  <c r="K610" i="2"/>
  <c r="K603" i="2"/>
  <c r="K543" i="2"/>
  <c r="K457" i="2"/>
  <c r="K432" i="2"/>
  <c r="K724" i="2"/>
  <c r="K719" i="2"/>
  <c r="K712" i="2"/>
  <c r="K694" i="2"/>
  <c r="K688" i="2"/>
  <c r="K670" i="2"/>
  <c r="K664" i="2"/>
  <c r="K657" i="2"/>
  <c r="K646" i="2"/>
  <c r="K639" i="2"/>
  <c r="K633" i="2"/>
  <c r="K615" i="2"/>
  <c r="K609" i="2"/>
  <c r="K596" i="2"/>
  <c r="K588" i="2"/>
  <c r="K580" i="2"/>
  <c r="K574" i="2"/>
  <c r="K566" i="2"/>
  <c r="K559" i="2"/>
  <c r="K549" i="2"/>
  <c r="K540" i="2"/>
  <c r="K529" i="2"/>
  <c r="K519" i="2"/>
  <c r="K508" i="2"/>
  <c r="K497" i="2"/>
  <c r="K487" i="2"/>
  <c r="K476" i="2"/>
  <c r="K465" i="2"/>
  <c r="K453" i="2"/>
  <c r="K428" i="2"/>
  <c r="K415" i="2"/>
  <c r="K797" i="2"/>
  <c r="K717" i="2"/>
  <c r="K706" i="2"/>
  <c r="K699" i="2"/>
  <c r="K693" i="2"/>
  <c r="K675" i="2"/>
  <c r="K669" i="2"/>
  <c r="K651" i="2"/>
  <c r="K644" i="2"/>
  <c r="K626" i="2"/>
  <c r="K620" i="2"/>
  <c r="K602" i="2"/>
  <c r="K594" i="2"/>
  <c r="K573" i="2"/>
  <c r="K565" i="2"/>
  <c r="K556" i="2"/>
  <c r="K440" i="2"/>
  <c r="K413" i="2"/>
  <c r="K824" i="2"/>
  <c r="K815" i="2"/>
  <c r="K810" i="2"/>
  <c r="K801" i="2"/>
  <c r="K792" i="2"/>
  <c r="K787" i="2"/>
  <c r="K781" i="2"/>
  <c r="K776" i="2"/>
  <c r="K771" i="2"/>
  <c r="K765" i="2"/>
  <c r="K760" i="2"/>
  <c r="K755" i="2"/>
  <c r="K749" i="2"/>
  <c r="K744" i="2"/>
  <c r="K739" i="2"/>
  <c r="K733" i="2"/>
  <c r="K728" i="2"/>
  <c r="K723" i="2"/>
  <c r="K711" i="2"/>
  <c r="K705" i="2"/>
  <c r="K687" i="2"/>
  <c r="K680" i="2"/>
  <c r="K662" i="2"/>
  <c r="K656" i="2"/>
  <c r="K638" i="2"/>
  <c r="K632" i="2"/>
  <c r="K625" i="2"/>
  <c r="K614" i="2"/>
  <c r="K607" i="2"/>
  <c r="K601" i="2"/>
  <c r="K593" i="2"/>
  <c r="K587" i="2"/>
  <c r="K579" i="2"/>
  <c r="K571" i="2"/>
  <c r="K548" i="2"/>
  <c r="K539" i="2"/>
  <c r="K528" i="2"/>
  <c r="K517" i="2"/>
  <c r="K507" i="2"/>
  <c r="K496" i="2"/>
  <c r="K485" i="2"/>
  <c r="K475" i="2"/>
  <c r="K464" i="2"/>
  <c r="K452" i="2"/>
  <c r="K427" i="2"/>
  <c r="K884" i="2"/>
  <c r="K880" i="2"/>
  <c r="K876" i="2"/>
  <c r="K872" i="2"/>
  <c r="K868" i="2"/>
  <c r="K864" i="2"/>
  <c r="K860" i="2"/>
  <c r="K856" i="2"/>
  <c r="K852" i="2"/>
  <c r="K848" i="2"/>
  <c r="K844" i="2"/>
  <c r="K840" i="2"/>
  <c r="K836" i="2"/>
  <c r="K832" i="2"/>
  <c r="K828" i="2"/>
  <c r="K819" i="2"/>
  <c r="K814" i="2"/>
  <c r="K805" i="2"/>
  <c r="K796" i="2"/>
  <c r="K716" i="2"/>
  <c r="K698" i="2"/>
  <c r="K692" i="2"/>
  <c r="K685" i="2"/>
  <c r="K674" i="2"/>
  <c r="K667" i="2"/>
  <c r="K661" i="2"/>
  <c r="K643" i="2"/>
  <c r="K637" i="2"/>
  <c r="K619" i="2"/>
  <c r="K612" i="2"/>
  <c r="K564" i="2"/>
  <c r="K555" i="2"/>
  <c r="K545" i="2"/>
  <c r="K439" i="2"/>
  <c r="K425" i="2"/>
  <c r="K408" i="2"/>
  <c r="K823" i="2"/>
  <c r="K818" i="2"/>
  <c r="K809" i="2"/>
  <c r="K800" i="2"/>
  <c r="K791" i="2"/>
  <c r="K785" i="2"/>
  <c r="K780" i="2"/>
  <c r="K775" i="2"/>
  <c r="K769" i="2"/>
  <c r="K764" i="2"/>
  <c r="K759" i="2"/>
  <c r="K753" i="2"/>
  <c r="K748" i="2"/>
  <c r="K743" i="2"/>
  <c r="K737" i="2"/>
  <c r="K732" i="2"/>
  <c r="K727" i="2"/>
  <c r="K721" i="2"/>
  <c r="K710" i="2"/>
  <c r="K703" i="2"/>
  <c r="K697" i="2"/>
  <c r="K679" i="2"/>
  <c r="K673" i="2"/>
  <c r="K655" i="2"/>
  <c r="K648" i="2"/>
  <c r="K630" i="2"/>
  <c r="K624" i="2"/>
  <c r="K606" i="2"/>
  <c r="K592" i="2"/>
  <c r="K584" i="2"/>
  <c r="K578" i="2"/>
  <c r="K570" i="2"/>
  <c r="K561" i="2"/>
  <c r="K535" i="2"/>
  <c r="K524" i="2"/>
  <c r="K513" i="2"/>
  <c r="K503" i="2"/>
  <c r="K492" i="2"/>
  <c r="K481" i="2"/>
  <c r="K471" i="2"/>
  <c r="K460" i="2"/>
  <c r="K435" i="2"/>
  <c r="K421" i="2"/>
  <c r="K1163" i="2"/>
  <c r="K1159" i="2"/>
  <c r="K1155" i="2"/>
  <c r="K1151" i="2"/>
  <c r="K1147" i="2"/>
  <c r="K1143" i="2"/>
  <c r="K1139" i="2"/>
  <c r="K1135" i="2"/>
  <c r="K1131" i="2"/>
  <c r="K1127" i="2"/>
  <c r="K1123" i="2"/>
  <c r="K1119" i="2"/>
  <c r="K1115" i="2"/>
  <c r="K1111" i="2"/>
  <c r="K1107" i="2"/>
  <c r="K1103" i="2"/>
  <c r="K1099" i="2"/>
  <c r="K1095" i="2"/>
  <c r="K1091" i="2"/>
  <c r="K1087" i="2"/>
  <c r="K1083" i="2"/>
  <c r="K1079" i="2"/>
  <c r="K1075" i="2"/>
  <c r="K1071" i="2"/>
  <c r="K1067" i="2"/>
  <c r="K1063" i="2"/>
  <c r="K1059" i="2"/>
  <c r="K1055" i="2"/>
  <c r="K1051" i="2"/>
  <c r="K1047" i="2"/>
  <c r="K1043" i="2"/>
  <c r="K1039" i="2"/>
  <c r="K1035" i="2"/>
  <c r="K1031" i="2"/>
  <c r="K1027" i="2"/>
  <c r="K1023" i="2"/>
  <c r="K1019" i="2"/>
  <c r="K1015" i="2"/>
  <c r="K1011" i="2"/>
  <c r="K1007" i="2"/>
  <c r="K1003" i="2"/>
  <c r="K999" i="2"/>
  <c r="K995" i="2"/>
  <c r="K991" i="2"/>
  <c r="K987" i="2"/>
  <c r="K983" i="2"/>
  <c r="K979" i="2"/>
  <c r="K975" i="2"/>
  <c r="K971" i="2"/>
  <c r="K967" i="2"/>
  <c r="K963" i="2"/>
  <c r="K959" i="2"/>
  <c r="K955" i="2"/>
  <c r="K951" i="2"/>
  <c r="K947" i="2"/>
  <c r="K943" i="2"/>
  <c r="K939" i="2"/>
  <c r="K935" i="2"/>
  <c r="K931" i="2"/>
  <c r="K927" i="2"/>
  <c r="K923" i="2"/>
  <c r="K919" i="2"/>
  <c r="K915" i="2"/>
  <c r="K911" i="2"/>
  <c r="K907" i="2"/>
  <c r="K903" i="2"/>
  <c r="K899" i="2"/>
  <c r="K895" i="2"/>
  <c r="K891" i="2"/>
  <c r="K887" i="2"/>
  <c r="K883" i="2"/>
  <c r="K879" i="2"/>
  <c r="K875" i="2"/>
  <c r="K871" i="2"/>
  <c r="K867" i="2"/>
  <c r="K863" i="2"/>
  <c r="K859" i="2"/>
  <c r="K855" i="2"/>
  <c r="K851" i="2"/>
  <c r="K847" i="2"/>
  <c r="K843" i="2"/>
  <c r="K839" i="2"/>
  <c r="K835" i="2"/>
  <c r="K831" i="2"/>
  <c r="K827" i="2"/>
  <c r="K822" i="2"/>
  <c r="K813" i="2"/>
  <c r="K804" i="2"/>
  <c r="K795" i="2"/>
  <c r="K715" i="2"/>
  <c r="K708" i="2"/>
  <c r="K690" i="2"/>
  <c r="K684" i="2"/>
  <c r="K666" i="2"/>
  <c r="K660" i="2"/>
  <c r="K653" i="2"/>
  <c r="K642" i="2"/>
  <c r="K635" i="2"/>
  <c r="K629" i="2"/>
  <c r="K611" i="2"/>
  <c r="K605" i="2"/>
  <c r="K598" i="2"/>
  <c r="K569" i="2"/>
  <c r="K553" i="2"/>
  <c r="K544" i="2"/>
  <c r="K447" i="2"/>
  <c r="K433" i="2"/>
  <c r="K407" i="2"/>
  <c r="K403" i="2"/>
  <c r="K396" i="2"/>
  <c r="K389" i="2"/>
  <c r="K371" i="2"/>
  <c r="K364" i="2"/>
  <c r="K357" i="2"/>
  <c r="K336" i="2"/>
  <c r="K299" i="2"/>
  <c r="K290" i="2"/>
  <c r="K270" i="2"/>
  <c r="K257" i="2"/>
  <c r="K244" i="2"/>
  <c r="K215" i="2"/>
  <c r="K197" i="2"/>
  <c r="K401" i="2"/>
  <c r="K383" i="2"/>
  <c r="K376" i="2"/>
  <c r="K369" i="2"/>
  <c r="K351" i="2"/>
  <c r="K344" i="2"/>
  <c r="K335" i="2"/>
  <c r="K326" i="2"/>
  <c r="K317" i="2"/>
  <c r="K308" i="2"/>
  <c r="K280" i="2"/>
  <c r="K243" i="2"/>
  <c r="K230" i="2"/>
  <c r="K212" i="2"/>
  <c r="K395" i="2"/>
  <c r="K388" i="2"/>
  <c r="K381" i="2"/>
  <c r="K363" i="2"/>
  <c r="K356" i="2"/>
  <c r="K349" i="2"/>
  <c r="K307" i="2"/>
  <c r="K298" i="2"/>
  <c r="K289" i="2"/>
  <c r="K279" i="2"/>
  <c r="K266" i="2"/>
  <c r="K253" i="2"/>
  <c r="K229" i="2"/>
  <c r="K400" i="2"/>
  <c r="K393" i="2"/>
  <c r="K375" i="2"/>
  <c r="K368" i="2"/>
  <c r="K361" i="2"/>
  <c r="K343" i="2"/>
  <c r="K334" i="2"/>
  <c r="K325" i="2"/>
  <c r="K316" i="2"/>
  <c r="K276" i="2"/>
  <c r="K239" i="2"/>
  <c r="K207" i="2"/>
  <c r="K189" i="2"/>
  <c r="K537" i="2"/>
  <c r="K532" i="2"/>
  <c r="K527" i="2"/>
  <c r="K521" i="2"/>
  <c r="K516" i="2"/>
  <c r="K511" i="2"/>
  <c r="K505" i="2"/>
  <c r="K500" i="2"/>
  <c r="K495" i="2"/>
  <c r="K489" i="2"/>
  <c r="K484" i="2"/>
  <c r="K479" i="2"/>
  <c r="K473" i="2"/>
  <c r="K468" i="2"/>
  <c r="K463" i="2"/>
  <c r="K451" i="2"/>
  <c r="K444" i="2"/>
  <c r="K437" i="2"/>
  <c r="K419" i="2"/>
  <c r="K412" i="2"/>
  <c r="K405" i="2"/>
  <c r="K387" i="2"/>
  <c r="K380" i="2"/>
  <c r="K373" i="2"/>
  <c r="K355" i="2"/>
  <c r="K348" i="2"/>
  <c r="K331" i="2"/>
  <c r="K322" i="2"/>
  <c r="K313" i="2"/>
  <c r="K304" i="2"/>
  <c r="K275" i="2"/>
  <c r="K262" i="2"/>
  <c r="K252" i="2"/>
  <c r="K206" i="2"/>
  <c r="K187" i="2"/>
  <c r="K600" i="2"/>
  <c r="K591" i="2"/>
  <c r="K582" i="2"/>
  <c r="K577" i="2"/>
  <c r="K568" i="2"/>
  <c r="K456" i="2"/>
  <c r="K449" i="2"/>
  <c r="K431" i="2"/>
  <c r="K424" i="2"/>
  <c r="K417" i="2"/>
  <c r="K399" i="2"/>
  <c r="K392" i="2"/>
  <c r="K385" i="2"/>
  <c r="K367" i="2"/>
  <c r="K360" i="2"/>
  <c r="K353" i="2"/>
  <c r="K340" i="2"/>
  <c r="K303" i="2"/>
  <c r="K294" i="2"/>
  <c r="K285" i="2"/>
  <c r="K238" i="2"/>
  <c r="K221" i="2"/>
  <c r="K183" i="2"/>
  <c r="K714" i="2"/>
  <c r="K709" i="2"/>
  <c r="K700" i="2"/>
  <c r="K691" i="2"/>
  <c r="K682" i="2"/>
  <c r="K677" i="2"/>
  <c r="K668" i="2"/>
  <c r="K659" i="2"/>
  <c r="K650" i="2"/>
  <c r="K645" i="2"/>
  <c r="K636" i="2"/>
  <c r="K627" i="2"/>
  <c r="K618" i="2"/>
  <c r="K613" i="2"/>
  <c r="K604" i="2"/>
  <c r="K595" i="2"/>
  <c r="K586" i="2"/>
  <c r="K581" i="2"/>
  <c r="K572" i="2"/>
  <c r="K563" i="2"/>
  <c r="K557" i="2"/>
  <c r="K552" i="2"/>
  <c r="K547" i="2"/>
  <c r="K541" i="2"/>
  <c r="K536" i="2"/>
  <c r="K531" i="2"/>
  <c r="K525" i="2"/>
  <c r="K520" i="2"/>
  <c r="K515" i="2"/>
  <c r="K509" i="2"/>
  <c r="K504" i="2"/>
  <c r="K499" i="2"/>
  <c r="K493" i="2"/>
  <c r="K488" i="2"/>
  <c r="K483" i="2"/>
  <c r="K477" i="2"/>
  <c r="K472" i="2"/>
  <c r="K467" i="2"/>
  <c r="K461" i="2"/>
  <c r="K443" i="2"/>
  <c r="K436" i="2"/>
  <c r="K429" i="2"/>
  <c r="K411" i="2"/>
  <c r="K404" i="2"/>
  <c r="K397" i="2"/>
  <c r="K379" i="2"/>
  <c r="K372" i="2"/>
  <c r="K365" i="2"/>
  <c r="K347" i="2"/>
  <c r="K339" i="2"/>
  <c r="K330" i="2"/>
  <c r="K321" i="2"/>
  <c r="K312" i="2"/>
  <c r="K271" i="2"/>
  <c r="K261" i="2"/>
  <c r="K248" i="2"/>
  <c r="K220" i="2"/>
  <c r="K182" i="2"/>
  <c r="K790" i="2"/>
  <c r="K786" i="2"/>
  <c r="K782" i="2"/>
  <c r="K778" i="2"/>
  <c r="K774" i="2"/>
  <c r="K770" i="2"/>
  <c r="K766" i="2"/>
  <c r="K762" i="2"/>
  <c r="K758" i="2"/>
  <c r="K754" i="2"/>
  <c r="K750" i="2"/>
  <c r="K746" i="2"/>
  <c r="K742" i="2"/>
  <c r="K738" i="2"/>
  <c r="K734" i="2"/>
  <c r="K730" i="2"/>
  <c r="K726" i="2"/>
  <c r="K722" i="2"/>
  <c r="K718" i="2"/>
  <c r="K713" i="2"/>
  <c r="K704" i="2"/>
  <c r="K695" i="2"/>
  <c r="K686" i="2"/>
  <c r="K681" i="2"/>
  <c r="K672" i="2"/>
  <c r="K663" i="2"/>
  <c r="K654" i="2"/>
  <c r="K649" i="2"/>
  <c r="K640" i="2"/>
  <c r="K631" i="2"/>
  <c r="K622" i="2"/>
  <c r="K617" i="2"/>
  <c r="K608" i="2"/>
  <c r="K599" i="2"/>
  <c r="K590" i="2"/>
  <c r="K585" i="2"/>
  <c r="K576" i="2"/>
  <c r="K567" i="2"/>
  <c r="K455" i="2"/>
  <c r="K448" i="2"/>
  <c r="K441" i="2"/>
  <c r="K423" i="2"/>
  <c r="K416" i="2"/>
  <c r="K409" i="2"/>
  <c r="K391" i="2"/>
  <c r="K384" i="2"/>
  <c r="K377" i="2"/>
  <c r="K359" i="2"/>
  <c r="K352" i="2"/>
  <c r="K345" i="2"/>
  <c r="K311" i="2"/>
  <c r="K302" i="2"/>
  <c r="K293" i="2"/>
  <c r="K284" i="2"/>
  <c r="K247" i="2"/>
  <c r="K234" i="2"/>
  <c r="K198" i="2"/>
  <c r="K178" i="2"/>
  <c r="K281" i="2"/>
  <c r="K272" i="2"/>
  <c r="K267" i="2"/>
  <c r="K258" i="2"/>
  <c r="K249" i="2"/>
  <c r="K240" i="2"/>
  <c r="K235" i="2"/>
  <c r="K226" i="2"/>
  <c r="K217" i="2"/>
  <c r="K208" i="2"/>
  <c r="K203" i="2"/>
  <c r="K194" i="2"/>
  <c r="K173" i="2"/>
  <c r="K167" i="2"/>
  <c r="K162" i="2"/>
  <c r="K157" i="2"/>
  <c r="K151" i="2"/>
  <c r="K146" i="2"/>
  <c r="K141" i="2"/>
  <c r="K135" i="2"/>
  <c r="K130" i="2"/>
  <c r="K125" i="2"/>
  <c r="K119" i="2"/>
  <c r="K114" i="2"/>
  <c r="K109" i="2"/>
  <c r="K103" i="2"/>
  <c r="K98" i="2"/>
  <c r="K90" i="2"/>
  <c r="K82" i="2"/>
  <c r="K74" i="2"/>
  <c r="K66" i="2"/>
  <c r="K58" i="2"/>
  <c r="K50" i="2"/>
  <c r="K42" i="2"/>
  <c r="K34" i="2"/>
  <c r="K26" i="2"/>
  <c r="K18" i="2"/>
  <c r="K225" i="2"/>
  <c r="K216" i="2"/>
  <c r="K211" i="2"/>
  <c r="K202" i="2"/>
  <c r="K193" i="2"/>
  <c r="K97" i="2"/>
  <c r="K89" i="2"/>
  <c r="K81" i="2"/>
  <c r="K73" i="2"/>
  <c r="K65" i="2"/>
  <c r="K57" i="2"/>
  <c r="K49" i="2"/>
  <c r="K41" i="2"/>
  <c r="K33" i="2"/>
  <c r="K25" i="2"/>
  <c r="K177" i="2"/>
  <c r="K171" i="2"/>
  <c r="K166" i="2"/>
  <c r="K161" i="2"/>
  <c r="K155" i="2"/>
  <c r="K150" i="2"/>
  <c r="K145" i="2"/>
  <c r="K139" i="2"/>
  <c r="K134" i="2"/>
  <c r="K129" i="2"/>
  <c r="K123" i="2"/>
  <c r="K118" i="2"/>
  <c r="K113" i="2"/>
  <c r="K107" i="2"/>
  <c r="K102" i="2"/>
  <c r="K95" i="2"/>
  <c r="K87" i="2"/>
  <c r="K79" i="2"/>
  <c r="K71" i="2"/>
  <c r="K63" i="2"/>
  <c r="K55" i="2"/>
  <c r="K47" i="2"/>
  <c r="K39" i="2"/>
  <c r="K31" i="2"/>
  <c r="K23" i="2"/>
  <c r="K14" i="2"/>
  <c r="K338" i="2"/>
  <c r="K329" i="2"/>
  <c r="K320" i="2"/>
  <c r="K315" i="2"/>
  <c r="K306" i="2"/>
  <c r="K297" i="2"/>
  <c r="K288" i="2"/>
  <c r="K283" i="2"/>
  <c r="K274" i="2"/>
  <c r="K265" i="2"/>
  <c r="K256" i="2"/>
  <c r="K251" i="2"/>
  <c r="K242" i="2"/>
  <c r="K233" i="2"/>
  <c r="K224" i="2"/>
  <c r="K219" i="2"/>
  <c r="K210" i="2"/>
  <c r="K201" i="2"/>
  <c r="K192" i="2"/>
  <c r="K562" i="2"/>
  <c r="K558" i="2"/>
  <c r="K554" i="2"/>
  <c r="K550" i="2"/>
  <c r="K546" i="2"/>
  <c r="K542" i="2"/>
  <c r="K538" i="2"/>
  <c r="K534" i="2"/>
  <c r="K530" i="2"/>
  <c r="K526" i="2"/>
  <c r="K522" i="2"/>
  <c r="K518" i="2"/>
  <c r="K514" i="2"/>
  <c r="K510" i="2"/>
  <c r="K506" i="2"/>
  <c r="K502" i="2"/>
  <c r="K498" i="2"/>
  <c r="K494" i="2"/>
  <c r="K490" i="2"/>
  <c r="K486" i="2"/>
  <c r="K482" i="2"/>
  <c r="K478" i="2"/>
  <c r="K474" i="2"/>
  <c r="K470" i="2"/>
  <c r="K466" i="2"/>
  <c r="K462" i="2"/>
  <c r="K458" i="2"/>
  <c r="K454" i="2"/>
  <c r="K450" i="2"/>
  <c r="K446" i="2"/>
  <c r="K442" i="2"/>
  <c r="K438" i="2"/>
  <c r="K434" i="2"/>
  <c r="K430" i="2"/>
  <c r="K426" i="2"/>
  <c r="K422" i="2"/>
  <c r="K418" i="2"/>
  <c r="K414" i="2"/>
  <c r="K410" i="2"/>
  <c r="K406" i="2"/>
  <c r="K402" i="2"/>
  <c r="K398" i="2"/>
  <c r="K394" i="2"/>
  <c r="K390" i="2"/>
  <c r="K386" i="2"/>
  <c r="K382" i="2"/>
  <c r="K378" i="2"/>
  <c r="K374" i="2"/>
  <c r="K370" i="2"/>
  <c r="K366" i="2"/>
  <c r="K362" i="2"/>
  <c r="K358" i="2"/>
  <c r="K354" i="2"/>
  <c r="K350" i="2"/>
  <c r="K346" i="2"/>
  <c r="K342" i="2"/>
  <c r="K333" i="2"/>
  <c r="K324" i="2"/>
  <c r="K319" i="2"/>
  <c r="K310" i="2"/>
  <c r="K301" i="2"/>
  <c r="K292" i="2"/>
  <c r="K287" i="2"/>
  <c r="K278" i="2"/>
  <c r="K269" i="2"/>
  <c r="K260" i="2"/>
  <c r="K255" i="2"/>
  <c r="K246" i="2"/>
  <c r="K237" i="2"/>
  <c r="K228" i="2"/>
  <c r="K223" i="2"/>
  <c r="K214" i="2"/>
  <c r="K205" i="2"/>
  <c r="K196" i="2"/>
  <c r="K191" i="2"/>
  <c r="K186" i="2"/>
  <c r="K181" i="2"/>
  <c r="K175" i="2"/>
  <c r="K170" i="2"/>
  <c r="K165" i="2"/>
  <c r="K159" i="2"/>
  <c r="K154" i="2"/>
  <c r="K149" i="2"/>
  <c r="K143" i="2"/>
  <c r="K138" i="2"/>
  <c r="K133" i="2"/>
  <c r="K127" i="2"/>
  <c r="K122" i="2"/>
  <c r="K117" i="2"/>
  <c r="K111" i="2"/>
  <c r="K106" i="2"/>
  <c r="K101" i="2"/>
  <c r="K94" i="2"/>
  <c r="K86" i="2"/>
  <c r="K78" i="2"/>
  <c r="K70" i="2"/>
  <c r="K62" i="2"/>
  <c r="K54" i="2"/>
  <c r="K46" i="2"/>
  <c r="K38" i="2"/>
  <c r="K30" i="2"/>
  <c r="K22" i="2"/>
  <c r="K10" i="2"/>
  <c r="K337" i="2"/>
  <c r="K328" i="2"/>
  <c r="K323" i="2"/>
  <c r="K314" i="2"/>
  <c r="K305" i="2"/>
  <c r="K296" i="2"/>
  <c r="K291" i="2"/>
  <c r="K282" i="2"/>
  <c r="K273" i="2"/>
  <c r="K264" i="2"/>
  <c r="K259" i="2"/>
  <c r="K250" i="2"/>
  <c r="K241" i="2"/>
  <c r="K232" i="2"/>
  <c r="K227" i="2"/>
  <c r="K218" i="2"/>
  <c r="K209" i="2"/>
  <c r="K200" i="2"/>
  <c r="K195" i="2"/>
  <c r="K93" i="2"/>
  <c r="K85" i="2"/>
  <c r="K77" i="2"/>
  <c r="K69" i="2"/>
  <c r="K61" i="2"/>
  <c r="K53" i="2"/>
  <c r="K45" i="2"/>
  <c r="K37" i="2"/>
  <c r="K29" i="2"/>
  <c r="K21" i="2"/>
  <c r="K341" i="2"/>
  <c r="K332" i="2"/>
  <c r="K327" i="2"/>
  <c r="K318" i="2"/>
  <c r="K309" i="2"/>
  <c r="K300" i="2"/>
  <c r="K295" i="2"/>
  <c r="K286" i="2"/>
  <c r="K277" i="2"/>
  <c r="K268" i="2"/>
  <c r="K263" i="2"/>
  <c r="K254" i="2"/>
  <c r="K245" i="2"/>
  <c r="K236" i="2"/>
  <c r="K231" i="2"/>
  <c r="K222" i="2"/>
  <c r="K213" i="2"/>
  <c r="K204" i="2"/>
  <c r="K199" i="2"/>
  <c r="K190" i="2"/>
  <c r="K185" i="2"/>
  <c r="K179" i="2"/>
  <c r="K174" i="2"/>
  <c r="K169" i="2"/>
  <c r="K163" i="2"/>
  <c r="K158" i="2"/>
  <c r="K153" i="2"/>
  <c r="K147" i="2"/>
  <c r="K142" i="2"/>
  <c r="K137" i="2"/>
  <c r="K131" i="2"/>
  <c r="K126" i="2"/>
  <c r="K121" i="2"/>
  <c r="K115" i="2"/>
  <c r="K110" i="2"/>
  <c r="K105" i="2"/>
  <c r="K99" i="2"/>
  <c r="K91" i="2"/>
  <c r="K83" i="2"/>
  <c r="K75" i="2"/>
  <c r="K67" i="2"/>
  <c r="K59" i="2"/>
  <c r="K51" i="2"/>
  <c r="K43" i="2"/>
  <c r="K35" i="2"/>
  <c r="K27" i="2"/>
  <c r="K19" i="2"/>
  <c r="K6" i="2"/>
  <c r="K17" i="2"/>
  <c r="K13" i="2"/>
  <c r="K9" i="2"/>
  <c r="K5" i="2"/>
  <c r="K188" i="2"/>
  <c r="K184" i="2"/>
  <c r="K180" i="2"/>
  <c r="K176" i="2"/>
  <c r="K172" i="2"/>
  <c r="K168" i="2"/>
  <c r="K164" i="2"/>
  <c r="K160" i="2"/>
  <c r="K156" i="2"/>
  <c r="K152" i="2"/>
  <c r="K148" i="2"/>
  <c r="K144" i="2"/>
  <c r="K140" i="2"/>
  <c r="K136" i="2"/>
  <c r="K132" i="2"/>
  <c r="K128" i="2"/>
  <c r="K124" i="2"/>
  <c r="K120" i="2"/>
  <c r="K116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15" i="2"/>
  <c r="K11" i="2"/>
  <c r="K7" i="2"/>
  <c r="K3" i="2"/>
  <c r="J2300" i="2"/>
  <c r="J2215" i="2"/>
  <c r="J2284" i="2"/>
  <c r="J2364" i="2"/>
  <c r="J2197" i="2"/>
  <c r="J2312" i="2"/>
  <c r="J2332" i="2"/>
  <c r="J2328" i="2"/>
  <c r="J2396" i="2"/>
  <c r="J2348" i="2"/>
  <c r="J2268" i="2"/>
  <c r="J2133" i="2"/>
  <c r="J2047" i="2"/>
  <c r="J2251" i="2"/>
  <c r="J2178" i="2"/>
  <c r="J2085" i="2"/>
  <c r="J2392" i="2"/>
  <c r="J2360" i="2"/>
  <c r="J2296" i="2"/>
  <c r="J2264" i="2"/>
  <c r="J2229" i="2"/>
  <c r="J2192" i="2"/>
  <c r="J2154" i="2"/>
  <c r="J2079" i="2"/>
  <c r="J2210" i="2"/>
  <c r="J2117" i="2"/>
  <c r="J2074" i="2"/>
  <c r="J2372" i="2"/>
  <c r="J2324" i="2"/>
  <c r="J2292" i="2"/>
  <c r="J2260" i="2"/>
  <c r="J2224" i="2"/>
  <c r="J2148" i="2"/>
  <c r="J2069" i="2"/>
  <c r="J2242" i="2"/>
  <c r="J2187" i="2"/>
  <c r="J2143" i="2"/>
  <c r="J2063" i="2"/>
  <c r="J2400" i="2"/>
  <c r="J2368" i="2"/>
  <c r="J2336" i="2"/>
  <c r="J2304" i="2"/>
  <c r="J2288" i="2"/>
  <c r="J2272" i="2"/>
  <c r="J2256" i="2"/>
  <c r="J2238" i="2"/>
  <c r="J2183" i="2"/>
  <c r="J2165" i="2"/>
  <c r="J2138" i="2"/>
  <c r="J2101" i="2"/>
  <c r="J2058" i="2"/>
  <c r="J2015" i="2"/>
  <c r="J2380" i="2"/>
  <c r="J2316" i="2"/>
  <c r="J2159" i="2"/>
  <c r="J2090" i="2"/>
  <c r="J2233" i="2"/>
  <c r="J2196" i="2"/>
  <c r="J2127" i="2"/>
  <c r="J2042" i="2"/>
  <c r="J2376" i="2"/>
  <c r="J2344" i="2"/>
  <c r="J2280" i="2"/>
  <c r="J2247" i="2"/>
  <c r="J2174" i="2"/>
  <c r="J2122" i="2"/>
  <c r="J2037" i="2"/>
  <c r="J2228" i="2"/>
  <c r="J2149" i="2"/>
  <c r="J2031" i="2"/>
  <c r="J2388" i="2"/>
  <c r="J2356" i="2"/>
  <c r="J2340" i="2"/>
  <c r="J2308" i="2"/>
  <c r="J2276" i="2"/>
  <c r="J2206" i="2"/>
  <c r="J2111" i="2"/>
  <c r="J2026" i="2"/>
  <c r="J2169" i="2"/>
  <c r="J2106" i="2"/>
  <c r="J2021" i="2"/>
  <c r="J2384" i="2"/>
  <c r="J2352" i="2"/>
  <c r="J2320" i="2"/>
  <c r="J2219" i="2"/>
  <c r="J2201" i="2"/>
  <c r="J2164" i="2"/>
  <c r="J2095" i="2"/>
  <c r="J2053" i="2"/>
  <c r="J2010" i="2"/>
  <c r="J2005" i="2"/>
  <c r="J1999" i="2"/>
  <c r="J1994" i="2"/>
  <c r="J1989" i="2"/>
  <c r="J1983" i="2"/>
  <c r="J1978" i="2"/>
  <c r="J1894" i="2"/>
  <c r="J1862" i="2"/>
  <c r="J1830" i="2"/>
  <c r="J1796" i="2"/>
  <c r="J1753" i="2"/>
  <c r="J1738" i="2"/>
  <c r="J1726" i="2"/>
  <c r="J1711" i="2"/>
  <c r="J1668" i="2"/>
  <c r="J1639" i="2"/>
  <c r="J1602" i="2"/>
  <c r="J1561" i="2"/>
  <c r="J1539" i="2"/>
  <c r="J1497" i="2"/>
  <c r="J1475" i="2"/>
  <c r="J1425" i="2"/>
  <c r="J1396" i="2"/>
  <c r="J1372" i="2"/>
  <c r="J1285" i="2"/>
  <c r="J1197" i="2"/>
  <c r="J2068" i="2"/>
  <c r="J2052" i="2"/>
  <c r="J2036" i="2"/>
  <c r="J2020" i="2"/>
  <c r="J1970" i="2"/>
  <c r="J1962" i="2"/>
  <c r="J1954" i="2"/>
  <c r="J1946" i="2"/>
  <c r="J1938" i="2"/>
  <c r="J1930" i="2"/>
  <c r="J1922" i="2"/>
  <c r="J1914" i="2"/>
  <c r="J1882" i="2"/>
  <c r="J1850" i="2"/>
  <c r="J1818" i="2"/>
  <c r="J1780" i="2"/>
  <c r="J1737" i="2"/>
  <c r="J1722" i="2"/>
  <c r="J1710" i="2"/>
  <c r="J1695" i="2"/>
  <c r="J1652" i="2"/>
  <c r="J1634" i="2"/>
  <c r="J1620" i="2"/>
  <c r="J1601" i="2"/>
  <c r="J1579" i="2"/>
  <c r="J1537" i="2"/>
  <c r="J1515" i="2"/>
  <c r="J1473" i="2"/>
  <c r="J1393" i="2"/>
  <c r="J1364" i="2"/>
  <c r="J1340" i="2"/>
  <c r="J1281" i="2"/>
  <c r="J1159" i="2"/>
  <c r="J2100" i="2"/>
  <c r="J2004" i="2"/>
  <c r="J2383" i="2"/>
  <c r="J2359" i="2"/>
  <c r="J2335" i="2"/>
  <c r="J2311" i="2"/>
  <c r="J2287" i="2"/>
  <c r="J2263" i="2"/>
  <c r="J2232" i="2"/>
  <c r="J2191" i="2"/>
  <c r="J2147" i="2"/>
  <c r="J2099" i="2"/>
  <c r="J2057" i="2"/>
  <c r="J2025" i="2"/>
  <c r="J1998" i="2"/>
  <c r="J1838" i="2"/>
  <c r="J1806" i="2"/>
  <c r="J1764" i="2"/>
  <c r="J1706" i="2"/>
  <c r="J1694" i="2"/>
  <c r="J1679" i="2"/>
  <c r="J1577" i="2"/>
  <c r="J1555" i="2"/>
  <c r="J1513" i="2"/>
  <c r="J1491" i="2"/>
  <c r="J1448" i="2"/>
  <c r="J1361" i="2"/>
  <c r="J1332" i="2"/>
  <c r="J1277" i="2"/>
  <c r="J1152" i="2"/>
  <c r="J2084" i="2"/>
  <c r="J2387" i="2"/>
  <c r="J2363" i="2"/>
  <c r="J2339" i="2"/>
  <c r="J2315" i="2"/>
  <c r="J2291" i="2"/>
  <c r="J2271" i="2"/>
  <c r="J2173" i="2"/>
  <c r="J2131" i="2"/>
  <c r="J2051" i="2"/>
  <c r="J1721" i="2"/>
  <c r="J2088" i="2"/>
  <c r="J2072" i="2"/>
  <c r="J2056" i="2"/>
  <c r="J2040" i="2"/>
  <c r="J2024" i="2"/>
  <c r="J2008" i="2"/>
  <c r="J1992" i="2"/>
  <c r="J1975" i="2"/>
  <c r="J1967" i="2"/>
  <c r="J1959" i="2"/>
  <c r="J1951" i="2"/>
  <c r="J1943" i="2"/>
  <c r="J1935" i="2"/>
  <c r="J1927" i="2"/>
  <c r="J1919" i="2"/>
  <c r="J1890" i="2"/>
  <c r="J1858" i="2"/>
  <c r="J1826" i="2"/>
  <c r="J1791" i="2"/>
  <c r="J1748" i="2"/>
  <c r="J1705" i="2"/>
  <c r="J1690" i="2"/>
  <c r="J1678" i="2"/>
  <c r="J1663" i="2"/>
  <c r="J1647" i="2"/>
  <c r="J1614" i="2"/>
  <c r="J1595" i="2"/>
  <c r="J1553" i="2"/>
  <c r="J1531" i="2"/>
  <c r="J1489" i="2"/>
  <c r="J1467" i="2"/>
  <c r="J1445" i="2"/>
  <c r="J1416" i="2"/>
  <c r="J1329" i="2"/>
  <c r="J1253" i="2"/>
  <c r="J1146" i="2"/>
  <c r="J2399" i="2"/>
  <c r="J2375" i="2"/>
  <c r="J2355" i="2"/>
  <c r="J2331" i="2"/>
  <c r="J2307" i="2"/>
  <c r="J2279" i="2"/>
  <c r="J2255" i="2"/>
  <c r="J2223" i="2"/>
  <c r="J2200" i="2"/>
  <c r="J2158" i="2"/>
  <c r="J2126" i="2"/>
  <c r="J2105" i="2"/>
  <c r="J2062" i="2"/>
  <c r="J2030" i="2"/>
  <c r="J2003" i="2"/>
  <c r="J1982" i="2"/>
  <c r="J2218" i="2"/>
  <c r="J2195" i="2"/>
  <c r="J2177" i="2"/>
  <c r="J2398" i="2"/>
  <c r="J2390" i="2"/>
  <c r="J2382" i="2"/>
  <c r="J2374" i="2"/>
  <c r="J2366" i="2"/>
  <c r="J2358" i="2"/>
  <c r="J2350" i="2"/>
  <c r="J2342" i="2"/>
  <c r="J2334" i="2"/>
  <c r="J2326" i="2"/>
  <c r="J2318" i="2"/>
  <c r="J2306" i="2"/>
  <c r="J2298" i="2"/>
  <c r="J2290" i="2"/>
  <c r="J2278" i="2"/>
  <c r="J2270" i="2"/>
  <c r="J2258" i="2"/>
  <c r="J2245" i="2"/>
  <c r="J2231" i="2"/>
  <c r="J2213" i="2"/>
  <c r="J2199" i="2"/>
  <c r="J2176" i="2"/>
  <c r="J2167" i="2"/>
  <c r="J2162" i="2"/>
  <c r="J2157" i="2"/>
  <c r="J2146" i="2"/>
  <c r="J2141" i="2"/>
  <c r="J2135" i="2"/>
  <c r="J2130" i="2"/>
  <c r="J2125" i="2"/>
  <c r="J2119" i="2"/>
  <c r="J2114" i="2"/>
  <c r="J2109" i="2"/>
  <c r="J2103" i="2"/>
  <c r="J2098" i="2"/>
  <c r="J2093" i="2"/>
  <c r="J2087" i="2"/>
  <c r="J2082" i="2"/>
  <c r="J2077" i="2"/>
  <c r="J2071" i="2"/>
  <c r="J2066" i="2"/>
  <c r="J2061" i="2"/>
  <c r="J2055" i="2"/>
  <c r="J2050" i="2"/>
  <c r="J2045" i="2"/>
  <c r="J2039" i="2"/>
  <c r="J2034" i="2"/>
  <c r="J2029" i="2"/>
  <c r="J2023" i="2"/>
  <c r="J2018" i="2"/>
  <c r="J2013" i="2"/>
  <c r="J2007" i="2"/>
  <c r="J2002" i="2"/>
  <c r="J1997" i="2"/>
  <c r="J1991" i="2"/>
  <c r="J1986" i="2"/>
  <c r="J1981" i="2"/>
  <c r="J1910" i="2"/>
  <c r="J1878" i="2"/>
  <c r="J1846" i="2"/>
  <c r="J1814" i="2"/>
  <c r="J1802" i="2"/>
  <c r="J1790" i="2"/>
  <c r="J1775" i="2"/>
  <c r="J1732" i="2"/>
  <c r="J1689" i="2"/>
  <c r="J1674" i="2"/>
  <c r="J1662" i="2"/>
  <c r="J1646" i="2"/>
  <c r="J1628" i="2"/>
  <c r="J1613" i="2"/>
  <c r="J1593" i="2"/>
  <c r="J1571" i="2"/>
  <c r="J1529" i="2"/>
  <c r="J1507" i="2"/>
  <c r="J1465" i="2"/>
  <c r="J1437" i="2"/>
  <c r="J1413" i="2"/>
  <c r="J1384" i="2"/>
  <c r="J1249" i="2"/>
  <c r="J1103" i="2"/>
  <c r="J2391" i="2"/>
  <c r="J2371" i="2"/>
  <c r="J2347" i="2"/>
  <c r="J2319" i="2"/>
  <c r="J2295" i="2"/>
  <c r="J2267" i="2"/>
  <c r="J2237" i="2"/>
  <c r="J2163" i="2"/>
  <c r="J2137" i="2"/>
  <c r="J2110" i="2"/>
  <c r="J2083" i="2"/>
  <c r="J2073" i="2"/>
  <c r="J2046" i="2"/>
  <c r="J2019" i="2"/>
  <c r="J1987" i="2"/>
  <c r="J1902" i="2"/>
  <c r="J1615" i="2"/>
  <c r="J2250" i="2"/>
  <c r="J2227" i="2"/>
  <c r="J2204" i="2"/>
  <c r="J2172" i="2"/>
  <c r="J2104" i="2"/>
  <c r="J2394" i="2"/>
  <c r="J2386" i="2"/>
  <c r="J2378" i="2"/>
  <c r="J2370" i="2"/>
  <c r="J2362" i="2"/>
  <c r="J2354" i="2"/>
  <c r="J2346" i="2"/>
  <c r="J2338" i="2"/>
  <c r="J2330" i="2"/>
  <c r="J2322" i="2"/>
  <c r="J2314" i="2"/>
  <c r="J2310" i="2"/>
  <c r="J2302" i="2"/>
  <c r="J2294" i="2"/>
  <c r="J2286" i="2"/>
  <c r="J2282" i="2"/>
  <c r="J2274" i="2"/>
  <c r="J2266" i="2"/>
  <c r="J2262" i="2"/>
  <c r="J2254" i="2"/>
  <c r="J2240" i="2"/>
  <c r="J2222" i="2"/>
  <c r="J2208" i="2"/>
  <c r="J2190" i="2"/>
  <c r="J2181" i="2"/>
  <c r="J2151" i="2"/>
  <c r="J2249" i="2"/>
  <c r="J2244" i="2"/>
  <c r="J2235" i="2"/>
  <c r="J2226" i="2"/>
  <c r="J2217" i="2"/>
  <c r="J2212" i="2"/>
  <c r="J2203" i="2"/>
  <c r="J2194" i="2"/>
  <c r="J2185" i="2"/>
  <c r="J2180" i="2"/>
  <c r="J2171" i="2"/>
  <c r="J2156" i="2"/>
  <c r="J2140" i="2"/>
  <c r="J2124" i="2"/>
  <c r="J2108" i="2"/>
  <c r="J2092" i="2"/>
  <c r="J2076" i="2"/>
  <c r="J2060" i="2"/>
  <c r="J2044" i="2"/>
  <c r="J2028" i="2"/>
  <c r="J2012" i="2"/>
  <c r="J1996" i="2"/>
  <c r="J1980" i="2"/>
  <c r="J1974" i="2"/>
  <c r="J1966" i="2"/>
  <c r="J1958" i="2"/>
  <c r="J1950" i="2"/>
  <c r="J1942" i="2"/>
  <c r="J1934" i="2"/>
  <c r="J1926" i="2"/>
  <c r="J1918" i="2"/>
  <c r="J1898" i="2"/>
  <c r="J1866" i="2"/>
  <c r="J1834" i="2"/>
  <c r="J1801" i="2"/>
  <c r="J1786" i="2"/>
  <c r="J1774" i="2"/>
  <c r="J1759" i="2"/>
  <c r="J1716" i="2"/>
  <c r="J1673" i="2"/>
  <c r="J1658" i="2"/>
  <c r="J1645" i="2"/>
  <c r="J1627" i="2"/>
  <c r="J1569" i="2"/>
  <c r="J1547" i="2"/>
  <c r="J1505" i="2"/>
  <c r="J1483" i="2"/>
  <c r="J1405" i="2"/>
  <c r="J1381" i="2"/>
  <c r="J1352" i="2"/>
  <c r="J1317" i="2"/>
  <c r="J1245" i="2"/>
  <c r="J1095" i="2"/>
  <c r="J2132" i="2"/>
  <c r="J2379" i="2"/>
  <c r="J2351" i="2"/>
  <c r="J2327" i="2"/>
  <c r="J2303" i="2"/>
  <c r="J2283" i="2"/>
  <c r="J2259" i="2"/>
  <c r="J2214" i="2"/>
  <c r="J2182" i="2"/>
  <c r="J2153" i="2"/>
  <c r="J2121" i="2"/>
  <c r="J2094" i="2"/>
  <c r="J2078" i="2"/>
  <c r="J2041" i="2"/>
  <c r="J2014" i="2"/>
  <c r="J1993" i="2"/>
  <c r="J1870" i="2"/>
  <c r="J1633" i="2"/>
  <c r="J2241" i="2"/>
  <c r="J2186" i="2"/>
  <c r="J2152" i="2"/>
  <c r="J2120" i="2"/>
  <c r="J2401" i="2"/>
  <c r="J2393" i="2"/>
  <c r="J2385" i="2"/>
  <c r="J2373" i="2"/>
  <c r="J2365" i="2"/>
  <c r="J2353" i="2"/>
  <c r="J2345" i="2"/>
  <c r="J2337" i="2"/>
  <c r="J2329" i="2"/>
  <c r="J2317" i="2"/>
  <c r="J2309" i="2"/>
  <c r="J2297" i="2"/>
  <c r="J2289" i="2"/>
  <c r="J2281" i="2"/>
  <c r="J2273" i="2"/>
  <c r="J2261" i="2"/>
  <c r="J2253" i="2"/>
  <c r="J2239" i="2"/>
  <c r="J2221" i="2"/>
  <c r="J2189" i="2"/>
  <c r="J2175" i="2"/>
  <c r="J2166" i="2"/>
  <c r="J2161" i="2"/>
  <c r="J2155" i="2"/>
  <c r="J2145" i="2"/>
  <c r="J2139" i="2"/>
  <c r="J2134" i="2"/>
  <c r="J2129" i="2"/>
  <c r="J2123" i="2"/>
  <c r="J2118" i="2"/>
  <c r="J2113" i="2"/>
  <c r="J2107" i="2"/>
  <c r="J2102" i="2"/>
  <c r="J2097" i="2"/>
  <c r="J2091" i="2"/>
  <c r="J2086" i="2"/>
  <c r="J2081" i="2"/>
  <c r="J2075" i="2"/>
  <c r="J2070" i="2"/>
  <c r="J2065" i="2"/>
  <c r="J2059" i="2"/>
  <c r="J2054" i="2"/>
  <c r="J2049" i="2"/>
  <c r="J2043" i="2"/>
  <c r="J2038" i="2"/>
  <c r="J2033" i="2"/>
  <c r="J2027" i="2"/>
  <c r="J2022" i="2"/>
  <c r="J2017" i="2"/>
  <c r="J2011" i="2"/>
  <c r="J2006" i="2"/>
  <c r="J2001" i="2"/>
  <c r="J1995" i="2"/>
  <c r="J1990" i="2"/>
  <c r="J1985" i="2"/>
  <c r="J1979" i="2"/>
  <c r="J1886" i="2"/>
  <c r="J1854" i="2"/>
  <c r="J1822" i="2"/>
  <c r="J1785" i="2"/>
  <c r="J1770" i="2"/>
  <c r="J1758" i="2"/>
  <c r="J1743" i="2"/>
  <c r="J1700" i="2"/>
  <c r="J1657" i="2"/>
  <c r="J1626" i="2"/>
  <c r="J1608" i="2"/>
  <c r="J1587" i="2"/>
  <c r="J1545" i="2"/>
  <c r="J1523" i="2"/>
  <c r="J1481" i="2"/>
  <c r="J1459" i="2"/>
  <c r="J1436" i="2"/>
  <c r="J1373" i="2"/>
  <c r="J1349" i="2"/>
  <c r="J1313" i="2"/>
  <c r="J1210" i="2"/>
  <c r="J1023" i="2"/>
  <c r="J2116" i="2"/>
  <c r="J1988" i="2"/>
  <c r="J2395" i="2"/>
  <c r="J2367" i="2"/>
  <c r="J2343" i="2"/>
  <c r="J2323" i="2"/>
  <c r="J2299" i="2"/>
  <c r="J2275" i="2"/>
  <c r="J2246" i="2"/>
  <c r="J2205" i="2"/>
  <c r="J2168" i="2"/>
  <c r="J2142" i="2"/>
  <c r="J2115" i="2"/>
  <c r="J2089" i="2"/>
  <c r="J2067" i="2"/>
  <c r="J2035" i="2"/>
  <c r="J2009" i="2"/>
  <c r="J1976" i="2"/>
  <c r="J2236" i="2"/>
  <c r="J2209" i="2"/>
  <c r="J2136" i="2"/>
  <c r="J2397" i="2"/>
  <c r="J2389" i="2"/>
  <c r="J2381" i="2"/>
  <c r="J2377" i="2"/>
  <c r="J2369" i="2"/>
  <c r="J2361" i="2"/>
  <c r="J2357" i="2"/>
  <c r="J2349" i="2"/>
  <c r="J2341" i="2"/>
  <c r="J2333" i="2"/>
  <c r="J2325" i="2"/>
  <c r="J2321" i="2"/>
  <c r="J2313" i="2"/>
  <c r="J2305" i="2"/>
  <c r="J2301" i="2"/>
  <c r="J2293" i="2"/>
  <c r="J2285" i="2"/>
  <c r="J2277" i="2"/>
  <c r="J2269" i="2"/>
  <c r="J2265" i="2"/>
  <c r="J2257" i="2"/>
  <c r="J2248" i="2"/>
  <c r="J2230" i="2"/>
  <c r="J2216" i="2"/>
  <c r="J2207" i="2"/>
  <c r="J2198" i="2"/>
  <c r="J2184" i="2"/>
  <c r="J2150" i="2"/>
  <c r="J2252" i="2"/>
  <c r="J2243" i="2"/>
  <c r="J2234" i="2"/>
  <c r="J2225" i="2"/>
  <c r="J2220" i="2"/>
  <c r="J2211" i="2"/>
  <c r="J2202" i="2"/>
  <c r="J2193" i="2"/>
  <c r="J2188" i="2"/>
  <c r="J2179" i="2"/>
  <c r="J2170" i="2"/>
  <c r="J2160" i="2"/>
  <c r="J2144" i="2"/>
  <c r="J2128" i="2"/>
  <c r="J2112" i="2"/>
  <c r="J2096" i="2"/>
  <c r="J2080" i="2"/>
  <c r="J2064" i="2"/>
  <c r="J2048" i="2"/>
  <c r="J2032" i="2"/>
  <c r="J2016" i="2"/>
  <c r="J2000" i="2"/>
  <c r="J1984" i="2"/>
  <c r="J1971" i="2"/>
  <c r="J1963" i="2"/>
  <c r="J1955" i="2"/>
  <c r="J1947" i="2"/>
  <c r="J1939" i="2"/>
  <c r="J1931" i="2"/>
  <c r="J1923" i="2"/>
  <c r="J1915" i="2"/>
  <c r="J1906" i="2"/>
  <c r="J1874" i="2"/>
  <c r="J1842" i="2"/>
  <c r="J1810" i="2"/>
  <c r="J1769" i="2"/>
  <c r="J1754" i="2"/>
  <c r="J1742" i="2"/>
  <c r="J1727" i="2"/>
  <c r="J1684" i="2"/>
  <c r="J1640" i="2"/>
  <c r="J1621" i="2"/>
  <c r="J1607" i="2"/>
  <c r="J1585" i="2"/>
  <c r="J1563" i="2"/>
  <c r="J1521" i="2"/>
  <c r="J1499" i="2"/>
  <c r="J1457" i="2"/>
  <c r="J1428" i="2"/>
  <c r="J1404" i="2"/>
  <c r="J1341" i="2"/>
  <c r="J1309" i="2"/>
  <c r="J1087" i="2"/>
  <c r="J1977" i="2"/>
  <c r="J1973" i="2"/>
  <c r="J1969" i="2"/>
  <c r="J1965" i="2"/>
  <c r="J1961" i="2"/>
  <c r="J1957" i="2"/>
  <c r="J1953" i="2"/>
  <c r="J1949" i="2"/>
  <c r="J1945" i="2"/>
  <c r="J1941" i="2"/>
  <c r="J1937" i="2"/>
  <c r="J1933" i="2"/>
  <c r="J1929" i="2"/>
  <c r="J1925" i="2"/>
  <c r="J1921" i="2"/>
  <c r="J1917" i="2"/>
  <c r="J1913" i="2"/>
  <c r="J1909" i="2"/>
  <c r="J1905" i="2"/>
  <c r="J1901" i="2"/>
  <c r="J1897" i="2"/>
  <c r="J1893" i="2"/>
  <c r="J1889" i="2"/>
  <c r="J1885" i="2"/>
  <c r="J1881" i="2"/>
  <c r="J1877" i="2"/>
  <c r="J1873" i="2"/>
  <c r="J1869" i="2"/>
  <c r="J1865" i="2"/>
  <c r="J1861" i="2"/>
  <c r="J1857" i="2"/>
  <c r="J1853" i="2"/>
  <c r="J1849" i="2"/>
  <c r="J1845" i="2"/>
  <c r="J1841" i="2"/>
  <c r="J1837" i="2"/>
  <c r="J1833" i="2"/>
  <c r="J1829" i="2"/>
  <c r="J1825" i="2"/>
  <c r="J1821" i="2"/>
  <c r="J1817" i="2"/>
  <c r="J1813" i="2"/>
  <c r="J1809" i="2"/>
  <c r="J1805" i="2"/>
  <c r="J1800" i="2"/>
  <c r="J1795" i="2"/>
  <c r="J1789" i="2"/>
  <c r="J1784" i="2"/>
  <c r="J1779" i="2"/>
  <c r="J1773" i="2"/>
  <c r="J1768" i="2"/>
  <c r="J1763" i="2"/>
  <c r="J1757" i="2"/>
  <c r="J1752" i="2"/>
  <c r="J1747" i="2"/>
  <c r="J1741" i="2"/>
  <c r="J1736" i="2"/>
  <c r="J1731" i="2"/>
  <c r="J1725" i="2"/>
  <c r="J1720" i="2"/>
  <c r="J1715" i="2"/>
  <c r="J1709" i="2"/>
  <c r="J1704" i="2"/>
  <c r="J1699" i="2"/>
  <c r="J1693" i="2"/>
  <c r="J1688" i="2"/>
  <c r="J1683" i="2"/>
  <c r="J1677" i="2"/>
  <c r="J1672" i="2"/>
  <c r="J1667" i="2"/>
  <c r="J1661" i="2"/>
  <c r="J1656" i="2"/>
  <c r="J1651" i="2"/>
  <c r="J1638" i="2"/>
  <c r="J1632" i="2"/>
  <c r="J1625" i="2"/>
  <c r="J1619" i="2"/>
  <c r="J1606" i="2"/>
  <c r="J1600" i="2"/>
  <c r="J1592" i="2"/>
  <c r="J1584" i="2"/>
  <c r="J1576" i="2"/>
  <c r="J1568" i="2"/>
  <c r="J1560" i="2"/>
  <c r="J1552" i="2"/>
  <c r="J1544" i="2"/>
  <c r="J1536" i="2"/>
  <c r="J1528" i="2"/>
  <c r="J1520" i="2"/>
  <c r="J1512" i="2"/>
  <c r="J1504" i="2"/>
  <c r="J1496" i="2"/>
  <c r="J1488" i="2"/>
  <c r="J1480" i="2"/>
  <c r="J1472" i="2"/>
  <c r="J1464" i="2"/>
  <c r="J1456" i="2"/>
  <c r="J1433" i="2"/>
  <c r="J1424" i="2"/>
  <c r="J1401" i="2"/>
  <c r="J1392" i="2"/>
  <c r="J1369" i="2"/>
  <c r="J1360" i="2"/>
  <c r="J1337" i="2"/>
  <c r="J1328" i="2"/>
  <c r="J1305" i="2"/>
  <c r="J1273" i="2"/>
  <c r="J1240" i="2"/>
  <c r="J1191" i="2"/>
  <c r="J986" i="2"/>
  <c r="J1794" i="2"/>
  <c r="J1778" i="2"/>
  <c r="J1762" i="2"/>
  <c r="J1746" i="2"/>
  <c r="J1730" i="2"/>
  <c r="J1714" i="2"/>
  <c r="J1698" i="2"/>
  <c r="J1682" i="2"/>
  <c r="J1666" i="2"/>
  <c r="J1650" i="2"/>
  <c r="J1644" i="2"/>
  <c r="J1637" i="2"/>
  <c r="J1631" i="2"/>
  <c r="J1618" i="2"/>
  <c r="J1612" i="2"/>
  <c r="J1605" i="2"/>
  <c r="J1599" i="2"/>
  <c r="J1591" i="2"/>
  <c r="J1583" i="2"/>
  <c r="J1575" i="2"/>
  <c r="J1567" i="2"/>
  <c r="J1559" i="2"/>
  <c r="J1551" i="2"/>
  <c r="J1543" i="2"/>
  <c r="J1535" i="2"/>
  <c r="J1527" i="2"/>
  <c r="J1519" i="2"/>
  <c r="J1511" i="2"/>
  <c r="J1503" i="2"/>
  <c r="J1495" i="2"/>
  <c r="J1487" i="2"/>
  <c r="J1479" i="2"/>
  <c r="J1471" i="2"/>
  <c r="J1463" i="2"/>
  <c r="J1453" i="2"/>
  <c r="J1444" i="2"/>
  <c r="J1421" i="2"/>
  <c r="J1412" i="2"/>
  <c r="J1389" i="2"/>
  <c r="J1380" i="2"/>
  <c r="J1357" i="2"/>
  <c r="J1348" i="2"/>
  <c r="J1325" i="2"/>
  <c r="J1301" i="2"/>
  <c r="J1269" i="2"/>
  <c r="J1235" i="2"/>
  <c r="J1184" i="2"/>
  <c r="J1133" i="2"/>
  <c r="J1064" i="2"/>
  <c r="J967" i="2"/>
  <c r="J1972" i="2"/>
  <c r="J1968" i="2"/>
  <c r="J1964" i="2"/>
  <c r="J1960" i="2"/>
  <c r="J1956" i="2"/>
  <c r="J1952" i="2"/>
  <c r="J1948" i="2"/>
  <c r="J1944" i="2"/>
  <c r="J1940" i="2"/>
  <c r="J1936" i="2"/>
  <c r="J1932" i="2"/>
  <c r="J1928" i="2"/>
  <c r="J1924" i="2"/>
  <c r="J1920" i="2"/>
  <c r="J1916" i="2"/>
  <c r="J1912" i="2"/>
  <c r="J1908" i="2"/>
  <c r="J1904" i="2"/>
  <c r="J1900" i="2"/>
  <c r="J1896" i="2"/>
  <c r="J1892" i="2"/>
  <c r="J1888" i="2"/>
  <c r="J1884" i="2"/>
  <c r="J1880" i="2"/>
  <c r="J1876" i="2"/>
  <c r="J1872" i="2"/>
  <c r="J1868" i="2"/>
  <c r="J1864" i="2"/>
  <c r="J1860" i="2"/>
  <c r="J1856" i="2"/>
  <c r="J1852" i="2"/>
  <c r="J1848" i="2"/>
  <c r="J1844" i="2"/>
  <c r="J1840" i="2"/>
  <c r="J1836" i="2"/>
  <c r="J1832" i="2"/>
  <c r="J1828" i="2"/>
  <c r="J1824" i="2"/>
  <c r="J1820" i="2"/>
  <c r="J1816" i="2"/>
  <c r="J1812" i="2"/>
  <c r="J1808" i="2"/>
  <c r="J1804" i="2"/>
  <c r="J1799" i="2"/>
  <c r="J1793" i="2"/>
  <c r="J1788" i="2"/>
  <c r="J1783" i="2"/>
  <c r="J1777" i="2"/>
  <c r="J1772" i="2"/>
  <c r="J1767" i="2"/>
  <c r="J1761" i="2"/>
  <c r="J1756" i="2"/>
  <c r="J1751" i="2"/>
  <c r="J1745" i="2"/>
  <c r="J1740" i="2"/>
  <c r="J1735" i="2"/>
  <c r="J1729" i="2"/>
  <c r="J1724" i="2"/>
  <c r="J1719" i="2"/>
  <c r="J1713" i="2"/>
  <c r="J1708" i="2"/>
  <c r="J1703" i="2"/>
  <c r="J1697" i="2"/>
  <c r="J1692" i="2"/>
  <c r="J1687" i="2"/>
  <c r="J1681" i="2"/>
  <c r="J1676" i="2"/>
  <c r="J1671" i="2"/>
  <c r="J1665" i="2"/>
  <c r="J1660" i="2"/>
  <c r="J1655" i="2"/>
  <c r="J1649" i="2"/>
  <c r="J1643" i="2"/>
  <c r="J1630" i="2"/>
  <c r="J1624" i="2"/>
  <c r="J1617" i="2"/>
  <c r="J1611" i="2"/>
  <c r="J1597" i="2"/>
  <c r="J1589" i="2"/>
  <c r="J1581" i="2"/>
  <c r="J1573" i="2"/>
  <c r="J1565" i="2"/>
  <c r="J1557" i="2"/>
  <c r="J1549" i="2"/>
  <c r="J1541" i="2"/>
  <c r="J1533" i="2"/>
  <c r="J1525" i="2"/>
  <c r="J1517" i="2"/>
  <c r="J1509" i="2"/>
  <c r="J1501" i="2"/>
  <c r="J1493" i="2"/>
  <c r="J1485" i="2"/>
  <c r="J1477" i="2"/>
  <c r="J1469" i="2"/>
  <c r="J1461" i="2"/>
  <c r="J1441" i="2"/>
  <c r="J1432" i="2"/>
  <c r="J1409" i="2"/>
  <c r="J1400" i="2"/>
  <c r="J1377" i="2"/>
  <c r="J1368" i="2"/>
  <c r="J1345" i="2"/>
  <c r="J1336" i="2"/>
  <c r="J1297" i="2"/>
  <c r="J1265" i="2"/>
  <c r="J1229" i="2"/>
  <c r="J1178" i="2"/>
  <c r="J1127" i="2"/>
  <c r="J1055" i="2"/>
  <c r="J923" i="2"/>
  <c r="J1798" i="2"/>
  <c r="J1782" i="2"/>
  <c r="J1766" i="2"/>
  <c r="J1750" i="2"/>
  <c r="J1734" i="2"/>
  <c r="J1718" i="2"/>
  <c r="J1702" i="2"/>
  <c r="J1686" i="2"/>
  <c r="J1670" i="2"/>
  <c r="J1654" i="2"/>
  <c r="J1642" i="2"/>
  <c r="J1636" i="2"/>
  <c r="J1629" i="2"/>
  <c r="J1623" i="2"/>
  <c r="J1610" i="2"/>
  <c r="J1604" i="2"/>
  <c r="J1452" i="2"/>
  <c r="J1429" i="2"/>
  <c r="J1420" i="2"/>
  <c r="J1397" i="2"/>
  <c r="J1388" i="2"/>
  <c r="J1365" i="2"/>
  <c r="J1356" i="2"/>
  <c r="J1333" i="2"/>
  <c r="J1324" i="2"/>
  <c r="J1293" i="2"/>
  <c r="J1261" i="2"/>
  <c r="J1223" i="2"/>
  <c r="J1119" i="2"/>
  <c r="J1911" i="2"/>
  <c r="J1907" i="2"/>
  <c r="J1903" i="2"/>
  <c r="J1899" i="2"/>
  <c r="J1895" i="2"/>
  <c r="J1891" i="2"/>
  <c r="J1887" i="2"/>
  <c r="J1883" i="2"/>
  <c r="J1879" i="2"/>
  <c r="J1875" i="2"/>
  <c r="J1871" i="2"/>
  <c r="J1867" i="2"/>
  <c r="J1863" i="2"/>
  <c r="J1859" i="2"/>
  <c r="J1855" i="2"/>
  <c r="J1851" i="2"/>
  <c r="J1847" i="2"/>
  <c r="J1843" i="2"/>
  <c r="J1839" i="2"/>
  <c r="J1835" i="2"/>
  <c r="J1831" i="2"/>
  <c r="J1827" i="2"/>
  <c r="J1823" i="2"/>
  <c r="J1819" i="2"/>
  <c r="J1815" i="2"/>
  <c r="J1811" i="2"/>
  <c r="J1807" i="2"/>
  <c r="J1803" i="2"/>
  <c r="J1797" i="2"/>
  <c r="J1792" i="2"/>
  <c r="J1787" i="2"/>
  <c r="J1781" i="2"/>
  <c r="J1776" i="2"/>
  <c r="J1771" i="2"/>
  <c r="J1765" i="2"/>
  <c r="J1760" i="2"/>
  <c r="J1755" i="2"/>
  <c r="J1749" i="2"/>
  <c r="J1744" i="2"/>
  <c r="J1739" i="2"/>
  <c r="J1733" i="2"/>
  <c r="J1728" i="2"/>
  <c r="J1723" i="2"/>
  <c r="J1717" i="2"/>
  <c r="J1712" i="2"/>
  <c r="J1707" i="2"/>
  <c r="J1701" i="2"/>
  <c r="J1696" i="2"/>
  <c r="J1691" i="2"/>
  <c r="J1685" i="2"/>
  <c r="J1680" i="2"/>
  <c r="J1675" i="2"/>
  <c r="J1669" i="2"/>
  <c r="J1664" i="2"/>
  <c r="J1659" i="2"/>
  <c r="J1653" i="2"/>
  <c r="J1648" i="2"/>
  <c r="J1641" i="2"/>
  <c r="J1635" i="2"/>
  <c r="J1622" i="2"/>
  <c r="J1616" i="2"/>
  <c r="J1609" i="2"/>
  <c r="J1603" i="2"/>
  <c r="J1596" i="2"/>
  <c r="J1588" i="2"/>
  <c r="J1580" i="2"/>
  <c r="J1572" i="2"/>
  <c r="J1564" i="2"/>
  <c r="J1556" i="2"/>
  <c r="J1548" i="2"/>
  <c r="J1540" i="2"/>
  <c r="J1532" i="2"/>
  <c r="J1524" i="2"/>
  <c r="J1516" i="2"/>
  <c r="J1508" i="2"/>
  <c r="J1500" i="2"/>
  <c r="J1492" i="2"/>
  <c r="J1484" i="2"/>
  <c r="J1476" i="2"/>
  <c r="J1468" i="2"/>
  <c r="J1460" i="2"/>
  <c r="J1449" i="2"/>
  <c r="J1440" i="2"/>
  <c r="J1417" i="2"/>
  <c r="J1408" i="2"/>
  <c r="J1385" i="2"/>
  <c r="J1376" i="2"/>
  <c r="J1353" i="2"/>
  <c r="J1344" i="2"/>
  <c r="J1321" i="2"/>
  <c r="J1289" i="2"/>
  <c r="J1257" i="2"/>
  <c r="J1216" i="2"/>
  <c r="J1165" i="2"/>
  <c r="J1111" i="2"/>
  <c r="J1032" i="2"/>
  <c r="J789" i="2"/>
  <c r="J1228" i="2"/>
  <c r="J1222" i="2"/>
  <c r="J1209" i="2"/>
  <c r="J1203" i="2"/>
  <c r="J1196" i="2"/>
  <c r="J1190" i="2"/>
  <c r="J1177" i="2"/>
  <c r="J1171" i="2"/>
  <c r="J1164" i="2"/>
  <c r="J1158" i="2"/>
  <c r="J1145" i="2"/>
  <c r="J1139" i="2"/>
  <c r="J1132" i="2"/>
  <c r="J1125" i="2"/>
  <c r="J1117" i="2"/>
  <c r="J1109" i="2"/>
  <c r="J1101" i="2"/>
  <c r="J1093" i="2"/>
  <c r="J1084" i="2"/>
  <c r="J1075" i="2"/>
  <c r="J1052" i="2"/>
  <c r="J1043" i="2"/>
  <c r="J1020" i="2"/>
  <c r="J1011" i="2"/>
  <c r="J999" i="2"/>
  <c r="J981" i="2"/>
  <c r="J917" i="2"/>
  <c r="J778" i="2"/>
  <c r="J1320" i="2"/>
  <c r="J1316" i="2"/>
  <c r="J1312" i="2"/>
  <c r="J1308" i="2"/>
  <c r="J1304" i="2"/>
  <c r="J1300" i="2"/>
  <c r="J1296" i="2"/>
  <c r="J1292" i="2"/>
  <c r="J1288" i="2"/>
  <c r="J1284" i="2"/>
  <c r="J1280" i="2"/>
  <c r="J1276" i="2"/>
  <c r="J1272" i="2"/>
  <c r="J1268" i="2"/>
  <c r="J1264" i="2"/>
  <c r="J1260" i="2"/>
  <c r="J1256" i="2"/>
  <c r="J1252" i="2"/>
  <c r="J1248" i="2"/>
  <c r="J1244" i="2"/>
  <c r="J1239" i="2"/>
  <c r="J1234" i="2"/>
  <c r="J1221" i="2"/>
  <c r="J1215" i="2"/>
  <c r="J1208" i="2"/>
  <c r="J1202" i="2"/>
  <c r="J1189" i="2"/>
  <c r="J1183" i="2"/>
  <c r="J1176" i="2"/>
  <c r="J1170" i="2"/>
  <c r="J1157" i="2"/>
  <c r="J1151" i="2"/>
  <c r="J1144" i="2"/>
  <c r="J1138" i="2"/>
  <c r="J1124" i="2"/>
  <c r="J1116" i="2"/>
  <c r="J1108" i="2"/>
  <c r="J1100" i="2"/>
  <c r="J1092" i="2"/>
  <c r="J1072" i="2"/>
  <c r="J1063" i="2"/>
  <c r="J1040" i="2"/>
  <c r="J1031" i="2"/>
  <c r="J1008" i="2"/>
  <c r="J980" i="2"/>
  <c r="J962" i="2"/>
  <c r="J853" i="2"/>
  <c r="J1233" i="2"/>
  <c r="J1227" i="2"/>
  <c r="J1220" i="2"/>
  <c r="J1214" i="2"/>
  <c r="J1201" i="2"/>
  <c r="J1195" i="2"/>
  <c r="J1188" i="2"/>
  <c r="J1182" i="2"/>
  <c r="J1169" i="2"/>
  <c r="J1163" i="2"/>
  <c r="J1156" i="2"/>
  <c r="J1150" i="2"/>
  <c r="J1137" i="2"/>
  <c r="J1131" i="2"/>
  <c r="J1083" i="2"/>
  <c r="J1060" i="2"/>
  <c r="J1051" i="2"/>
  <c r="J1028" i="2"/>
  <c r="J1019" i="2"/>
  <c r="J994" i="2"/>
  <c r="J979" i="2"/>
  <c r="J955" i="2"/>
  <c r="J904" i="2"/>
  <c r="J842" i="2"/>
  <c r="J757" i="2"/>
  <c r="J1455" i="2"/>
  <c r="J1451" i="2"/>
  <c r="J1447" i="2"/>
  <c r="J1443" i="2"/>
  <c r="J1439" i="2"/>
  <c r="J1435" i="2"/>
  <c r="J1431" i="2"/>
  <c r="J1427" i="2"/>
  <c r="J1423" i="2"/>
  <c r="J1419" i="2"/>
  <c r="J1415" i="2"/>
  <c r="J1411" i="2"/>
  <c r="J1407" i="2"/>
  <c r="J1403" i="2"/>
  <c r="J1399" i="2"/>
  <c r="J1395" i="2"/>
  <c r="J1391" i="2"/>
  <c r="J1387" i="2"/>
  <c r="J1383" i="2"/>
  <c r="J1379" i="2"/>
  <c r="J1375" i="2"/>
  <c r="J1371" i="2"/>
  <c r="J1367" i="2"/>
  <c r="J1363" i="2"/>
  <c r="J1359" i="2"/>
  <c r="J1355" i="2"/>
  <c r="J1351" i="2"/>
  <c r="J1347" i="2"/>
  <c r="J1343" i="2"/>
  <c r="J1339" i="2"/>
  <c r="J1335" i="2"/>
  <c r="J1331" i="2"/>
  <c r="J1327" i="2"/>
  <c r="J1323" i="2"/>
  <c r="J1319" i="2"/>
  <c r="J1315" i="2"/>
  <c r="J1311" i="2"/>
  <c r="J1307" i="2"/>
  <c r="J1303" i="2"/>
  <c r="J1299" i="2"/>
  <c r="J1295" i="2"/>
  <c r="J1291" i="2"/>
  <c r="J1287" i="2"/>
  <c r="J1283" i="2"/>
  <c r="J1279" i="2"/>
  <c r="J1275" i="2"/>
  <c r="J1271" i="2"/>
  <c r="J1267" i="2"/>
  <c r="J1263" i="2"/>
  <c r="J1259" i="2"/>
  <c r="J1255" i="2"/>
  <c r="J1251" i="2"/>
  <c r="J1247" i="2"/>
  <c r="J1243" i="2"/>
  <c r="J1238" i="2"/>
  <c r="J1232" i="2"/>
  <c r="J1226" i="2"/>
  <c r="J1213" i="2"/>
  <c r="J1207" i="2"/>
  <c r="J1200" i="2"/>
  <c r="J1194" i="2"/>
  <c r="J1181" i="2"/>
  <c r="J1175" i="2"/>
  <c r="J1168" i="2"/>
  <c r="J1162" i="2"/>
  <c r="J1149" i="2"/>
  <c r="J1143" i="2"/>
  <c r="J1136" i="2"/>
  <c r="J1130" i="2"/>
  <c r="J1123" i="2"/>
  <c r="J1115" i="2"/>
  <c r="J1107" i="2"/>
  <c r="J1099" i="2"/>
  <c r="J1091" i="2"/>
  <c r="J1080" i="2"/>
  <c r="J1071" i="2"/>
  <c r="J1048" i="2"/>
  <c r="J1039" i="2"/>
  <c r="J1016" i="2"/>
  <c r="J1007" i="2"/>
  <c r="J993" i="2"/>
  <c r="J949" i="2"/>
  <c r="J898" i="2"/>
  <c r="J745" i="2"/>
  <c r="J1237" i="2"/>
  <c r="J1225" i="2"/>
  <c r="J1219" i="2"/>
  <c r="J1212" i="2"/>
  <c r="J1206" i="2"/>
  <c r="J1193" i="2"/>
  <c r="J1187" i="2"/>
  <c r="J1180" i="2"/>
  <c r="J1174" i="2"/>
  <c r="J1161" i="2"/>
  <c r="J1155" i="2"/>
  <c r="J1148" i="2"/>
  <c r="J1142" i="2"/>
  <c r="J1129" i="2"/>
  <c r="J1121" i="2"/>
  <c r="J1113" i="2"/>
  <c r="J1105" i="2"/>
  <c r="J1097" i="2"/>
  <c r="J1089" i="2"/>
  <c r="J1068" i="2"/>
  <c r="J1059" i="2"/>
  <c r="J1036" i="2"/>
  <c r="J1027" i="2"/>
  <c r="J1004" i="2"/>
  <c r="J992" i="2"/>
  <c r="J974" i="2"/>
  <c r="J891" i="2"/>
  <c r="J821" i="2"/>
  <c r="J730" i="2"/>
  <c r="J1598" i="2"/>
  <c r="J1594" i="2"/>
  <c r="J1590" i="2"/>
  <c r="J1586" i="2"/>
  <c r="J1582" i="2"/>
  <c r="J1578" i="2"/>
  <c r="J1574" i="2"/>
  <c r="J1570" i="2"/>
  <c r="J1566" i="2"/>
  <c r="J1562" i="2"/>
  <c r="J1558" i="2"/>
  <c r="J1554" i="2"/>
  <c r="J1550" i="2"/>
  <c r="J1546" i="2"/>
  <c r="J1542" i="2"/>
  <c r="J1538" i="2"/>
  <c r="J1534" i="2"/>
  <c r="J1530" i="2"/>
  <c r="J1526" i="2"/>
  <c r="J1522" i="2"/>
  <c r="J1518" i="2"/>
  <c r="J1514" i="2"/>
  <c r="J1510" i="2"/>
  <c r="J1506" i="2"/>
  <c r="J1502" i="2"/>
  <c r="J1498" i="2"/>
  <c r="J1494" i="2"/>
  <c r="J1490" i="2"/>
  <c r="J1486" i="2"/>
  <c r="J1482" i="2"/>
  <c r="J1478" i="2"/>
  <c r="J1474" i="2"/>
  <c r="J1470" i="2"/>
  <c r="J1466" i="2"/>
  <c r="J1462" i="2"/>
  <c r="J1458" i="2"/>
  <c r="J1454" i="2"/>
  <c r="J1450" i="2"/>
  <c r="J1446" i="2"/>
  <c r="J1442" i="2"/>
  <c r="J1438" i="2"/>
  <c r="J1434" i="2"/>
  <c r="J1430" i="2"/>
  <c r="J1426" i="2"/>
  <c r="J1422" i="2"/>
  <c r="J1418" i="2"/>
  <c r="J1414" i="2"/>
  <c r="J1410" i="2"/>
  <c r="J1406" i="2"/>
  <c r="J1402" i="2"/>
  <c r="J1398" i="2"/>
  <c r="J1394" i="2"/>
  <c r="J1390" i="2"/>
  <c r="J1386" i="2"/>
  <c r="J1382" i="2"/>
  <c r="J1378" i="2"/>
  <c r="J1374" i="2"/>
  <c r="J1370" i="2"/>
  <c r="J1366" i="2"/>
  <c r="J1362" i="2"/>
  <c r="J1358" i="2"/>
  <c r="J1354" i="2"/>
  <c r="J1350" i="2"/>
  <c r="J1346" i="2"/>
  <c r="J1342" i="2"/>
  <c r="J1338" i="2"/>
  <c r="J1334" i="2"/>
  <c r="J1330" i="2"/>
  <c r="J1326" i="2"/>
  <c r="J1322" i="2"/>
  <c r="J1318" i="2"/>
  <c r="J1314" i="2"/>
  <c r="J1310" i="2"/>
  <c r="J1306" i="2"/>
  <c r="J1302" i="2"/>
  <c r="J1298" i="2"/>
  <c r="J1294" i="2"/>
  <c r="J1290" i="2"/>
  <c r="J1286" i="2"/>
  <c r="J1282" i="2"/>
  <c r="J1278" i="2"/>
  <c r="J1274" i="2"/>
  <c r="J1270" i="2"/>
  <c r="J1266" i="2"/>
  <c r="J1262" i="2"/>
  <c r="J1258" i="2"/>
  <c r="J1254" i="2"/>
  <c r="J1250" i="2"/>
  <c r="J1246" i="2"/>
  <c r="J1242" i="2"/>
  <c r="J1236" i="2"/>
  <c r="J1231" i="2"/>
  <c r="J1224" i="2"/>
  <c r="J1218" i="2"/>
  <c r="J1205" i="2"/>
  <c r="J1199" i="2"/>
  <c r="J1192" i="2"/>
  <c r="J1186" i="2"/>
  <c r="J1173" i="2"/>
  <c r="J1167" i="2"/>
  <c r="J1160" i="2"/>
  <c r="J1154" i="2"/>
  <c r="J1141" i="2"/>
  <c r="J1135" i="2"/>
  <c r="J1128" i="2"/>
  <c r="J1120" i="2"/>
  <c r="J1112" i="2"/>
  <c r="J1104" i="2"/>
  <c r="J1096" i="2"/>
  <c r="J1088" i="2"/>
  <c r="J1079" i="2"/>
  <c r="J1056" i="2"/>
  <c r="J1047" i="2"/>
  <c r="J1024" i="2"/>
  <c r="J1015" i="2"/>
  <c r="J987" i="2"/>
  <c r="J973" i="2"/>
  <c r="J936" i="2"/>
  <c r="J885" i="2"/>
  <c r="J810" i="2"/>
  <c r="J663" i="2"/>
  <c r="J1241" i="2"/>
  <c r="J1230" i="2"/>
  <c r="J1217" i="2"/>
  <c r="J1211" i="2"/>
  <c r="J1204" i="2"/>
  <c r="J1198" i="2"/>
  <c r="J1185" i="2"/>
  <c r="J1179" i="2"/>
  <c r="J1172" i="2"/>
  <c r="J1166" i="2"/>
  <c r="J1153" i="2"/>
  <c r="J1147" i="2"/>
  <c r="J1140" i="2"/>
  <c r="J1134" i="2"/>
  <c r="J1076" i="2"/>
  <c r="J1067" i="2"/>
  <c r="J1044" i="2"/>
  <c r="J1035" i="2"/>
  <c r="J1012" i="2"/>
  <c r="J1003" i="2"/>
  <c r="J968" i="2"/>
  <c r="J930" i="2"/>
  <c r="J961" i="2"/>
  <c r="J948" i="2"/>
  <c r="J942" i="2"/>
  <c r="J935" i="2"/>
  <c r="J929" i="2"/>
  <c r="J916" i="2"/>
  <c r="J910" i="2"/>
  <c r="J903" i="2"/>
  <c r="J897" i="2"/>
  <c r="J884" i="2"/>
  <c r="J878" i="2"/>
  <c r="J870" i="2"/>
  <c r="J862" i="2"/>
  <c r="J841" i="2"/>
  <c r="J830" i="2"/>
  <c r="J809" i="2"/>
  <c r="J798" i="2"/>
  <c r="J777" i="2"/>
  <c r="J766" i="2"/>
  <c r="J729" i="2"/>
  <c r="J960" i="2"/>
  <c r="J954" i="2"/>
  <c r="J947" i="2"/>
  <c r="J941" i="2"/>
  <c r="J928" i="2"/>
  <c r="J922" i="2"/>
  <c r="J915" i="2"/>
  <c r="J909" i="2"/>
  <c r="J896" i="2"/>
  <c r="J890" i="2"/>
  <c r="J883" i="2"/>
  <c r="J877" i="2"/>
  <c r="J869" i="2"/>
  <c r="J861" i="2"/>
  <c r="J850" i="2"/>
  <c r="J829" i="2"/>
  <c r="J818" i="2"/>
  <c r="J797" i="2"/>
  <c r="J786" i="2"/>
  <c r="J765" i="2"/>
  <c r="J754" i="2"/>
  <c r="J740" i="2"/>
  <c r="J998" i="2"/>
  <c r="J991" i="2"/>
  <c r="J985" i="2"/>
  <c r="J972" i="2"/>
  <c r="J966" i="2"/>
  <c r="J959" i="2"/>
  <c r="J953" i="2"/>
  <c r="J940" i="2"/>
  <c r="J934" i="2"/>
  <c r="J927" i="2"/>
  <c r="J921" i="2"/>
  <c r="J908" i="2"/>
  <c r="J902" i="2"/>
  <c r="J895" i="2"/>
  <c r="J889" i="2"/>
  <c r="J875" i="2"/>
  <c r="J867" i="2"/>
  <c r="J849" i="2"/>
  <c r="J838" i="2"/>
  <c r="J817" i="2"/>
  <c r="J806" i="2"/>
  <c r="J785" i="2"/>
  <c r="J774" i="2"/>
  <c r="J753" i="2"/>
  <c r="J631" i="2"/>
  <c r="J496" i="2"/>
  <c r="J1126" i="2"/>
  <c r="J1122" i="2"/>
  <c r="J1118" i="2"/>
  <c r="J1114" i="2"/>
  <c r="J1110" i="2"/>
  <c r="J1106" i="2"/>
  <c r="J1102" i="2"/>
  <c r="J1098" i="2"/>
  <c r="J1094" i="2"/>
  <c r="J1090" i="2"/>
  <c r="J1086" i="2"/>
  <c r="J1082" i="2"/>
  <c r="J1078" i="2"/>
  <c r="J1074" i="2"/>
  <c r="J1070" i="2"/>
  <c r="J1066" i="2"/>
  <c r="J1062" i="2"/>
  <c r="J1058" i="2"/>
  <c r="J1054" i="2"/>
  <c r="J1050" i="2"/>
  <c r="J1046" i="2"/>
  <c r="J1042" i="2"/>
  <c r="J1038" i="2"/>
  <c r="J1034" i="2"/>
  <c r="J1030" i="2"/>
  <c r="J1026" i="2"/>
  <c r="J1022" i="2"/>
  <c r="J1018" i="2"/>
  <c r="J1014" i="2"/>
  <c r="J1010" i="2"/>
  <c r="J1006" i="2"/>
  <c r="J1002" i="2"/>
  <c r="J997" i="2"/>
  <c r="J984" i="2"/>
  <c r="J978" i="2"/>
  <c r="J971" i="2"/>
  <c r="J965" i="2"/>
  <c r="J952" i="2"/>
  <c r="J946" i="2"/>
  <c r="J939" i="2"/>
  <c r="J933" i="2"/>
  <c r="J920" i="2"/>
  <c r="J914" i="2"/>
  <c r="J907" i="2"/>
  <c r="J901" i="2"/>
  <c r="J888" i="2"/>
  <c r="J882" i="2"/>
  <c r="J858" i="2"/>
  <c r="J837" i="2"/>
  <c r="J826" i="2"/>
  <c r="J805" i="2"/>
  <c r="J794" i="2"/>
  <c r="J773" i="2"/>
  <c r="J762" i="2"/>
  <c r="J996" i="2"/>
  <c r="J990" i="2"/>
  <c r="J983" i="2"/>
  <c r="J977" i="2"/>
  <c r="J964" i="2"/>
  <c r="J958" i="2"/>
  <c r="J951" i="2"/>
  <c r="J945" i="2"/>
  <c r="J932" i="2"/>
  <c r="J926" i="2"/>
  <c r="J919" i="2"/>
  <c r="J913" i="2"/>
  <c r="J900" i="2"/>
  <c r="J894" i="2"/>
  <c r="J887" i="2"/>
  <c r="J881" i="2"/>
  <c r="J874" i="2"/>
  <c r="J866" i="2"/>
  <c r="J857" i="2"/>
  <c r="J846" i="2"/>
  <c r="J825" i="2"/>
  <c r="J814" i="2"/>
  <c r="J793" i="2"/>
  <c r="J782" i="2"/>
  <c r="J761" i="2"/>
  <c r="J750" i="2"/>
  <c r="J735" i="2"/>
  <c r="J695" i="2"/>
  <c r="J610" i="2"/>
  <c r="J404" i="2"/>
  <c r="J1085" i="2"/>
  <c r="J1081" i="2"/>
  <c r="J1077" i="2"/>
  <c r="J1073" i="2"/>
  <c r="J1069" i="2"/>
  <c r="J1065" i="2"/>
  <c r="J1061" i="2"/>
  <c r="J1057" i="2"/>
  <c r="J1053" i="2"/>
  <c r="J1049" i="2"/>
  <c r="J1045" i="2"/>
  <c r="J1041" i="2"/>
  <c r="J1037" i="2"/>
  <c r="J1033" i="2"/>
  <c r="J1029" i="2"/>
  <c r="J1025" i="2"/>
  <c r="J1021" i="2"/>
  <c r="J1017" i="2"/>
  <c r="J1013" i="2"/>
  <c r="J1009" i="2"/>
  <c r="J1005" i="2"/>
  <c r="J1001" i="2"/>
  <c r="J995" i="2"/>
  <c r="J989" i="2"/>
  <c r="J976" i="2"/>
  <c r="J970" i="2"/>
  <c r="J963" i="2"/>
  <c r="J957" i="2"/>
  <c r="J944" i="2"/>
  <c r="J938" i="2"/>
  <c r="J931" i="2"/>
  <c r="J925" i="2"/>
  <c r="J912" i="2"/>
  <c r="J906" i="2"/>
  <c r="J899" i="2"/>
  <c r="J893" i="2"/>
  <c r="J880" i="2"/>
  <c r="J873" i="2"/>
  <c r="J865" i="2"/>
  <c r="J845" i="2"/>
  <c r="J834" i="2"/>
  <c r="J813" i="2"/>
  <c r="J802" i="2"/>
  <c r="J781" i="2"/>
  <c r="J770" i="2"/>
  <c r="J749" i="2"/>
  <c r="J597" i="2"/>
  <c r="J1000" i="2"/>
  <c r="J988" i="2"/>
  <c r="J982" i="2"/>
  <c r="J975" i="2"/>
  <c r="J969" i="2"/>
  <c r="J956" i="2"/>
  <c r="J950" i="2"/>
  <c r="J943" i="2"/>
  <c r="J937" i="2"/>
  <c r="J924" i="2"/>
  <c r="J918" i="2"/>
  <c r="J911" i="2"/>
  <c r="J905" i="2"/>
  <c r="J892" i="2"/>
  <c r="J886" i="2"/>
  <c r="J879" i="2"/>
  <c r="J871" i="2"/>
  <c r="J863" i="2"/>
  <c r="J854" i="2"/>
  <c r="J833" i="2"/>
  <c r="J822" i="2"/>
  <c r="J801" i="2"/>
  <c r="J790" i="2"/>
  <c r="J769" i="2"/>
  <c r="J758" i="2"/>
  <c r="J746" i="2"/>
  <c r="J733" i="2"/>
  <c r="J584" i="2"/>
  <c r="J263" i="2"/>
  <c r="J723" i="2"/>
  <c r="J715" i="2"/>
  <c r="J683" i="2"/>
  <c r="J651" i="2"/>
  <c r="J619" i="2"/>
  <c r="J607" i="2"/>
  <c r="J570" i="2"/>
  <c r="J560" i="2"/>
  <c r="J529" i="2"/>
  <c r="J491" i="2"/>
  <c r="J447" i="2"/>
  <c r="J336" i="2"/>
  <c r="J250" i="2"/>
  <c r="J744" i="2"/>
  <c r="J739" i="2"/>
  <c r="J734" i="2"/>
  <c r="J728" i="2"/>
  <c r="J703" i="2"/>
  <c r="J671" i="2"/>
  <c r="J639" i="2"/>
  <c r="J606" i="2"/>
  <c r="J593" i="2"/>
  <c r="J583" i="2"/>
  <c r="J486" i="2"/>
  <c r="J391" i="2"/>
  <c r="J328" i="2"/>
  <c r="J722" i="2"/>
  <c r="J691" i="2"/>
  <c r="J659" i="2"/>
  <c r="J627" i="2"/>
  <c r="J569" i="2"/>
  <c r="J520" i="2"/>
  <c r="J435" i="2"/>
  <c r="J384" i="2"/>
  <c r="J318" i="2"/>
  <c r="J214" i="2"/>
  <c r="J748" i="2"/>
  <c r="J743" i="2"/>
  <c r="J738" i="2"/>
  <c r="J732" i="2"/>
  <c r="J727" i="2"/>
  <c r="J711" i="2"/>
  <c r="J679" i="2"/>
  <c r="J647" i="2"/>
  <c r="J615" i="2"/>
  <c r="J602" i="2"/>
  <c r="J592" i="2"/>
  <c r="J579" i="2"/>
  <c r="J552" i="2"/>
  <c r="J428" i="2"/>
  <c r="J377" i="2"/>
  <c r="J198" i="2"/>
  <c r="J876" i="2"/>
  <c r="J872" i="2"/>
  <c r="J868" i="2"/>
  <c r="J864" i="2"/>
  <c r="J860" i="2"/>
  <c r="J856" i="2"/>
  <c r="J852" i="2"/>
  <c r="J848" i="2"/>
  <c r="J844" i="2"/>
  <c r="J840" i="2"/>
  <c r="J836" i="2"/>
  <c r="J832" i="2"/>
  <c r="J828" i="2"/>
  <c r="J824" i="2"/>
  <c r="J820" i="2"/>
  <c r="J816" i="2"/>
  <c r="J812" i="2"/>
  <c r="J808" i="2"/>
  <c r="J804" i="2"/>
  <c r="J800" i="2"/>
  <c r="J796" i="2"/>
  <c r="J792" i="2"/>
  <c r="J788" i="2"/>
  <c r="J784" i="2"/>
  <c r="J780" i="2"/>
  <c r="J776" i="2"/>
  <c r="J772" i="2"/>
  <c r="J768" i="2"/>
  <c r="J764" i="2"/>
  <c r="J760" i="2"/>
  <c r="J756" i="2"/>
  <c r="J752" i="2"/>
  <c r="J737" i="2"/>
  <c r="J719" i="2"/>
  <c r="J699" i="2"/>
  <c r="J667" i="2"/>
  <c r="J635" i="2"/>
  <c r="J578" i="2"/>
  <c r="J565" i="2"/>
  <c r="J511" i="2"/>
  <c r="J470" i="2"/>
  <c r="J368" i="2"/>
  <c r="J299" i="2"/>
  <c r="J747" i="2"/>
  <c r="J742" i="2"/>
  <c r="J736" i="2"/>
  <c r="J731" i="2"/>
  <c r="J726" i="2"/>
  <c r="J687" i="2"/>
  <c r="J655" i="2"/>
  <c r="J623" i="2"/>
  <c r="J601" i="2"/>
  <c r="J588" i="2"/>
  <c r="J575" i="2"/>
  <c r="J543" i="2"/>
  <c r="J506" i="2"/>
  <c r="J416" i="2"/>
  <c r="J360" i="2"/>
  <c r="J287" i="2"/>
  <c r="J158" i="2"/>
  <c r="J859" i="2"/>
  <c r="J855" i="2"/>
  <c r="J851" i="2"/>
  <c r="J847" i="2"/>
  <c r="J843" i="2"/>
  <c r="J839" i="2"/>
  <c r="J835" i="2"/>
  <c r="J831" i="2"/>
  <c r="J827" i="2"/>
  <c r="J823" i="2"/>
  <c r="J819" i="2"/>
  <c r="J815" i="2"/>
  <c r="J811" i="2"/>
  <c r="J807" i="2"/>
  <c r="J803" i="2"/>
  <c r="J799" i="2"/>
  <c r="J795" i="2"/>
  <c r="J791" i="2"/>
  <c r="J787" i="2"/>
  <c r="J783" i="2"/>
  <c r="J779" i="2"/>
  <c r="J775" i="2"/>
  <c r="J771" i="2"/>
  <c r="J767" i="2"/>
  <c r="J763" i="2"/>
  <c r="J759" i="2"/>
  <c r="J755" i="2"/>
  <c r="J751" i="2"/>
  <c r="J741" i="2"/>
  <c r="J724" i="2"/>
  <c r="J718" i="2"/>
  <c r="J707" i="2"/>
  <c r="J675" i="2"/>
  <c r="J643" i="2"/>
  <c r="J611" i="2"/>
  <c r="J574" i="2"/>
  <c r="J561" i="2"/>
  <c r="J538" i="2"/>
  <c r="J501" i="2"/>
  <c r="J459" i="2"/>
  <c r="J352" i="2"/>
  <c r="J556" i="2"/>
  <c r="J547" i="2"/>
  <c r="J542" i="2"/>
  <c r="J533" i="2"/>
  <c r="J524" i="2"/>
  <c r="J515" i="2"/>
  <c r="J510" i="2"/>
  <c r="J485" i="2"/>
  <c r="J480" i="2"/>
  <c r="J469" i="2"/>
  <c r="J464" i="2"/>
  <c r="J452" i="2"/>
  <c r="J440" i="2"/>
  <c r="J434" i="2"/>
  <c r="J422" i="2"/>
  <c r="J410" i="2"/>
  <c r="J398" i="2"/>
  <c r="J383" i="2"/>
  <c r="J375" i="2"/>
  <c r="J366" i="2"/>
  <c r="J359" i="2"/>
  <c r="J351" i="2"/>
  <c r="J342" i="2"/>
  <c r="J334" i="2"/>
  <c r="J327" i="2"/>
  <c r="J306" i="2"/>
  <c r="J274" i="2"/>
  <c r="J232" i="2"/>
  <c r="J193" i="2"/>
  <c r="J177" i="2"/>
  <c r="J124" i="2"/>
  <c r="J551" i="2"/>
  <c r="J546" i="2"/>
  <c r="J537" i="2"/>
  <c r="J528" i="2"/>
  <c r="J519" i="2"/>
  <c r="J514" i="2"/>
  <c r="J505" i="2"/>
  <c r="J500" i="2"/>
  <c r="J495" i="2"/>
  <c r="J490" i="2"/>
  <c r="J479" i="2"/>
  <c r="J474" i="2"/>
  <c r="J458" i="2"/>
  <c r="J446" i="2"/>
  <c r="J439" i="2"/>
  <c r="J427" i="2"/>
  <c r="J415" i="2"/>
  <c r="J403" i="2"/>
  <c r="J396" i="2"/>
  <c r="J390" i="2"/>
  <c r="J316" i="2"/>
  <c r="J297" i="2"/>
  <c r="J286" i="2"/>
  <c r="J261" i="2"/>
  <c r="J245" i="2"/>
  <c r="J227" i="2"/>
  <c r="J213" i="2"/>
  <c r="J172" i="2"/>
  <c r="J156" i="2"/>
  <c r="J121" i="2"/>
  <c r="J714" i="2"/>
  <c r="J710" i="2"/>
  <c r="J706" i="2"/>
  <c r="J702" i="2"/>
  <c r="J698" i="2"/>
  <c r="J694" i="2"/>
  <c r="J690" i="2"/>
  <c r="J686" i="2"/>
  <c r="J682" i="2"/>
  <c r="J678" i="2"/>
  <c r="J674" i="2"/>
  <c r="J670" i="2"/>
  <c r="J666" i="2"/>
  <c r="J662" i="2"/>
  <c r="J658" i="2"/>
  <c r="J654" i="2"/>
  <c r="J650" i="2"/>
  <c r="J646" i="2"/>
  <c r="J642" i="2"/>
  <c r="J638" i="2"/>
  <c r="J634" i="2"/>
  <c r="J630" i="2"/>
  <c r="J626" i="2"/>
  <c r="J622" i="2"/>
  <c r="J618" i="2"/>
  <c r="J614" i="2"/>
  <c r="J605" i="2"/>
  <c r="J596" i="2"/>
  <c r="J587" i="2"/>
  <c r="J582" i="2"/>
  <c r="J573" i="2"/>
  <c r="J564" i="2"/>
  <c r="J555" i="2"/>
  <c r="J550" i="2"/>
  <c r="J541" i="2"/>
  <c r="J532" i="2"/>
  <c r="J523" i="2"/>
  <c r="J518" i="2"/>
  <c r="J509" i="2"/>
  <c r="J489" i="2"/>
  <c r="J473" i="2"/>
  <c r="J468" i="2"/>
  <c r="J463" i="2"/>
  <c r="J451" i="2"/>
  <c r="J444" i="2"/>
  <c r="J432" i="2"/>
  <c r="J420" i="2"/>
  <c r="J408" i="2"/>
  <c r="J402" i="2"/>
  <c r="J382" i="2"/>
  <c r="J373" i="2"/>
  <c r="J365" i="2"/>
  <c r="J357" i="2"/>
  <c r="J348" i="2"/>
  <c r="J341" i="2"/>
  <c r="J333" i="2"/>
  <c r="J324" i="2"/>
  <c r="J315" i="2"/>
  <c r="J305" i="2"/>
  <c r="J282" i="2"/>
  <c r="J258" i="2"/>
  <c r="J208" i="2"/>
  <c r="J192" i="2"/>
  <c r="J609" i="2"/>
  <c r="J600" i="2"/>
  <c r="J591" i="2"/>
  <c r="J586" i="2"/>
  <c r="J577" i="2"/>
  <c r="J568" i="2"/>
  <c r="J559" i="2"/>
  <c r="J554" i="2"/>
  <c r="J545" i="2"/>
  <c r="J536" i="2"/>
  <c r="J527" i="2"/>
  <c r="J522" i="2"/>
  <c r="J513" i="2"/>
  <c r="J504" i="2"/>
  <c r="J499" i="2"/>
  <c r="J494" i="2"/>
  <c r="J488" i="2"/>
  <c r="J483" i="2"/>
  <c r="J478" i="2"/>
  <c r="J456" i="2"/>
  <c r="J450" i="2"/>
  <c r="J438" i="2"/>
  <c r="J426" i="2"/>
  <c r="J414" i="2"/>
  <c r="J407" i="2"/>
  <c r="J395" i="2"/>
  <c r="J388" i="2"/>
  <c r="J379" i="2"/>
  <c r="J355" i="2"/>
  <c r="J347" i="2"/>
  <c r="J331" i="2"/>
  <c r="J323" i="2"/>
  <c r="J313" i="2"/>
  <c r="J293" i="2"/>
  <c r="J269" i="2"/>
  <c r="J240" i="2"/>
  <c r="J226" i="2"/>
  <c r="J186" i="2"/>
  <c r="J170" i="2"/>
  <c r="J148" i="2"/>
  <c r="J106" i="2"/>
  <c r="J725" i="2"/>
  <c r="J721" i="2"/>
  <c r="J717" i="2"/>
  <c r="J713" i="2"/>
  <c r="J709" i="2"/>
  <c r="J705" i="2"/>
  <c r="J701" i="2"/>
  <c r="J697" i="2"/>
  <c r="J693" i="2"/>
  <c r="J689" i="2"/>
  <c r="J685" i="2"/>
  <c r="J681" i="2"/>
  <c r="J677" i="2"/>
  <c r="J673" i="2"/>
  <c r="J669" i="2"/>
  <c r="J665" i="2"/>
  <c r="J661" i="2"/>
  <c r="J657" i="2"/>
  <c r="J653" i="2"/>
  <c r="J649" i="2"/>
  <c r="J645" i="2"/>
  <c r="J641" i="2"/>
  <c r="J637" i="2"/>
  <c r="J633" i="2"/>
  <c r="J629" i="2"/>
  <c r="J625" i="2"/>
  <c r="J621" i="2"/>
  <c r="J617" i="2"/>
  <c r="J613" i="2"/>
  <c r="J604" i="2"/>
  <c r="J595" i="2"/>
  <c r="J590" i="2"/>
  <c r="J581" i="2"/>
  <c r="J572" i="2"/>
  <c r="J563" i="2"/>
  <c r="J558" i="2"/>
  <c r="J549" i="2"/>
  <c r="J540" i="2"/>
  <c r="J531" i="2"/>
  <c r="J526" i="2"/>
  <c r="J517" i="2"/>
  <c r="J508" i="2"/>
  <c r="J477" i="2"/>
  <c r="J472" i="2"/>
  <c r="J467" i="2"/>
  <c r="J462" i="2"/>
  <c r="J455" i="2"/>
  <c r="J443" i="2"/>
  <c r="J431" i="2"/>
  <c r="J419" i="2"/>
  <c r="J412" i="2"/>
  <c r="J400" i="2"/>
  <c r="J364" i="2"/>
  <c r="J311" i="2"/>
  <c r="J304" i="2"/>
  <c r="J281" i="2"/>
  <c r="J256" i="2"/>
  <c r="J238" i="2"/>
  <c r="J206" i="2"/>
  <c r="J165" i="2"/>
  <c r="J145" i="2"/>
  <c r="J105" i="2"/>
  <c r="J608" i="2"/>
  <c r="J599" i="2"/>
  <c r="J594" i="2"/>
  <c r="J585" i="2"/>
  <c r="J576" i="2"/>
  <c r="J567" i="2"/>
  <c r="J562" i="2"/>
  <c r="J553" i="2"/>
  <c r="J544" i="2"/>
  <c r="J535" i="2"/>
  <c r="J530" i="2"/>
  <c r="J521" i="2"/>
  <c r="J512" i="2"/>
  <c r="J503" i="2"/>
  <c r="J497" i="2"/>
  <c r="J492" i="2"/>
  <c r="J487" i="2"/>
  <c r="J482" i="2"/>
  <c r="J460" i="2"/>
  <c r="J448" i="2"/>
  <c r="J436" i="2"/>
  <c r="J424" i="2"/>
  <c r="J418" i="2"/>
  <c r="J406" i="2"/>
  <c r="J394" i="2"/>
  <c r="J386" i="2"/>
  <c r="J378" i="2"/>
  <c r="J370" i="2"/>
  <c r="J361" i="2"/>
  <c r="J354" i="2"/>
  <c r="J346" i="2"/>
  <c r="J337" i="2"/>
  <c r="J329" i="2"/>
  <c r="J322" i="2"/>
  <c r="J292" i="2"/>
  <c r="J279" i="2"/>
  <c r="J268" i="2"/>
  <c r="J251" i="2"/>
  <c r="J220" i="2"/>
  <c r="J201" i="2"/>
  <c r="J185" i="2"/>
  <c r="J720" i="2"/>
  <c r="J716" i="2"/>
  <c r="J712" i="2"/>
  <c r="J708" i="2"/>
  <c r="J704" i="2"/>
  <c r="J700" i="2"/>
  <c r="J696" i="2"/>
  <c r="J692" i="2"/>
  <c r="J688" i="2"/>
  <c r="J684" i="2"/>
  <c r="J680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28" i="2"/>
  <c r="J624" i="2"/>
  <c r="J620" i="2"/>
  <c r="J616" i="2"/>
  <c r="J612" i="2"/>
  <c r="J603" i="2"/>
  <c r="J598" i="2"/>
  <c r="J589" i="2"/>
  <c r="J580" i="2"/>
  <c r="J571" i="2"/>
  <c r="J566" i="2"/>
  <c r="J557" i="2"/>
  <c r="J548" i="2"/>
  <c r="J539" i="2"/>
  <c r="J534" i="2"/>
  <c r="J525" i="2"/>
  <c r="J516" i="2"/>
  <c r="J507" i="2"/>
  <c r="J502" i="2"/>
  <c r="J481" i="2"/>
  <c r="J476" i="2"/>
  <c r="J471" i="2"/>
  <c r="J465" i="2"/>
  <c r="J454" i="2"/>
  <c r="J442" i="2"/>
  <c r="J430" i="2"/>
  <c r="J423" i="2"/>
  <c r="J411" i="2"/>
  <c r="J399" i="2"/>
  <c r="J310" i="2"/>
  <c r="J300" i="2"/>
  <c r="J288" i="2"/>
  <c r="J264" i="2"/>
  <c r="J233" i="2"/>
  <c r="J219" i="2"/>
  <c r="J180" i="2"/>
  <c r="J164" i="2"/>
  <c r="J137" i="2"/>
  <c r="J82" i="2"/>
  <c r="J255" i="2"/>
  <c r="J237" i="2"/>
  <c r="J231" i="2"/>
  <c r="J154" i="2"/>
  <c r="J144" i="2"/>
  <c r="J132" i="2"/>
  <c r="J100" i="2"/>
  <c r="J76" i="2"/>
  <c r="J291" i="2"/>
  <c r="J273" i="2"/>
  <c r="J267" i="2"/>
  <c r="J249" i="2"/>
  <c r="J242" i="2"/>
  <c r="J224" i="2"/>
  <c r="J218" i="2"/>
  <c r="J212" i="2"/>
  <c r="J204" i="2"/>
  <c r="J197" i="2"/>
  <c r="J190" i="2"/>
  <c r="J182" i="2"/>
  <c r="J176" i="2"/>
  <c r="J169" i="2"/>
  <c r="J161" i="2"/>
  <c r="J114" i="2"/>
  <c r="J98" i="2"/>
  <c r="J73" i="2"/>
  <c r="J309" i="2"/>
  <c r="J302" i="2"/>
  <c r="J284" i="2"/>
  <c r="J278" i="2"/>
  <c r="J260" i="2"/>
  <c r="J254" i="2"/>
  <c r="J247" i="2"/>
  <c r="J236" i="2"/>
  <c r="J229" i="2"/>
  <c r="J223" i="2"/>
  <c r="J153" i="2"/>
  <c r="J142" i="2"/>
  <c r="J130" i="2"/>
  <c r="J113" i="2"/>
  <c r="J392" i="2"/>
  <c r="J387" i="2"/>
  <c r="J369" i="2"/>
  <c r="J363" i="2"/>
  <c r="J345" i="2"/>
  <c r="J338" i="2"/>
  <c r="J320" i="2"/>
  <c r="J314" i="2"/>
  <c r="J296" i="2"/>
  <c r="J290" i="2"/>
  <c r="J283" i="2"/>
  <c r="J272" i="2"/>
  <c r="J265" i="2"/>
  <c r="J259" i="2"/>
  <c r="J241" i="2"/>
  <c r="J235" i="2"/>
  <c r="J217" i="2"/>
  <c r="J209" i="2"/>
  <c r="J202" i="2"/>
  <c r="J196" i="2"/>
  <c r="J188" i="2"/>
  <c r="J181" i="2"/>
  <c r="J174" i="2"/>
  <c r="J166" i="2"/>
  <c r="J160" i="2"/>
  <c r="J150" i="2"/>
  <c r="J140" i="2"/>
  <c r="J92" i="2"/>
  <c r="J498" i="2"/>
  <c r="J493" i="2"/>
  <c r="J484" i="2"/>
  <c r="J475" i="2"/>
  <c r="J466" i="2"/>
  <c r="J380" i="2"/>
  <c r="J374" i="2"/>
  <c r="J356" i="2"/>
  <c r="J350" i="2"/>
  <c r="J343" i="2"/>
  <c r="J332" i="2"/>
  <c r="J325" i="2"/>
  <c r="J319" i="2"/>
  <c r="J301" i="2"/>
  <c r="J295" i="2"/>
  <c r="J277" i="2"/>
  <c r="J270" i="2"/>
  <c r="J252" i="2"/>
  <c r="J246" i="2"/>
  <c r="J228" i="2"/>
  <c r="J222" i="2"/>
  <c r="J149" i="2"/>
  <c r="J138" i="2"/>
  <c r="J108" i="2"/>
  <c r="J89" i="2"/>
  <c r="J133" i="2"/>
  <c r="J126" i="2"/>
  <c r="J120" i="2"/>
  <c r="J101" i="2"/>
  <c r="J94" i="2"/>
  <c r="J88" i="2"/>
  <c r="J69" i="2"/>
  <c r="J62" i="2"/>
  <c r="J54" i="2"/>
  <c r="J81" i="2"/>
  <c r="J74" i="2"/>
  <c r="J68" i="2"/>
  <c r="J125" i="2"/>
  <c r="J118" i="2"/>
  <c r="J112" i="2"/>
  <c r="J93" i="2"/>
  <c r="J86" i="2"/>
  <c r="J80" i="2"/>
  <c r="J61" i="2"/>
  <c r="J53" i="2"/>
  <c r="J66" i="2"/>
  <c r="J381" i="2"/>
  <c r="J372" i="2"/>
  <c r="J367" i="2"/>
  <c r="J358" i="2"/>
  <c r="J349" i="2"/>
  <c r="J340" i="2"/>
  <c r="J335" i="2"/>
  <c r="J326" i="2"/>
  <c r="J317" i="2"/>
  <c r="J308" i="2"/>
  <c r="J303" i="2"/>
  <c r="J294" i="2"/>
  <c r="J285" i="2"/>
  <c r="J276" i="2"/>
  <c r="J271" i="2"/>
  <c r="J262" i="2"/>
  <c r="J253" i="2"/>
  <c r="J244" i="2"/>
  <c r="J239" i="2"/>
  <c r="J230" i="2"/>
  <c r="J221" i="2"/>
  <c r="J136" i="2"/>
  <c r="J117" i="2"/>
  <c r="J110" i="2"/>
  <c r="J104" i="2"/>
  <c r="J85" i="2"/>
  <c r="J78" i="2"/>
  <c r="J72" i="2"/>
  <c r="J58" i="2"/>
  <c r="J50" i="2"/>
  <c r="J461" i="2"/>
  <c r="J457" i="2"/>
  <c r="J453" i="2"/>
  <c r="J449" i="2"/>
  <c r="J445" i="2"/>
  <c r="J441" i="2"/>
  <c r="J437" i="2"/>
  <c r="J433" i="2"/>
  <c r="J429" i="2"/>
  <c r="J425" i="2"/>
  <c r="J421" i="2"/>
  <c r="J417" i="2"/>
  <c r="J413" i="2"/>
  <c r="J409" i="2"/>
  <c r="J405" i="2"/>
  <c r="J401" i="2"/>
  <c r="J397" i="2"/>
  <c r="J393" i="2"/>
  <c r="J389" i="2"/>
  <c r="J385" i="2"/>
  <c r="J376" i="2"/>
  <c r="J371" i="2"/>
  <c r="J362" i="2"/>
  <c r="J353" i="2"/>
  <c r="J344" i="2"/>
  <c r="J339" i="2"/>
  <c r="J330" i="2"/>
  <c r="J321" i="2"/>
  <c r="J312" i="2"/>
  <c r="J307" i="2"/>
  <c r="J298" i="2"/>
  <c r="J289" i="2"/>
  <c r="J280" i="2"/>
  <c r="J275" i="2"/>
  <c r="J266" i="2"/>
  <c r="J257" i="2"/>
  <c r="J248" i="2"/>
  <c r="J243" i="2"/>
  <c r="J234" i="2"/>
  <c r="J225" i="2"/>
  <c r="J216" i="2"/>
  <c r="J210" i="2"/>
  <c r="J205" i="2"/>
  <c r="J200" i="2"/>
  <c r="J194" i="2"/>
  <c r="J189" i="2"/>
  <c r="J184" i="2"/>
  <c r="J178" i="2"/>
  <c r="J173" i="2"/>
  <c r="J168" i="2"/>
  <c r="J162" i="2"/>
  <c r="J157" i="2"/>
  <c r="J152" i="2"/>
  <c r="J146" i="2"/>
  <c r="J141" i="2"/>
  <c r="J129" i="2"/>
  <c r="J122" i="2"/>
  <c r="J116" i="2"/>
  <c r="J97" i="2"/>
  <c r="J90" i="2"/>
  <c r="J84" i="2"/>
  <c r="J65" i="2"/>
  <c r="J134" i="2"/>
  <c r="J128" i="2"/>
  <c r="J109" i="2"/>
  <c r="J102" i="2"/>
  <c r="J96" i="2"/>
  <c r="J77" i="2"/>
  <c r="J70" i="2"/>
  <c r="J64" i="2"/>
  <c r="J57" i="2"/>
  <c r="J49" i="2"/>
  <c r="J60" i="2"/>
  <c r="J56" i="2"/>
  <c r="J52" i="2"/>
  <c r="J48" i="2"/>
  <c r="J215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30" i="2"/>
  <c r="J40" i="2"/>
  <c r="J44" i="2"/>
  <c r="J32" i="2"/>
  <c r="J43" i="2"/>
  <c r="J35" i="2"/>
  <c r="J46" i="2"/>
  <c r="J38" i="2"/>
  <c r="J41" i="2"/>
  <c r="J33" i="2"/>
  <c r="J36" i="2"/>
  <c r="J39" i="2"/>
  <c r="J31" i="2"/>
  <c r="J42" i="2"/>
  <c r="J34" i="2"/>
  <c r="J45" i="2"/>
  <c r="J37" i="2"/>
  <c r="J29" i="2"/>
  <c r="J28" i="2"/>
  <c r="J26" i="2"/>
  <c r="J22" i="2"/>
  <c r="J18" i="2"/>
  <c r="J14" i="2"/>
  <c r="J10" i="2"/>
  <c r="J6" i="2"/>
  <c r="J25" i="2"/>
  <c r="J21" i="2"/>
  <c r="J17" i="2"/>
  <c r="J13" i="2"/>
  <c r="J9" i="2"/>
  <c r="J5" i="2"/>
  <c r="J24" i="2"/>
  <c r="J20" i="2"/>
  <c r="J16" i="2"/>
  <c r="J12" i="2"/>
  <c r="J8" i="2"/>
  <c r="J4" i="2"/>
  <c r="J27" i="2"/>
  <c r="J23" i="2"/>
  <c r="J19" i="2"/>
  <c r="J15" i="2"/>
  <c r="J11" i="2"/>
  <c r="J7" i="2"/>
  <c r="J3" i="2"/>
  <c r="J2" i="2"/>
  <c r="I2647" i="1"/>
  <c r="I2362" i="1"/>
  <c r="I2263" i="1"/>
  <c r="I2181" i="1"/>
  <c r="I2537" i="1"/>
  <c r="I1690" i="1"/>
  <c r="I2673" i="1"/>
  <c r="I2447" i="1"/>
  <c r="I1653" i="1"/>
  <c r="I2681" i="1"/>
  <c r="I2664" i="1"/>
  <c r="I2576" i="1"/>
  <c r="I2441" i="1"/>
  <c r="I2291" i="1"/>
  <c r="I1931" i="1"/>
  <c r="I2602" i="1"/>
  <c r="I2692" i="1"/>
  <c r="I2483" i="1"/>
  <c r="I2413" i="1"/>
  <c r="I2314" i="1"/>
  <c r="I2048" i="1"/>
  <c r="I2403" i="1"/>
  <c r="I2011" i="1"/>
  <c r="I2298" i="1"/>
  <c r="I2319" i="1"/>
  <c r="I2496" i="1"/>
  <c r="I2397" i="1"/>
  <c r="I2043" i="1"/>
  <c r="I2431" i="1"/>
  <c r="I1434" i="1"/>
  <c r="I2395" i="1"/>
  <c r="I2267" i="1"/>
  <c r="I1717" i="1"/>
  <c r="I2462" i="1"/>
  <c r="I2547" i="1"/>
  <c r="I2574" i="1"/>
  <c r="I1877" i="1"/>
  <c r="I2524" i="1"/>
  <c r="I1947" i="1"/>
  <c r="I2338" i="1"/>
  <c r="I2383" i="1"/>
  <c r="I1461" i="1"/>
  <c r="I2168" i="1"/>
  <c r="I1293" i="1"/>
  <c r="I2685" i="1"/>
  <c r="I2493" i="1"/>
  <c r="I2583" i="1"/>
  <c r="I1835" i="1"/>
  <c r="I2370" i="1"/>
  <c r="I2290" i="1"/>
  <c r="I1904" i="1"/>
  <c r="I2555" i="1"/>
  <c r="I1574" i="1"/>
  <c r="I2127" i="1"/>
  <c r="I1761" i="1"/>
  <c r="I2550" i="1"/>
  <c r="I2465" i="1"/>
  <c r="I2375" i="1"/>
  <c r="I2311" i="1"/>
  <c r="I2247" i="1"/>
  <c r="I2005" i="1"/>
  <c r="I1829" i="1"/>
  <c r="I1350" i="1"/>
  <c r="I1809" i="1"/>
  <c r="I2590" i="1"/>
  <c r="I2491" i="1"/>
  <c r="I2438" i="1"/>
  <c r="I2140" i="1"/>
  <c r="I2455" i="1"/>
  <c r="I2629" i="1"/>
  <c r="I2517" i="1"/>
  <c r="I2390" i="1"/>
  <c r="I2286" i="1"/>
  <c r="I1979" i="1"/>
  <c r="I2450" i="1"/>
  <c r="I2516" i="1"/>
  <c r="I2415" i="1"/>
  <c r="I2460" i="1"/>
  <c r="I2593" i="1"/>
  <c r="I2616" i="1"/>
  <c r="I2552" i="1"/>
  <c r="I2371" i="1"/>
  <c r="I2243" i="1"/>
  <c r="I1510" i="1"/>
  <c r="I2633" i="1"/>
  <c r="I2644" i="1"/>
  <c r="I2456" i="1"/>
  <c r="I2530" i="1"/>
  <c r="I2327" i="1"/>
  <c r="I2502" i="1"/>
  <c r="I2570" i="1"/>
  <c r="I2567" i="1"/>
  <c r="I2509" i="1"/>
  <c r="I2162" i="1"/>
  <c r="I2481" i="1"/>
  <c r="I1853" i="1"/>
  <c r="I2448" i="1"/>
  <c r="I2661" i="1"/>
  <c r="I2310" i="1"/>
  <c r="I2625" i="1"/>
  <c r="I2637" i="1"/>
  <c r="I2668" i="1"/>
  <c r="I2635" i="1"/>
  <c r="I2072" i="1"/>
  <c r="I2" i="1"/>
  <c r="I2623" i="1"/>
  <c r="I2346" i="1"/>
  <c r="I2559" i="1"/>
  <c r="I2477" i="1"/>
  <c r="I2691" i="1"/>
  <c r="I2306" i="1"/>
  <c r="I2282" i="1"/>
  <c r="I2525" i="1"/>
  <c r="I2386" i="1"/>
  <c r="I2675" i="1"/>
  <c r="I1968" i="1"/>
  <c r="I1382" i="1"/>
  <c r="I2546" i="1"/>
  <c r="I2449" i="1"/>
  <c r="I2367" i="1"/>
  <c r="I2303" i="1"/>
  <c r="I2227" i="1"/>
  <c r="I1984" i="1"/>
  <c r="I1804" i="1"/>
  <c r="I2514" i="1"/>
  <c r="I1785" i="1"/>
  <c r="I2533" i="1"/>
  <c r="I2480" i="1"/>
  <c r="I2432" i="1"/>
  <c r="I2085" i="1"/>
  <c r="I2172" i="1"/>
  <c r="I2613" i="1"/>
  <c r="I2501" i="1"/>
  <c r="I2374" i="1"/>
  <c r="I2278" i="1"/>
  <c r="I1957" i="1"/>
  <c r="I2428" i="1"/>
  <c r="I2506" i="1"/>
  <c r="I2409" i="1"/>
  <c r="I2423" i="1"/>
  <c r="I2577" i="1"/>
  <c r="I2612" i="1"/>
  <c r="I2548" i="1"/>
  <c r="I2363" i="1"/>
  <c r="I2211" i="1"/>
  <c r="I1076" i="1"/>
  <c r="I2617" i="1"/>
  <c r="I2636" i="1"/>
  <c r="I2440" i="1"/>
  <c r="I2563" i="1"/>
  <c r="I2185" i="1"/>
  <c r="I1553" i="1"/>
  <c r="I2136" i="1"/>
  <c r="I2615" i="1"/>
  <c r="I2599" i="1"/>
  <c r="I2554" i="1"/>
  <c r="I2027" i="1"/>
  <c r="I1858" i="1"/>
  <c r="I2492" i="1"/>
  <c r="I2564" i="1"/>
  <c r="I2539" i="1"/>
  <c r="I2394" i="1"/>
  <c r="I2322" i="1"/>
  <c r="I2659" i="1"/>
  <c r="I2145" i="1"/>
  <c r="I2090" i="1"/>
  <c r="I2330" i="1"/>
  <c r="I2258" i="1"/>
  <c r="I2643" i="1"/>
  <c r="I2498" i="1"/>
  <c r="I2666" i="1"/>
  <c r="I2542" i="1"/>
  <c r="I2433" i="1"/>
  <c r="I2359" i="1"/>
  <c r="I2295" i="1"/>
  <c r="I2195" i="1"/>
  <c r="I1963" i="1"/>
  <c r="I1780" i="1"/>
  <c r="I2482" i="1"/>
  <c r="I1736" i="1"/>
  <c r="I2523" i="1"/>
  <c r="I2475" i="1"/>
  <c r="I2427" i="1"/>
  <c r="I2067" i="1"/>
  <c r="I2654" i="1"/>
  <c r="I2597" i="1"/>
  <c r="I2485" i="1"/>
  <c r="I2358" i="1"/>
  <c r="I2270" i="1"/>
  <c r="I1936" i="1"/>
  <c r="I2159" i="1"/>
  <c r="I2500" i="1"/>
  <c r="I2223" i="1"/>
  <c r="I2108" i="1"/>
  <c r="I2565" i="1"/>
  <c r="I2608" i="1"/>
  <c r="I2544" i="1"/>
  <c r="I2355" i="1"/>
  <c r="I2113" i="1"/>
  <c r="I2534" i="1"/>
  <c r="I2601" i="1"/>
  <c r="I2628" i="1"/>
  <c r="I2231" i="1"/>
  <c r="I2639" i="1"/>
  <c r="I2391" i="1"/>
  <c r="I2646" i="1"/>
  <c r="I2326" i="1"/>
  <c r="I2445" i="1"/>
  <c r="I2591" i="1"/>
  <c r="I1834" i="1"/>
  <c r="I2255" i="1"/>
  <c r="I2618" i="1"/>
  <c r="I2532" i="1"/>
  <c r="I2640" i="1"/>
  <c r="I2671" i="1"/>
  <c r="I1925" i="1"/>
  <c r="I2687" i="1"/>
  <c r="I2354" i="1"/>
  <c r="I2683" i="1"/>
  <c r="I2266" i="1"/>
  <c r="I2032" i="1"/>
  <c r="I2627" i="1"/>
  <c r="I1989" i="1"/>
  <c r="I2667" i="1"/>
  <c r="I2053" i="1"/>
  <c r="I1859" i="1"/>
  <c r="I2575" i="1"/>
  <c r="I2466" i="1"/>
  <c r="I2642" i="1"/>
  <c r="I2538" i="1"/>
  <c r="I2417" i="1"/>
  <c r="I2351" i="1"/>
  <c r="I2287" i="1"/>
  <c r="I2158" i="1"/>
  <c r="I1941" i="1"/>
  <c r="I1756" i="1"/>
  <c r="I2444" i="1"/>
  <c r="I1708" i="1"/>
  <c r="I2518" i="1"/>
  <c r="I2470" i="1"/>
  <c r="I2422" i="1"/>
  <c r="I1730" i="1"/>
  <c r="I2634" i="1"/>
  <c r="I2581" i="1"/>
  <c r="I2453" i="1"/>
  <c r="I2350" i="1"/>
  <c r="I2246" i="1"/>
  <c r="I1822" i="1"/>
  <c r="I2638" i="1"/>
  <c r="I2474" i="1"/>
  <c r="I2167" i="1"/>
  <c r="I2658" i="1"/>
  <c r="I2522" i="1"/>
  <c r="I2596" i="1"/>
  <c r="I2521" i="1"/>
  <c r="I2331" i="1"/>
  <c r="I2037" i="1"/>
  <c r="I2439" i="1"/>
  <c r="I2561" i="1"/>
  <c r="I2526" i="1"/>
  <c r="I2076" i="1"/>
  <c r="I2219" i="1"/>
  <c r="I2631" i="1"/>
  <c r="I2126" i="1"/>
  <c r="I2274" i="1"/>
  <c r="I1672" i="1"/>
  <c r="I2611" i="1"/>
  <c r="I2619" i="1"/>
  <c r="I2551" i="1"/>
  <c r="I2622" i="1"/>
  <c r="I2411" i="1"/>
  <c r="I2279" i="1"/>
  <c r="I1731" i="1"/>
  <c r="I2690" i="1"/>
  <c r="I2416" i="1"/>
  <c r="I2191" i="1"/>
  <c r="I1409" i="1"/>
  <c r="I2250" i="1"/>
  <c r="I2497" i="1"/>
  <c r="I2454" i="1"/>
  <c r="I2655" i="1"/>
  <c r="I2651" i="1"/>
  <c r="I2579" i="1"/>
  <c r="I1811" i="1"/>
  <c r="I1883" i="1"/>
  <c r="I2543" i="1"/>
  <c r="I2434" i="1"/>
  <c r="I2529" i="1"/>
  <c r="I2343" i="1"/>
  <c r="I2122" i="1"/>
  <c r="I1920" i="1"/>
  <c r="I2399" i="1"/>
  <c r="I2512" i="1"/>
  <c r="I2464" i="1"/>
  <c r="I1662" i="1"/>
  <c r="I2610" i="1"/>
  <c r="I2569" i="1"/>
  <c r="I2421" i="1"/>
  <c r="I2342" i="1"/>
  <c r="I1749" i="1"/>
  <c r="I2558" i="1"/>
  <c r="I2458" i="1"/>
  <c r="I2062" i="1"/>
  <c r="I2578" i="1"/>
  <c r="I2680" i="1"/>
  <c r="I2584" i="1"/>
  <c r="I2473" i="1"/>
  <c r="I2307" i="1"/>
  <c r="I1973" i="1"/>
  <c r="I2650" i="1"/>
  <c r="I2511" i="1"/>
  <c r="I2504" i="1"/>
  <c r="I2571" i="1"/>
  <c r="I2607" i="1"/>
  <c r="I2603" i="1"/>
  <c r="I2679" i="1"/>
  <c r="I2378" i="1"/>
  <c r="I2595" i="1"/>
  <c r="I1486" i="1"/>
  <c r="I2587" i="1"/>
  <c r="I2663" i="1"/>
  <c r="I2429" i="1"/>
  <c r="I2461" i="1"/>
  <c r="I2239" i="1"/>
  <c r="I2598" i="1"/>
  <c r="I2513" i="1"/>
  <c r="I2405" i="1"/>
  <c r="I2335" i="1"/>
  <c r="I2271" i="1"/>
  <c r="I2104" i="1"/>
  <c r="I1899" i="1"/>
  <c r="I1663" i="1"/>
  <c r="I2207" i="1"/>
  <c r="I2670" i="1"/>
  <c r="I2507" i="1"/>
  <c r="I2459" i="1"/>
  <c r="I2215" i="1"/>
  <c r="I1625" i="1"/>
  <c r="I2586" i="1"/>
  <c r="I2545" i="1"/>
  <c r="I2410" i="1"/>
  <c r="I2334" i="1"/>
  <c r="I2154" i="1"/>
  <c r="I1725" i="1"/>
  <c r="I2689" i="1"/>
  <c r="I2452" i="1"/>
  <c r="I1871" i="1"/>
  <c r="I2562" i="1"/>
  <c r="I2672" i="1"/>
  <c r="I2580" i="1"/>
  <c r="I2457" i="1"/>
  <c r="I2299" i="1"/>
  <c r="I1952" i="1"/>
  <c r="I2626" i="1"/>
  <c r="I2490" i="1"/>
  <c r="I2499" i="1"/>
  <c r="I2098" i="1"/>
  <c r="I2510" i="1"/>
  <c r="I2467" i="1"/>
  <c r="I2424" i="1"/>
  <c r="I2176" i="1"/>
  <c r="I1816" i="1"/>
  <c r="I2135" i="1"/>
  <c r="I2071" i="1"/>
  <c r="I2025" i="1"/>
  <c r="I1983" i="1"/>
  <c r="I1940" i="1"/>
  <c r="I1897" i="1"/>
  <c r="I1827" i="1"/>
  <c r="I1748" i="1"/>
  <c r="I1634" i="1"/>
  <c r="I1404" i="1"/>
  <c r="I2222" i="1"/>
  <c r="I2180" i="1"/>
  <c r="I2116" i="1"/>
  <c r="I1863" i="1"/>
  <c r="I1784" i="1"/>
  <c r="I1661" i="1"/>
  <c r="I1374" i="1"/>
  <c r="I2152" i="1"/>
  <c r="I2088" i="1"/>
  <c r="I2035" i="1"/>
  <c r="I1992" i="1"/>
  <c r="I1949" i="1"/>
  <c r="I1907" i="1"/>
  <c r="I1862" i="1"/>
  <c r="I1765" i="1"/>
  <c r="I1695" i="1"/>
  <c r="I1521" i="1"/>
  <c r="I2381" i="1"/>
  <c r="I2349" i="1"/>
  <c r="I2317" i="1"/>
  <c r="I2285" i="1"/>
  <c r="I2253" i="1"/>
  <c r="I2221" i="1"/>
  <c r="I2179" i="1"/>
  <c r="I2115" i="1"/>
  <c r="I1855" i="1"/>
  <c r="I1745" i="1"/>
  <c r="I1448" i="1"/>
  <c r="I2114" i="1"/>
  <c r="I2033" i="1"/>
  <c r="I1959" i="1"/>
  <c r="I1889" i="1"/>
  <c r="I1781" i="1"/>
  <c r="I1580" i="1"/>
  <c r="I2400" i="1"/>
  <c r="I2344" i="1"/>
  <c r="I2292" i="1"/>
  <c r="I2244" i="1"/>
  <c r="I2182" i="1"/>
  <c r="I2091" i="1"/>
  <c r="I1775" i="1"/>
  <c r="I1579" i="1"/>
  <c r="I1578" i="1"/>
  <c r="I1504" i="1"/>
  <c r="I1389" i="1"/>
  <c r="I1597" i="1"/>
  <c r="I1440" i="1"/>
  <c r="I1249" i="1"/>
  <c r="I1556" i="1"/>
  <c r="I1277" i="1"/>
  <c r="I1628" i="1"/>
  <c r="I1378" i="1"/>
  <c r="I1778" i="1"/>
  <c r="I1632" i="1"/>
  <c r="I1494" i="1"/>
  <c r="I2030" i="1"/>
  <c r="I1958" i="1"/>
  <c r="I1851" i="1"/>
  <c r="I1668" i="1"/>
  <c r="I1474" i="1"/>
  <c r="I1145" i="1"/>
  <c r="I1372" i="1"/>
  <c r="I838" i="1"/>
  <c r="I1459" i="1"/>
  <c r="I1331" i="1"/>
  <c r="I1117" i="1"/>
  <c r="I1034" i="1"/>
  <c r="I340" i="1"/>
  <c r="I1023" i="1"/>
  <c r="I1225" i="1"/>
  <c r="I908" i="1"/>
  <c r="I1206" i="1"/>
  <c r="I831" i="1"/>
  <c r="I423" i="1"/>
  <c r="I2419" i="1"/>
  <c r="I2163" i="1"/>
  <c r="I1791" i="1"/>
  <c r="I2130" i="1"/>
  <c r="I2066" i="1"/>
  <c r="I2020" i="1"/>
  <c r="I1977" i="1"/>
  <c r="I1935" i="1"/>
  <c r="I1892" i="1"/>
  <c r="I1821" i="1"/>
  <c r="I1742" i="1"/>
  <c r="I1608" i="1"/>
  <c r="I1341" i="1"/>
  <c r="I2218" i="1"/>
  <c r="I2171" i="1"/>
  <c r="I2107" i="1"/>
  <c r="I1857" i="1"/>
  <c r="I1777" i="1"/>
  <c r="I1652" i="1"/>
  <c r="I1338" i="1"/>
  <c r="I2143" i="1"/>
  <c r="I2079" i="1"/>
  <c r="I2029" i="1"/>
  <c r="I1987" i="1"/>
  <c r="I1944" i="1"/>
  <c r="I1901" i="1"/>
  <c r="I1844" i="1"/>
  <c r="I1758" i="1"/>
  <c r="I1658" i="1"/>
  <c r="I1500" i="1"/>
  <c r="I2377" i="1"/>
  <c r="I2345" i="1"/>
  <c r="I2313" i="1"/>
  <c r="I2281" i="1"/>
  <c r="I2249" i="1"/>
  <c r="I2217" i="1"/>
  <c r="I2174" i="1"/>
  <c r="I2110" i="1"/>
  <c r="I1849" i="1"/>
  <c r="I1694" i="1"/>
  <c r="I1366" i="1"/>
  <c r="I2105" i="1"/>
  <c r="I2017" i="1"/>
  <c r="I1953" i="1"/>
  <c r="I1879" i="1"/>
  <c r="I1763" i="1"/>
  <c r="I1558" i="1"/>
  <c r="I2388" i="1"/>
  <c r="I2340" i="1"/>
  <c r="I2284" i="1"/>
  <c r="I2240" i="1"/>
  <c r="I2173" i="1"/>
  <c r="I2068" i="1"/>
  <c r="I1768" i="1"/>
  <c r="I1466" i="1"/>
  <c r="I1573" i="1"/>
  <c r="I1492" i="1"/>
  <c r="I1312" i="1"/>
  <c r="I1588" i="1"/>
  <c r="I1426" i="1"/>
  <c r="I1679" i="1"/>
  <c r="I1550" i="1"/>
  <c r="I1186" i="1"/>
  <c r="I1571" i="1"/>
  <c r="I1370" i="1"/>
  <c r="I1769" i="1"/>
  <c r="I1586" i="1"/>
  <c r="I1476" i="1"/>
  <c r="I2026" i="1"/>
  <c r="I1934" i="1"/>
  <c r="I1846" i="1"/>
  <c r="I1659" i="1"/>
  <c r="I1410" i="1"/>
  <c r="I1108" i="1"/>
  <c r="I1368" i="1"/>
  <c r="I806" i="1"/>
  <c r="I1455" i="1"/>
  <c r="I1327" i="1"/>
  <c r="I1080" i="1"/>
  <c r="I1024" i="1"/>
  <c r="I1260" i="1"/>
  <c r="I1018" i="1"/>
  <c r="I1220" i="1"/>
  <c r="I895" i="1"/>
  <c r="I1197" i="1"/>
  <c r="I823" i="1"/>
  <c r="I413" i="1"/>
  <c r="I2414" i="1"/>
  <c r="I2149" i="1"/>
  <c r="I1767" i="1"/>
  <c r="I2121" i="1"/>
  <c r="I2057" i="1"/>
  <c r="I2015" i="1"/>
  <c r="I1972" i="1"/>
  <c r="I1929" i="1"/>
  <c r="I1887" i="1"/>
  <c r="I1803" i="1"/>
  <c r="I1722" i="1"/>
  <c r="I1569" i="1"/>
  <c r="I1261" i="1"/>
  <c r="I2214" i="1"/>
  <c r="I2166" i="1"/>
  <c r="I2102" i="1"/>
  <c r="I1850" i="1"/>
  <c r="I1759" i="1"/>
  <c r="I1643" i="1"/>
  <c r="I998" i="1"/>
  <c r="I2138" i="1"/>
  <c r="I2074" i="1"/>
  <c r="I2024" i="1"/>
  <c r="I1981" i="1"/>
  <c r="I1939" i="1"/>
  <c r="I1896" i="1"/>
  <c r="I1838" i="1"/>
  <c r="I1747" i="1"/>
  <c r="I1649" i="1"/>
  <c r="I1422" i="1"/>
  <c r="I2373" i="1"/>
  <c r="I2341" i="1"/>
  <c r="I2309" i="1"/>
  <c r="I2277" i="1"/>
  <c r="I2245" i="1"/>
  <c r="I2213" i="1"/>
  <c r="I2165" i="1"/>
  <c r="I2101" i="1"/>
  <c r="I1825" i="1"/>
  <c r="I1685" i="1"/>
  <c r="I2192" i="1"/>
  <c r="I2096" i="1"/>
  <c r="I2007" i="1"/>
  <c r="I1948" i="1"/>
  <c r="I1867" i="1"/>
  <c r="I1733" i="1"/>
  <c r="I1537" i="1"/>
  <c r="I2380" i="1"/>
  <c r="I2336" i="1"/>
  <c r="I2280" i="1"/>
  <c r="I2228" i="1"/>
  <c r="I2164" i="1"/>
  <c r="I1872" i="1"/>
  <c r="I1762" i="1"/>
  <c r="I1441" i="1"/>
  <c r="I1557" i="1"/>
  <c r="I1485" i="1"/>
  <c r="I1203" i="1"/>
  <c r="I1583" i="1"/>
  <c r="I1408" i="1"/>
  <c r="I1674" i="1"/>
  <c r="I1518" i="1"/>
  <c r="I1113" i="1"/>
  <c r="I1555" i="1"/>
  <c r="I1112" i="1"/>
  <c r="I1760" i="1"/>
  <c r="I1581" i="1"/>
  <c r="I1412" i="1"/>
  <c r="I2022" i="1"/>
  <c r="I1930" i="1"/>
  <c r="I1796" i="1"/>
  <c r="I1654" i="1"/>
  <c r="I1392" i="1"/>
  <c r="I775" i="1"/>
  <c r="I1340" i="1"/>
  <c r="I1176" i="1"/>
  <c r="I1427" i="1"/>
  <c r="I1272" i="1"/>
  <c r="I891" i="1"/>
  <c r="I916" i="1"/>
  <c r="I1216" i="1"/>
  <c r="I981" i="1"/>
  <c r="I1161" i="1"/>
  <c r="I818" i="1"/>
  <c r="I1069" i="1"/>
  <c r="I1266" i="1"/>
  <c r="I909" i="1"/>
  <c r="I2262" i="1"/>
  <c r="I2081" i="1"/>
  <c r="I1915" i="1"/>
  <c r="I1532" i="1"/>
  <c r="I2686" i="1"/>
  <c r="I2657" i="1"/>
  <c r="I2495" i="1"/>
  <c r="I2442" i="1"/>
  <c r="I2190" i="1"/>
  <c r="I1612" i="1"/>
  <c r="I1635" i="1"/>
  <c r="I2669" i="1"/>
  <c r="I2549" i="1"/>
  <c r="I2656" i="1"/>
  <c r="I2604" i="1"/>
  <c r="I2572" i="1"/>
  <c r="I2540" i="1"/>
  <c r="I2425" i="1"/>
  <c r="I2347" i="1"/>
  <c r="I2283" i="1"/>
  <c r="I2095" i="1"/>
  <c r="I1909" i="1"/>
  <c r="I2503" i="1"/>
  <c r="I2582" i="1"/>
  <c r="I2589" i="1"/>
  <c r="I2684" i="1"/>
  <c r="I2620" i="1"/>
  <c r="I2494" i="1"/>
  <c r="I2451" i="1"/>
  <c r="I2407" i="1"/>
  <c r="I2131" i="1"/>
  <c r="I1743" i="1"/>
  <c r="I2112" i="1"/>
  <c r="I2052" i="1"/>
  <c r="I2009" i="1"/>
  <c r="I1967" i="1"/>
  <c r="I1924" i="1"/>
  <c r="I1881" i="1"/>
  <c r="I1797" i="1"/>
  <c r="I1716" i="1"/>
  <c r="I1548" i="1"/>
  <c r="I2242" i="1"/>
  <c r="I2210" i="1"/>
  <c r="I2157" i="1"/>
  <c r="I2093" i="1"/>
  <c r="I1839" i="1"/>
  <c r="I1753" i="1"/>
  <c r="I1621" i="1"/>
  <c r="I2193" i="1"/>
  <c r="I2129" i="1"/>
  <c r="I2065" i="1"/>
  <c r="I2019" i="1"/>
  <c r="I1976" i="1"/>
  <c r="I1933" i="1"/>
  <c r="I1891" i="1"/>
  <c r="I1820" i="1"/>
  <c r="I1740" i="1"/>
  <c r="I1640" i="1"/>
  <c r="I1397" i="1"/>
  <c r="I2369" i="1"/>
  <c r="I2337" i="1"/>
  <c r="I2305" i="1"/>
  <c r="I2273" i="1"/>
  <c r="I2241" i="1"/>
  <c r="I2209" i="1"/>
  <c r="I2156" i="1"/>
  <c r="I2092" i="1"/>
  <c r="I1807" i="1"/>
  <c r="I1676" i="1"/>
  <c r="I2178" i="1"/>
  <c r="I2087" i="1"/>
  <c r="I2001" i="1"/>
  <c r="I1932" i="1"/>
  <c r="I1861" i="1"/>
  <c r="I1720" i="1"/>
  <c r="I1516" i="1"/>
  <c r="I2376" i="1"/>
  <c r="I2324" i="1"/>
  <c r="I2276" i="1"/>
  <c r="I2220" i="1"/>
  <c r="I2155" i="1"/>
  <c r="I1866" i="1"/>
  <c r="I1702" i="1"/>
  <c r="I1416" i="1"/>
  <c r="I1546" i="1"/>
  <c r="I1478" i="1"/>
  <c r="I1131" i="1"/>
  <c r="I1535" i="1"/>
  <c r="I1401" i="1"/>
  <c r="I1665" i="1"/>
  <c r="I1513" i="1"/>
  <c r="I1710" i="1"/>
  <c r="I1539" i="1"/>
  <c r="I1039" i="1"/>
  <c r="I1714" i="1"/>
  <c r="I1576" i="1"/>
  <c r="I1405" i="1"/>
  <c r="I1998" i="1"/>
  <c r="I1926" i="1"/>
  <c r="I1787" i="1"/>
  <c r="I1604" i="1"/>
  <c r="I1385" i="1"/>
  <c r="I700" i="1"/>
  <c r="I1336" i="1"/>
  <c r="I1158" i="1"/>
  <c r="I1423" i="1"/>
  <c r="I1264" i="1"/>
  <c r="I795" i="1"/>
  <c r="I910" i="1"/>
  <c r="I1207" i="1"/>
  <c r="I975" i="1"/>
  <c r="I1156" i="1"/>
  <c r="I810" i="1"/>
  <c r="I1064" i="1"/>
  <c r="I1262" i="1"/>
  <c r="I905" i="1"/>
  <c r="I2398" i="1"/>
  <c r="I1754" i="1"/>
  <c r="I2418" i="1"/>
  <c r="I2677" i="1"/>
  <c r="I2557" i="1"/>
  <c r="I2469" i="1"/>
  <c r="I2382" i="1"/>
  <c r="I2318" i="1"/>
  <c r="I2254" i="1"/>
  <c r="I2063" i="1"/>
  <c r="I1893" i="1"/>
  <c r="I1436" i="1"/>
  <c r="I2662" i="1"/>
  <c r="I2641" i="1"/>
  <c r="I2484" i="1"/>
  <c r="I2436" i="1"/>
  <c r="I2177" i="1"/>
  <c r="I1531" i="1"/>
  <c r="I2682" i="1"/>
  <c r="I2653" i="1"/>
  <c r="I2536" i="1"/>
  <c r="I2648" i="1"/>
  <c r="I2600" i="1"/>
  <c r="I2568" i="1"/>
  <c r="I2531" i="1"/>
  <c r="I2402" i="1"/>
  <c r="I2339" i="1"/>
  <c r="I2275" i="1"/>
  <c r="I2058" i="1"/>
  <c r="I1888" i="1"/>
  <c r="I2471" i="1"/>
  <c r="I2566" i="1"/>
  <c r="I2573" i="1"/>
  <c r="I2676" i="1"/>
  <c r="I2535" i="1"/>
  <c r="I2488" i="1"/>
  <c r="I2446" i="1"/>
  <c r="I2401" i="1"/>
  <c r="I2094" i="1"/>
  <c r="I1644" i="1"/>
  <c r="I2103" i="1"/>
  <c r="I2047" i="1"/>
  <c r="I2004" i="1"/>
  <c r="I1961" i="1"/>
  <c r="I1919" i="1"/>
  <c r="I1876" i="1"/>
  <c r="I1790" i="1"/>
  <c r="I1698" i="1"/>
  <c r="I1526" i="1"/>
  <c r="I2238" i="1"/>
  <c r="I2206" i="1"/>
  <c r="I2148" i="1"/>
  <c r="I2084" i="1"/>
  <c r="I1832" i="1"/>
  <c r="I1735" i="1"/>
  <c r="I1589" i="1"/>
  <c r="I2184" i="1"/>
  <c r="I2120" i="1"/>
  <c r="I2056" i="1"/>
  <c r="I2013" i="1"/>
  <c r="I1971" i="1"/>
  <c r="I1928" i="1"/>
  <c r="I1885" i="1"/>
  <c r="I1813" i="1"/>
  <c r="I1734" i="1"/>
  <c r="I1631" i="1"/>
  <c r="I911" i="1"/>
  <c r="I2365" i="1"/>
  <c r="I2333" i="1"/>
  <c r="I2301" i="1"/>
  <c r="I2269" i="1"/>
  <c r="I2237" i="1"/>
  <c r="I2205" i="1"/>
  <c r="I2147" i="1"/>
  <c r="I2083" i="1"/>
  <c r="I1800" i="1"/>
  <c r="I1667" i="1"/>
  <c r="I2169" i="1"/>
  <c r="I2064" i="1"/>
  <c r="I1996" i="1"/>
  <c r="I1921" i="1"/>
  <c r="I1854" i="1"/>
  <c r="I1712" i="1"/>
  <c r="I1390" i="1"/>
  <c r="I2372" i="1"/>
  <c r="I2316" i="1"/>
  <c r="I2272" i="1"/>
  <c r="I2216" i="1"/>
  <c r="I2132" i="1"/>
  <c r="I1848" i="1"/>
  <c r="I1684" i="1"/>
  <c r="I1358" i="1"/>
  <c r="I1541" i="1"/>
  <c r="I1446" i="1"/>
  <c r="I1058" i="1"/>
  <c r="I1503" i="1"/>
  <c r="I1394" i="1"/>
  <c r="I1615" i="1"/>
  <c r="I1508" i="1"/>
  <c r="I1701" i="1"/>
  <c r="I1464" i="1"/>
  <c r="I955" i="1"/>
  <c r="I1705" i="1"/>
  <c r="I1544" i="1"/>
  <c r="I1398" i="1"/>
  <c r="I1994" i="1"/>
  <c r="I1902" i="1"/>
  <c r="I1782" i="1"/>
  <c r="I1595" i="1"/>
  <c r="I1321" i="1"/>
  <c r="I1181" i="1"/>
  <c r="I1297" i="1"/>
  <c r="I966" i="1"/>
  <c r="I1395" i="1"/>
  <c r="I1081" i="1"/>
  <c r="I1162" i="1"/>
  <c r="I843" i="1"/>
  <c r="I1152" i="1"/>
  <c r="I938" i="1"/>
  <c r="I1097" i="1"/>
  <c r="I510" i="1"/>
  <c r="I937" i="1"/>
  <c r="I1031" i="1"/>
  <c r="I781" i="1"/>
  <c r="I2041" i="1"/>
  <c r="I1999" i="1"/>
  <c r="I1956" i="1"/>
  <c r="I1913" i="1"/>
  <c r="I1870" i="1"/>
  <c r="I1779" i="1"/>
  <c r="I1689" i="1"/>
  <c r="I1505" i="1"/>
  <c r="I2234" i="1"/>
  <c r="I2202" i="1"/>
  <c r="I2139" i="1"/>
  <c r="I2075" i="1"/>
  <c r="I1826" i="1"/>
  <c r="I1729" i="1"/>
  <c r="I1547" i="1"/>
  <c r="I2175" i="1"/>
  <c r="I2111" i="1"/>
  <c r="I2051" i="1"/>
  <c r="I2008" i="1"/>
  <c r="I1965" i="1"/>
  <c r="I1923" i="1"/>
  <c r="I1880" i="1"/>
  <c r="I1795" i="1"/>
  <c r="I1721" i="1"/>
  <c r="I1585" i="1"/>
  <c r="I2393" i="1"/>
  <c r="I2361" i="1"/>
  <c r="I2329" i="1"/>
  <c r="I2297" i="1"/>
  <c r="I2265" i="1"/>
  <c r="I2233" i="1"/>
  <c r="I2201" i="1"/>
  <c r="I2142" i="1"/>
  <c r="I2069" i="1"/>
  <c r="I1794" i="1"/>
  <c r="I1603" i="1"/>
  <c r="I2160" i="1"/>
  <c r="I2049" i="1"/>
  <c r="I1991" i="1"/>
  <c r="I1916" i="1"/>
  <c r="I1830" i="1"/>
  <c r="I1703" i="1"/>
  <c r="I2412" i="1"/>
  <c r="I2368" i="1"/>
  <c r="I2312" i="1"/>
  <c r="I2260" i="1"/>
  <c r="I2212" i="1"/>
  <c r="I2118" i="1"/>
  <c r="I1841" i="1"/>
  <c r="I1675" i="1"/>
  <c r="I1607" i="1"/>
  <c r="I1536" i="1"/>
  <c r="I1421" i="1"/>
  <c r="I886" i="1"/>
  <c r="I1497" i="1"/>
  <c r="I1365" i="1"/>
  <c r="I1610" i="1"/>
  <c r="I1445" i="1"/>
  <c r="I1692" i="1"/>
  <c r="I1457" i="1"/>
  <c r="I1842" i="1"/>
  <c r="I1696" i="1"/>
  <c r="I1538" i="1"/>
  <c r="I822" i="1"/>
  <c r="I1990" i="1"/>
  <c r="I1898" i="1"/>
  <c r="I1732" i="1"/>
  <c r="I1590" i="1"/>
  <c r="I1226" i="1"/>
  <c r="I1144" i="1"/>
  <c r="I1289" i="1"/>
  <c r="I945" i="1"/>
  <c r="I1391" i="1"/>
  <c r="I1044" i="1"/>
  <c r="I1153" i="1"/>
  <c r="I835" i="1"/>
  <c r="I1143" i="1"/>
  <c r="I933" i="1"/>
  <c r="I1092" i="1"/>
  <c r="I382" i="1"/>
  <c r="I931" i="1"/>
  <c r="I1026" i="1"/>
  <c r="I777" i="1"/>
  <c r="I2528" i="1"/>
  <c r="I2486" i="1"/>
  <c r="I2443" i="1"/>
  <c r="I2194" i="1"/>
  <c r="I1699" i="1"/>
  <c r="I2678" i="1"/>
  <c r="I2645" i="1"/>
  <c r="I2541" i="1"/>
  <c r="I2437" i="1"/>
  <c r="I2366" i="1"/>
  <c r="I2302" i="1"/>
  <c r="I2235" i="1"/>
  <c r="I2021" i="1"/>
  <c r="I1798" i="1"/>
  <c r="I2508" i="1"/>
  <c r="I2614" i="1"/>
  <c r="I2609" i="1"/>
  <c r="I2468" i="1"/>
  <c r="I2426" i="1"/>
  <c r="I2117" i="1"/>
  <c r="I2519" i="1"/>
  <c r="I2630" i="1"/>
  <c r="I2621" i="1"/>
  <c r="I2479" i="1"/>
  <c r="I2632" i="1"/>
  <c r="I2592" i="1"/>
  <c r="I2560" i="1"/>
  <c r="I2505" i="1"/>
  <c r="I2387" i="1"/>
  <c r="I2323" i="1"/>
  <c r="I2259" i="1"/>
  <c r="I2016" i="1"/>
  <c r="I1681" i="1"/>
  <c r="I2406" i="1"/>
  <c r="I2665" i="1"/>
  <c r="I2553" i="1"/>
  <c r="I2660" i="1"/>
  <c r="I2520" i="1"/>
  <c r="I2478" i="1"/>
  <c r="I2435" i="1"/>
  <c r="I2199" i="1"/>
  <c r="I1864" i="1"/>
  <c r="I2153" i="1"/>
  <c r="I2089" i="1"/>
  <c r="I2036" i="1"/>
  <c r="I1993" i="1"/>
  <c r="I1951" i="1"/>
  <c r="I1908" i="1"/>
  <c r="I1852" i="1"/>
  <c r="I1772" i="1"/>
  <c r="I1680" i="1"/>
  <c r="I1454" i="1"/>
  <c r="I2230" i="1"/>
  <c r="I2198" i="1"/>
  <c r="I2134" i="1"/>
  <c r="I2070" i="1"/>
  <c r="I1808" i="1"/>
  <c r="I1707" i="1"/>
  <c r="I1480" i="1"/>
  <c r="I2170" i="1"/>
  <c r="I2106" i="1"/>
  <c r="I2045" i="1"/>
  <c r="I2003" i="1"/>
  <c r="I1960" i="1"/>
  <c r="I1917" i="1"/>
  <c r="I1875" i="1"/>
  <c r="I1789" i="1"/>
  <c r="I1713" i="1"/>
  <c r="I1564" i="1"/>
  <c r="I2389" i="1"/>
  <c r="I2357" i="1"/>
  <c r="I2325" i="1"/>
  <c r="I2293" i="1"/>
  <c r="I2261" i="1"/>
  <c r="I2229" i="1"/>
  <c r="I2197" i="1"/>
  <c r="I2133" i="1"/>
  <c r="I2060" i="1"/>
  <c r="I1776" i="1"/>
  <c r="I1498" i="1"/>
  <c r="I2151" i="1"/>
  <c r="I2044" i="1"/>
  <c r="I1975" i="1"/>
  <c r="I1911" i="1"/>
  <c r="I1806" i="1"/>
  <c r="I1666" i="1"/>
  <c r="I2408" i="1"/>
  <c r="I2356" i="1"/>
  <c r="I2308" i="1"/>
  <c r="I2252" i="1"/>
  <c r="I2208" i="1"/>
  <c r="I2109" i="1"/>
  <c r="I1799" i="1"/>
  <c r="I1638" i="1"/>
  <c r="I1593" i="1"/>
  <c r="I1530" i="1"/>
  <c r="I1414" i="1"/>
  <c r="I1620" i="1"/>
  <c r="I1490" i="1"/>
  <c r="I1346" i="1"/>
  <c r="I1601" i="1"/>
  <c r="I1438" i="1"/>
  <c r="I1646" i="1"/>
  <c r="I1450" i="1"/>
  <c r="I1833" i="1"/>
  <c r="I1650" i="1"/>
  <c r="I1533" i="1"/>
  <c r="I489" i="1"/>
  <c r="I1966" i="1"/>
  <c r="I1894" i="1"/>
  <c r="I1723" i="1"/>
  <c r="I1488" i="1"/>
  <c r="I1300" i="1"/>
  <c r="I950" i="1"/>
  <c r="I1177" i="1"/>
  <c r="I1491" i="1"/>
  <c r="I1363" i="1"/>
  <c r="I798" i="1"/>
  <c r="I1098" i="1"/>
  <c r="I755" i="1"/>
  <c r="I1088" i="1"/>
  <c r="I736" i="1"/>
  <c r="I1033" i="1"/>
  <c r="I1283" i="1"/>
  <c r="I1155" i="1"/>
  <c r="I762" i="1"/>
  <c r="I473" i="1"/>
  <c r="I2294" i="1"/>
  <c r="I2203" i="1"/>
  <c r="I2000" i="1"/>
  <c r="I1774" i="1"/>
  <c r="I2476" i="1"/>
  <c r="I2594" i="1"/>
  <c r="I2585" i="1"/>
  <c r="I2463" i="1"/>
  <c r="I2420" i="1"/>
  <c r="I2099" i="1"/>
  <c r="I2487" i="1"/>
  <c r="I2606" i="1"/>
  <c r="I2605" i="1"/>
  <c r="I2688" i="1"/>
  <c r="I2624" i="1"/>
  <c r="I2588" i="1"/>
  <c r="I2556" i="1"/>
  <c r="I2489" i="1"/>
  <c r="I2379" i="1"/>
  <c r="I2315" i="1"/>
  <c r="I2251" i="1"/>
  <c r="I1995" i="1"/>
  <c r="I1594" i="1"/>
  <c r="I2674" i="1"/>
  <c r="I2649" i="1"/>
  <c r="I2527" i="1"/>
  <c r="I2652" i="1"/>
  <c r="I2515" i="1"/>
  <c r="I2472" i="1"/>
  <c r="I2430" i="1"/>
  <c r="I2186" i="1"/>
  <c r="I1840" i="1"/>
  <c r="I2144" i="1"/>
  <c r="I2080" i="1"/>
  <c r="I2031" i="1"/>
  <c r="I1988" i="1"/>
  <c r="I1945" i="1"/>
  <c r="I1903" i="1"/>
  <c r="I1845" i="1"/>
  <c r="I1766" i="1"/>
  <c r="I1671" i="1"/>
  <c r="I1429" i="1"/>
  <c r="I2226" i="1"/>
  <c r="I2189" i="1"/>
  <c r="I2125" i="1"/>
  <c r="I2061" i="1"/>
  <c r="I1802" i="1"/>
  <c r="I1670" i="1"/>
  <c r="I1402" i="1"/>
  <c r="I2161" i="1"/>
  <c r="I2097" i="1"/>
  <c r="I2040" i="1"/>
  <c r="I1997" i="1"/>
  <c r="I1955" i="1"/>
  <c r="I1912" i="1"/>
  <c r="I1868" i="1"/>
  <c r="I1771" i="1"/>
  <c r="I1704" i="1"/>
  <c r="I1542" i="1"/>
  <c r="I2385" i="1"/>
  <c r="I2353" i="1"/>
  <c r="I2321" i="1"/>
  <c r="I2289" i="1"/>
  <c r="I2257" i="1"/>
  <c r="I2225" i="1"/>
  <c r="I2188" i="1"/>
  <c r="I2124" i="1"/>
  <c r="I1873" i="1"/>
  <c r="I1770" i="1"/>
  <c r="I1473" i="1"/>
  <c r="I2128" i="1"/>
  <c r="I2039" i="1"/>
  <c r="I1964" i="1"/>
  <c r="I1905" i="1"/>
  <c r="I1788" i="1"/>
  <c r="I1639" i="1"/>
  <c r="I2404" i="1"/>
  <c r="I2348" i="1"/>
  <c r="I2304" i="1"/>
  <c r="I2248" i="1"/>
  <c r="I2196" i="1"/>
  <c r="I2100" i="1"/>
  <c r="I1786" i="1"/>
  <c r="I1626" i="1"/>
  <c r="I1584" i="1"/>
  <c r="I1514" i="1"/>
  <c r="I1396" i="1"/>
  <c r="I1606" i="1"/>
  <c r="I1472" i="1"/>
  <c r="I1337" i="1"/>
  <c r="I1561" i="1"/>
  <c r="I1420" i="1"/>
  <c r="I1637" i="1"/>
  <c r="I1386" i="1"/>
  <c r="I1824" i="1"/>
  <c r="I1641" i="1"/>
  <c r="I1501" i="1"/>
  <c r="I2054" i="1"/>
  <c r="I1962" i="1"/>
  <c r="I1860" i="1"/>
  <c r="I1718" i="1"/>
  <c r="I1481" i="1"/>
  <c r="I1292" i="1"/>
  <c r="I929" i="1"/>
  <c r="I1140" i="1"/>
  <c r="I1487" i="1"/>
  <c r="I1359" i="1"/>
  <c r="I658" i="1"/>
  <c r="I1089" i="1"/>
  <c r="I716" i="1"/>
  <c r="I1079" i="1"/>
  <c r="I694" i="1"/>
  <c r="I1028" i="1"/>
  <c r="I1279" i="1"/>
  <c r="I1146" i="1"/>
  <c r="I758" i="1"/>
  <c r="I462" i="1"/>
  <c r="I1167" i="1"/>
  <c r="I1284" i="1"/>
  <c r="I1090" i="1"/>
  <c r="I600" i="1"/>
  <c r="I1126" i="1"/>
  <c r="I904" i="1"/>
  <c r="I1364" i="1"/>
  <c r="I1332" i="1"/>
  <c r="I1281" i="1"/>
  <c r="I1122" i="1"/>
  <c r="I759" i="1"/>
  <c r="I1103" i="1"/>
  <c r="I923" i="1"/>
  <c r="I1483" i="1"/>
  <c r="I1451" i="1"/>
  <c r="I1419" i="1"/>
  <c r="I1387" i="1"/>
  <c r="I1355" i="1"/>
  <c r="I1323" i="1"/>
  <c r="I1253" i="1"/>
  <c r="I1004" i="1"/>
  <c r="I531" i="1"/>
  <c r="I1062" i="1"/>
  <c r="I741" i="1"/>
  <c r="I1148" i="1"/>
  <c r="I1084" i="1"/>
  <c r="I1008" i="1"/>
  <c r="I903" i="1"/>
  <c r="I827" i="1"/>
  <c r="I622" i="1"/>
  <c r="I1256" i="1"/>
  <c r="I1198" i="1"/>
  <c r="I1134" i="1"/>
  <c r="I1070" i="1"/>
  <c r="I1013" i="1"/>
  <c r="I970" i="1"/>
  <c r="I927" i="1"/>
  <c r="I673" i="1"/>
  <c r="I1211" i="1"/>
  <c r="I1147" i="1"/>
  <c r="I1083" i="1"/>
  <c r="I1012" i="1"/>
  <c r="I882" i="1"/>
  <c r="I802" i="1"/>
  <c r="I1319" i="1"/>
  <c r="I1271" i="1"/>
  <c r="I1192" i="1"/>
  <c r="I1022" i="1"/>
  <c r="I926" i="1"/>
  <c r="I1091" i="1"/>
  <c r="I726" i="1"/>
  <c r="I1223" i="1"/>
  <c r="I989" i="1"/>
  <c r="I714" i="1"/>
  <c r="I740" i="1"/>
  <c r="I877" i="1"/>
  <c r="I744" i="1"/>
  <c r="I387" i="1"/>
  <c r="I977" i="1"/>
  <c r="I1656" i="1"/>
  <c r="I1592" i="1"/>
  <c r="I1545" i="1"/>
  <c r="I1502" i="1"/>
  <c r="I1413" i="1"/>
  <c r="I956" i="1"/>
  <c r="I1683" i="1"/>
  <c r="I1619" i="1"/>
  <c r="I1523" i="1"/>
  <c r="I1432" i="1"/>
  <c r="I1362" i="1"/>
  <c r="I628" i="1"/>
  <c r="I1815" i="1"/>
  <c r="I1751" i="1"/>
  <c r="I1687" i="1"/>
  <c r="I1623" i="1"/>
  <c r="I1570" i="1"/>
  <c r="I1528" i="1"/>
  <c r="I1469" i="1"/>
  <c r="I1342" i="1"/>
  <c r="I2050" i="1"/>
  <c r="I2018" i="1"/>
  <c r="I1986" i="1"/>
  <c r="I1954" i="1"/>
  <c r="I1922" i="1"/>
  <c r="I1890" i="1"/>
  <c r="I1837" i="1"/>
  <c r="I1773" i="1"/>
  <c r="I1709" i="1"/>
  <c r="I1645" i="1"/>
  <c r="I1575" i="1"/>
  <c r="I1456" i="1"/>
  <c r="I1377" i="1"/>
  <c r="I1094" i="1"/>
  <c r="I1276" i="1"/>
  <c r="I1035" i="1"/>
  <c r="I446" i="1"/>
  <c r="I1071" i="1"/>
  <c r="I699" i="1"/>
  <c r="I1360" i="1"/>
  <c r="I1328" i="1"/>
  <c r="I1273" i="1"/>
  <c r="I1067" i="1"/>
  <c r="I679" i="1"/>
  <c r="I1085" i="1"/>
  <c r="I898" i="1"/>
  <c r="I1479" i="1"/>
  <c r="I1447" i="1"/>
  <c r="I1415" i="1"/>
  <c r="I1383" i="1"/>
  <c r="I1351" i="1"/>
  <c r="I1313" i="1"/>
  <c r="I1241" i="1"/>
  <c r="I940" i="1"/>
  <c r="I1240" i="1"/>
  <c r="I1025" i="1"/>
  <c r="I358" i="1"/>
  <c r="I1139" i="1"/>
  <c r="I1075" i="1"/>
  <c r="I992" i="1"/>
  <c r="I883" i="1"/>
  <c r="I819" i="1"/>
  <c r="I593" i="1"/>
  <c r="I1252" i="1"/>
  <c r="I1189" i="1"/>
  <c r="I1125" i="1"/>
  <c r="I1061" i="1"/>
  <c r="I1007" i="1"/>
  <c r="I965" i="1"/>
  <c r="I922" i="1"/>
  <c r="I650" i="1"/>
  <c r="I1202" i="1"/>
  <c r="I1138" i="1"/>
  <c r="I1074" i="1"/>
  <c r="I996" i="1"/>
  <c r="I874" i="1"/>
  <c r="I782" i="1"/>
  <c r="I1315" i="1"/>
  <c r="I1259" i="1"/>
  <c r="I1183" i="1"/>
  <c r="I1017" i="1"/>
  <c r="I750" i="1"/>
  <c r="I1082" i="1"/>
  <c r="I705" i="1"/>
  <c r="I1214" i="1"/>
  <c r="I983" i="1"/>
  <c r="I709" i="1"/>
  <c r="I724" i="1"/>
  <c r="I873" i="1"/>
  <c r="I739" i="1"/>
  <c r="I377" i="1"/>
  <c r="I1630" i="1"/>
  <c r="I1329" i="1"/>
  <c r="I2146" i="1"/>
  <c r="I2082" i="1"/>
  <c r="I2028" i="1"/>
  <c r="I1985" i="1"/>
  <c r="I1943" i="1"/>
  <c r="I1900" i="1"/>
  <c r="I1843" i="1"/>
  <c r="I1757" i="1"/>
  <c r="I1657" i="1"/>
  <c r="I1493" i="1"/>
  <c r="I2396" i="1"/>
  <c r="I2364" i="1"/>
  <c r="I2332" i="1"/>
  <c r="I2300" i="1"/>
  <c r="I2268" i="1"/>
  <c r="I2236" i="1"/>
  <c r="I2204" i="1"/>
  <c r="I2150" i="1"/>
  <c r="I2086" i="1"/>
  <c r="I1823" i="1"/>
  <c r="I1744" i="1"/>
  <c r="I1616" i="1"/>
  <c r="I1149" i="1"/>
  <c r="I1568" i="1"/>
  <c r="I1525" i="1"/>
  <c r="I1460" i="1"/>
  <c r="I1349" i="1"/>
  <c r="I721" i="1"/>
  <c r="I1567" i="1"/>
  <c r="I1465" i="1"/>
  <c r="I1381" i="1"/>
  <c r="I1711" i="1"/>
  <c r="I1647" i="1"/>
  <c r="I1582" i="1"/>
  <c r="I1540" i="1"/>
  <c r="I1484" i="1"/>
  <c r="I1406" i="1"/>
  <c r="I854" i="1"/>
  <c r="I1678" i="1"/>
  <c r="I1614" i="1"/>
  <c r="I1507" i="1"/>
  <c r="I1425" i="1"/>
  <c r="I1354" i="1"/>
  <c r="I1874" i="1"/>
  <c r="I1810" i="1"/>
  <c r="I1746" i="1"/>
  <c r="I1682" i="1"/>
  <c r="I1618" i="1"/>
  <c r="I1565" i="1"/>
  <c r="I1522" i="1"/>
  <c r="I1462" i="1"/>
  <c r="I1333" i="1"/>
  <c r="I2046" i="1"/>
  <c r="I2014" i="1"/>
  <c r="I1982" i="1"/>
  <c r="I1950" i="1"/>
  <c r="I1918" i="1"/>
  <c r="I1886" i="1"/>
  <c r="I1828" i="1"/>
  <c r="I1764" i="1"/>
  <c r="I1700" i="1"/>
  <c r="I1636" i="1"/>
  <c r="I1559" i="1"/>
  <c r="I1449" i="1"/>
  <c r="I1369" i="1"/>
  <c r="I1019" i="1"/>
  <c r="I1268" i="1"/>
  <c r="I972" i="1"/>
  <c r="I1257" i="1"/>
  <c r="I1053" i="1"/>
  <c r="I599" i="1"/>
  <c r="I1356" i="1"/>
  <c r="I1324" i="1"/>
  <c r="I1265" i="1"/>
  <c r="I1049" i="1"/>
  <c r="I403" i="1"/>
  <c r="I1048" i="1"/>
  <c r="I678" i="1"/>
  <c r="I1475" i="1"/>
  <c r="I1443" i="1"/>
  <c r="I1411" i="1"/>
  <c r="I1379" i="1"/>
  <c r="I1347" i="1"/>
  <c r="I1308" i="1"/>
  <c r="I1204" i="1"/>
  <c r="I918" i="1"/>
  <c r="I1227" i="1"/>
  <c r="I1003" i="1"/>
  <c r="I1194" i="1"/>
  <c r="I1130" i="1"/>
  <c r="I1066" i="1"/>
  <c r="I976" i="1"/>
  <c r="I875" i="1"/>
  <c r="I811" i="1"/>
  <c r="I521" i="1"/>
  <c r="I1248" i="1"/>
  <c r="I1184" i="1"/>
  <c r="I1120" i="1"/>
  <c r="I1056" i="1"/>
  <c r="I1002" i="1"/>
  <c r="I959" i="1"/>
  <c r="I915" i="1"/>
  <c r="I590" i="1"/>
  <c r="I1193" i="1"/>
  <c r="I1129" i="1"/>
  <c r="I1065" i="1"/>
  <c r="I980" i="1"/>
  <c r="I866" i="1"/>
  <c r="I731" i="1"/>
  <c r="I1311" i="1"/>
  <c r="I1255" i="1"/>
  <c r="I1142" i="1"/>
  <c r="I1011" i="1"/>
  <c r="I689" i="1"/>
  <c r="I1016" i="1"/>
  <c r="I414" i="1"/>
  <c r="I1159" i="1"/>
  <c r="I946" i="1"/>
  <c r="I613" i="1"/>
  <c r="I672" i="1"/>
  <c r="I845" i="1"/>
  <c r="I671" i="1"/>
  <c r="I702" i="1"/>
  <c r="I1831" i="1"/>
  <c r="I1752" i="1"/>
  <c r="I1617" i="1"/>
  <c r="I1213" i="1"/>
  <c r="I2137" i="1"/>
  <c r="I2073" i="1"/>
  <c r="I2023" i="1"/>
  <c r="I1980" i="1"/>
  <c r="I1937" i="1"/>
  <c r="I1895" i="1"/>
  <c r="I1836" i="1"/>
  <c r="I1739" i="1"/>
  <c r="I1648" i="1"/>
  <c r="I1468" i="1"/>
  <c r="I2392" i="1"/>
  <c r="I2360" i="1"/>
  <c r="I2328" i="1"/>
  <c r="I2296" i="1"/>
  <c r="I2264" i="1"/>
  <c r="I2232" i="1"/>
  <c r="I2200" i="1"/>
  <c r="I2141" i="1"/>
  <c r="I2077" i="1"/>
  <c r="I1817" i="1"/>
  <c r="I1738" i="1"/>
  <c r="I1598" i="1"/>
  <c r="I786" i="1"/>
  <c r="I1562" i="1"/>
  <c r="I1520" i="1"/>
  <c r="I1453" i="1"/>
  <c r="I1326" i="1"/>
  <c r="I1629" i="1"/>
  <c r="I1551" i="1"/>
  <c r="I1458" i="1"/>
  <c r="I1373" i="1"/>
  <c r="I1706" i="1"/>
  <c r="I1642" i="1"/>
  <c r="I1577" i="1"/>
  <c r="I1534" i="1"/>
  <c r="I1477" i="1"/>
  <c r="I1388" i="1"/>
  <c r="I630" i="1"/>
  <c r="I1669" i="1"/>
  <c r="I1605" i="1"/>
  <c r="I1496" i="1"/>
  <c r="I1418" i="1"/>
  <c r="I1345" i="1"/>
  <c r="I1865" i="1"/>
  <c r="I1801" i="1"/>
  <c r="I1737" i="1"/>
  <c r="I1673" i="1"/>
  <c r="I1609" i="1"/>
  <c r="I1560" i="1"/>
  <c r="I1517" i="1"/>
  <c r="I1444" i="1"/>
  <c r="I1301" i="1"/>
  <c r="I2042" i="1"/>
  <c r="I2010" i="1"/>
  <c r="I1978" i="1"/>
  <c r="I1946" i="1"/>
  <c r="I1914" i="1"/>
  <c r="I1882" i="1"/>
  <c r="I1819" i="1"/>
  <c r="I1755" i="1"/>
  <c r="I1691" i="1"/>
  <c r="I1627" i="1"/>
  <c r="I1543" i="1"/>
  <c r="I1442" i="1"/>
  <c r="I1361" i="1"/>
  <c r="I934" i="1"/>
  <c r="I1212" i="1"/>
  <c r="I878" i="1"/>
  <c r="I1235" i="1"/>
  <c r="I1014" i="1"/>
  <c r="I1384" i="1"/>
  <c r="I1352" i="1"/>
  <c r="I1320" i="1"/>
  <c r="I1245" i="1"/>
  <c r="I988" i="1"/>
  <c r="I1244" i="1"/>
  <c r="I1030" i="1"/>
  <c r="I566" i="1"/>
  <c r="I1471" i="1"/>
  <c r="I1439" i="1"/>
  <c r="I1407" i="1"/>
  <c r="I1375" i="1"/>
  <c r="I1343" i="1"/>
  <c r="I1296" i="1"/>
  <c r="I1172" i="1"/>
  <c r="I892" i="1"/>
  <c r="I1217" i="1"/>
  <c r="I982" i="1"/>
  <c r="I1185" i="1"/>
  <c r="I1121" i="1"/>
  <c r="I1057" i="1"/>
  <c r="I960" i="1"/>
  <c r="I867" i="1"/>
  <c r="I803" i="1"/>
  <c r="I478" i="1"/>
  <c r="I1239" i="1"/>
  <c r="I1175" i="1"/>
  <c r="I1111" i="1"/>
  <c r="I1047" i="1"/>
  <c r="I997" i="1"/>
  <c r="I954" i="1"/>
  <c r="I896" i="1"/>
  <c r="I557" i="1"/>
  <c r="I1188" i="1"/>
  <c r="I1124" i="1"/>
  <c r="I1060" i="1"/>
  <c r="I964" i="1"/>
  <c r="I858" i="1"/>
  <c r="I710" i="1"/>
  <c r="I1303" i="1"/>
  <c r="I1251" i="1"/>
  <c r="I1133" i="1"/>
  <c r="I979" i="1"/>
  <c r="I668" i="1"/>
  <c r="I1000" i="1"/>
  <c r="I371" i="1"/>
  <c r="I1150" i="1"/>
  <c r="I941" i="1"/>
  <c r="I605" i="1"/>
  <c r="I655" i="1"/>
  <c r="I841" i="1"/>
  <c r="I666" i="1"/>
  <c r="I691" i="1"/>
  <c r="I1697" i="1"/>
  <c r="I1633" i="1"/>
  <c r="I1572" i="1"/>
  <c r="I1529" i="1"/>
  <c r="I1470" i="1"/>
  <c r="I1334" i="1"/>
  <c r="I1724" i="1"/>
  <c r="I1660" i="1"/>
  <c r="I1596" i="1"/>
  <c r="I1489" i="1"/>
  <c r="I1400" i="1"/>
  <c r="I1322" i="1"/>
  <c r="I1856" i="1"/>
  <c r="I1792" i="1"/>
  <c r="I1728" i="1"/>
  <c r="I1664" i="1"/>
  <c r="I1600" i="1"/>
  <c r="I1554" i="1"/>
  <c r="I1512" i="1"/>
  <c r="I1437" i="1"/>
  <c r="I1269" i="1"/>
  <c r="I2038" i="1"/>
  <c r="I2006" i="1"/>
  <c r="I1974" i="1"/>
  <c r="I1942" i="1"/>
  <c r="I1910" i="1"/>
  <c r="I1878" i="1"/>
  <c r="I1814" i="1"/>
  <c r="I1750" i="1"/>
  <c r="I1686" i="1"/>
  <c r="I1622" i="1"/>
  <c r="I1527" i="1"/>
  <c r="I1424" i="1"/>
  <c r="I1353" i="1"/>
  <c r="I1316" i="1"/>
  <c r="I1199" i="1"/>
  <c r="I846" i="1"/>
  <c r="I1222" i="1"/>
  <c r="I993" i="1"/>
  <c r="I1380" i="1"/>
  <c r="I1348" i="1"/>
  <c r="I1309" i="1"/>
  <c r="I1208" i="1"/>
  <c r="I924" i="1"/>
  <c r="I1231" i="1"/>
  <c r="I1009" i="1"/>
  <c r="I1499" i="1"/>
  <c r="I1467" i="1"/>
  <c r="I1435" i="1"/>
  <c r="I1403" i="1"/>
  <c r="I1371" i="1"/>
  <c r="I1339" i="1"/>
  <c r="I1288" i="1"/>
  <c r="I1154" i="1"/>
  <c r="I862" i="1"/>
  <c r="I1190" i="1"/>
  <c r="I961" i="1"/>
  <c r="I1180" i="1"/>
  <c r="I1116" i="1"/>
  <c r="I1052" i="1"/>
  <c r="I944" i="1"/>
  <c r="I859" i="1"/>
  <c r="I783" i="1"/>
  <c r="I435" i="1"/>
  <c r="I1230" i="1"/>
  <c r="I1166" i="1"/>
  <c r="I1102" i="1"/>
  <c r="I1038" i="1"/>
  <c r="I991" i="1"/>
  <c r="I949" i="1"/>
  <c r="I890" i="1"/>
  <c r="I1243" i="1"/>
  <c r="I1179" i="1"/>
  <c r="I1115" i="1"/>
  <c r="I1051" i="1"/>
  <c r="I948" i="1"/>
  <c r="I850" i="1"/>
  <c r="I614" i="1"/>
  <c r="I1291" i="1"/>
  <c r="I1247" i="1"/>
  <c r="I1128" i="1"/>
  <c r="I974" i="1"/>
  <c r="I1219" i="1"/>
  <c r="I894" i="1"/>
  <c r="I1298" i="1"/>
  <c r="I1095" i="1"/>
  <c r="I787" i="1"/>
  <c r="I509" i="1"/>
  <c r="I546" i="1"/>
  <c r="I813" i="1"/>
  <c r="I571" i="1"/>
  <c r="I640" i="1"/>
  <c r="I2078" i="1"/>
  <c r="I1818" i="1"/>
  <c r="I1727" i="1"/>
  <c r="I1563" i="1"/>
  <c r="I2183" i="1"/>
  <c r="I2119" i="1"/>
  <c r="I2055" i="1"/>
  <c r="I2012" i="1"/>
  <c r="I1969" i="1"/>
  <c r="I1927" i="1"/>
  <c r="I1884" i="1"/>
  <c r="I1812" i="1"/>
  <c r="I1726" i="1"/>
  <c r="I1599" i="1"/>
  <c r="I1317" i="1"/>
  <c r="I2384" i="1"/>
  <c r="I2352" i="1"/>
  <c r="I2320" i="1"/>
  <c r="I2288" i="1"/>
  <c r="I2256" i="1"/>
  <c r="I2224" i="1"/>
  <c r="I2187" i="1"/>
  <c r="I2123" i="1"/>
  <c r="I2059" i="1"/>
  <c r="I1793" i="1"/>
  <c r="I1693" i="1"/>
  <c r="I1515" i="1"/>
  <c r="I1602" i="1"/>
  <c r="I1552" i="1"/>
  <c r="I1509" i="1"/>
  <c r="I1428" i="1"/>
  <c r="I1285" i="1"/>
  <c r="I1611" i="1"/>
  <c r="I1519" i="1"/>
  <c r="I1433" i="1"/>
  <c r="I1357" i="1"/>
  <c r="I1688" i="1"/>
  <c r="I1624" i="1"/>
  <c r="I1566" i="1"/>
  <c r="I1524" i="1"/>
  <c r="I1452" i="1"/>
  <c r="I1325" i="1"/>
  <c r="I1715" i="1"/>
  <c r="I1651" i="1"/>
  <c r="I1587" i="1"/>
  <c r="I1482" i="1"/>
  <c r="I1393" i="1"/>
  <c r="I1236" i="1"/>
  <c r="I1847" i="1"/>
  <c r="I1783" i="1"/>
  <c r="I1719" i="1"/>
  <c r="I1655" i="1"/>
  <c r="I1591" i="1"/>
  <c r="I1549" i="1"/>
  <c r="I1506" i="1"/>
  <c r="I1430" i="1"/>
  <c r="I1020" i="1"/>
  <c r="I2034" i="1"/>
  <c r="I2002" i="1"/>
  <c r="I1970" i="1"/>
  <c r="I1938" i="1"/>
  <c r="I1906" i="1"/>
  <c r="I1869" i="1"/>
  <c r="I1805" i="1"/>
  <c r="I1741" i="1"/>
  <c r="I1677" i="1"/>
  <c r="I1613" i="1"/>
  <c r="I1511" i="1"/>
  <c r="I1417" i="1"/>
  <c r="I1330" i="1"/>
  <c r="I1305" i="1"/>
  <c r="I1163" i="1"/>
  <c r="I814" i="1"/>
  <c r="I1209" i="1"/>
  <c r="I971" i="1"/>
  <c r="I1376" i="1"/>
  <c r="I1344" i="1"/>
  <c r="I1304" i="1"/>
  <c r="I1195" i="1"/>
  <c r="I870" i="1"/>
  <c r="I1218" i="1"/>
  <c r="I987" i="1"/>
  <c r="I1495" i="1"/>
  <c r="I1463" i="1"/>
  <c r="I1431" i="1"/>
  <c r="I1399" i="1"/>
  <c r="I1367" i="1"/>
  <c r="I1335" i="1"/>
  <c r="I1280" i="1"/>
  <c r="I1099" i="1"/>
  <c r="I830" i="1"/>
  <c r="I1135" i="1"/>
  <c r="I939" i="1"/>
  <c r="I1171" i="1"/>
  <c r="I1107" i="1"/>
  <c r="I1043" i="1"/>
  <c r="I928" i="1"/>
  <c r="I851" i="1"/>
  <c r="I771" i="1"/>
  <c r="I393" i="1"/>
  <c r="I1221" i="1"/>
  <c r="I1157" i="1"/>
  <c r="I1093" i="1"/>
  <c r="I1029" i="1"/>
  <c r="I986" i="1"/>
  <c r="I943" i="1"/>
  <c r="I794" i="1"/>
  <c r="I1234" i="1"/>
  <c r="I1170" i="1"/>
  <c r="I1106" i="1"/>
  <c r="I1042" i="1"/>
  <c r="I932" i="1"/>
  <c r="I826" i="1"/>
  <c r="I583" i="1"/>
  <c r="I1287" i="1"/>
  <c r="I1229" i="1"/>
  <c r="I1078" i="1"/>
  <c r="I969" i="1"/>
  <c r="I1210" i="1"/>
  <c r="I887" i="1"/>
  <c r="I1294" i="1"/>
  <c r="I1086" i="1"/>
  <c r="I778" i="1"/>
  <c r="I498" i="1"/>
  <c r="I537" i="1"/>
  <c r="I809" i="1"/>
  <c r="I562" i="1"/>
  <c r="I632" i="1"/>
  <c r="I365" i="1"/>
  <c r="I864" i="1"/>
  <c r="I832" i="1"/>
  <c r="I800" i="1"/>
  <c r="I768" i="1"/>
  <c r="I717" i="1"/>
  <c r="I631" i="1"/>
  <c r="I542" i="1"/>
  <c r="I450" i="1"/>
  <c r="I346" i="1"/>
  <c r="I685" i="1"/>
  <c r="I567" i="1"/>
  <c r="I228" i="1"/>
  <c r="I224" i="1"/>
  <c r="I507" i="1"/>
  <c r="I465" i="1"/>
  <c r="I422" i="1"/>
  <c r="I379" i="1"/>
  <c r="I89" i="1"/>
  <c r="I602" i="1"/>
  <c r="I652" i="1"/>
  <c r="I591" i="1"/>
  <c r="I549" i="1"/>
  <c r="I506" i="1"/>
  <c r="I463" i="1"/>
  <c r="I421" i="1"/>
  <c r="I378" i="1"/>
  <c r="I178" i="1"/>
  <c r="I697" i="1"/>
  <c r="I633" i="1"/>
  <c r="I324" i="1"/>
  <c r="I252" i="1"/>
  <c r="I137" i="1"/>
  <c r="I60" i="1"/>
  <c r="I294" i="1"/>
  <c r="I251" i="1"/>
  <c r="I209" i="1"/>
  <c r="I142" i="1"/>
  <c r="I53" i="1"/>
  <c r="I161" i="1"/>
  <c r="I84" i="1"/>
  <c r="I314" i="1"/>
  <c r="I271" i="1"/>
  <c r="I229" i="1"/>
  <c r="I173" i="1"/>
  <c r="I96" i="1"/>
  <c r="I10" i="1"/>
  <c r="I568" i="1"/>
  <c r="I536" i="1"/>
  <c r="I504" i="1"/>
  <c r="I472" i="1"/>
  <c r="I440" i="1"/>
  <c r="I408" i="1"/>
  <c r="I376" i="1"/>
  <c r="I344" i="1"/>
  <c r="I302" i="1"/>
  <c r="I259" i="1"/>
  <c r="I217" i="1"/>
  <c r="I158" i="1"/>
  <c r="I69" i="1"/>
  <c r="I296" i="1"/>
  <c r="I170" i="1"/>
  <c r="I81" i="1"/>
  <c r="I367" i="1"/>
  <c r="I333" i="1"/>
  <c r="I290" i="1"/>
  <c r="I247" i="1"/>
  <c r="I205" i="1"/>
  <c r="I144" i="1"/>
  <c r="I54" i="1"/>
  <c r="I4" i="1"/>
  <c r="I159" i="1"/>
  <c r="I127" i="1"/>
  <c r="I95" i="1"/>
  <c r="I63" i="1"/>
  <c r="I31" i="1"/>
  <c r="I321" i="1"/>
  <c r="I860" i="1"/>
  <c r="I828" i="1"/>
  <c r="I796" i="1"/>
  <c r="I764" i="1"/>
  <c r="I712" i="1"/>
  <c r="I623" i="1"/>
  <c r="I525" i="1"/>
  <c r="I439" i="1"/>
  <c r="I747" i="1"/>
  <c r="I680" i="1"/>
  <c r="I558" i="1"/>
  <c r="I153" i="1"/>
  <c r="I196" i="1"/>
  <c r="I502" i="1"/>
  <c r="I459" i="1"/>
  <c r="I417" i="1"/>
  <c r="I374" i="1"/>
  <c r="I657" i="1"/>
  <c r="I349" i="1"/>
  <c r="I647" i="1"/>
  <c r="I586" i="1"/>
  <c r="I543" i="1"/>
  <c r="I501" i="1"/>
  <c r="I458" i="1"/>
  <c r="I415" i="1"/>
  <c r="I373" i="1"/>
  <c r="I76" i="1"/>
  <c r="I688" i="1"/>
  <c r="I624" i="1"/>
  <c r="I256" i="1"/>
  <c r="I236" i="1"/>
  <c r="I130" i="1"/>
  <c r="I41" i="1"/>
  <c r="I289" i="1"/>
  <c r="I246" i="1"/>
  <c r="I203" i="1"/>
  <c r="I136" i="1"/>
  <c r="I46" i="1"/>
  <c r="I154" i="1"/>
  <c r="I65" i="1"/>
  <c r="I309" i="1"/>
  <c r="I266" i="1"/>
  <c r="I223" i="1"/>
  <c r="I166" i="1"/>
  <c r="I77" i="1"/>
  <c r="I596" i="1"/>
  <c r="I564" i="1"/>
  <c r="I532" i="1"/>
  <c r="I500" i="1"/>
  <c r="I468" i="1"/>
  <c r="I436" i="1"/>
  <c r="I404" i="1"/>
  <c r="I372" i="1"/>
  <c r="I339" i="1"/>
  <c r="I297" i="1"/>
  <c r="I254" i="1"/>
  <c r="I211" i="1"/>
  <c r="I152" i="1"/>
  <c r="I62" i="1"/>
  <c r="I280" i="1"/>
  <c r="I164" i="1"/>
  <c r="I74" i="1"/>
  <c r="I363" i="1"/>
  <c r="I327" i="1"/>
  <c r="I285" i="1"/>
  <c r="I242" i="1"/>
  <c r="I199" i="1"/>
  <c r="I125" i="1"/>
  <c r="I48" i="1"/>
  <c r="I187" i="1"/>
  <c r="I155" i="1"/>
  <c r="I123" i="1"/>
  <c r="I91" i="1"/>
  <c r="I59" i="1"/>
  <c r="I27" i="1"/>
  <c r="I1201" i="1"/>
  <c r="I1137" i="1"/>
  <c r="I1073" i="1"/>
  <c r="I984" i="1"/>
  <c r="I879" i="1"/>
  <c r="I815" i="1"/>
  <c r="I663" i="1"/>
  <c r="I212" i="1"/>
  <c r="I1290" i="1"/>
  <c r="I1258" i="1"/>
  <c r="I1205" i="1"/>
  <c r="I1141" i="1"/>
  <c r="I1077" i="1"/>
  <c r="I1021" i="1"/>
  <c r="I978" i="1"/>
  <c r="I935" i="1"/>
  <c r="I684" i="1"/>
  <c r="I754" i="1"/>
  <c r="I704" i="1"/>
  <c r="I582" i="1"/>
  <c r="I487" i="1"/>
  <c r="I402" i="1"/>
  <c r="I703" i="1"/>
  <c r="I649" i="1"/>
  <c r="I357" i="1"/>
  <c r="I901" i="1"/>
  <c r="I869" i="1"/>
  <c r="I837" i="1"/>
  <c r="I805" i="1"/>
  <c r="I773" i="1"/>
  <c r="I734" i="1"/>
  <c r="I661" i="1"/>
  <c r="I553" i="1"/>
  <c r="I451" i="1"/>
  <c r="I353" i="1"/>
  <c r="I686" i="1"/>
  <c r="I603" i="1"/>
  <c r="I108" i="1"/>
  <c r="I856" i="1"/>
  <c r="I824" i="1"/>
  <c r="I792" i="1"/>
  <c r="I760" i="1"/>
  <c r="I701" i="1"/>
  <c r="I617" i="1"/>
  <c r="I514" i="1"/>
  <c r="I429" i="1"/>
  <c r="I742" i="1"/>
  <c r="I669" i="1"/>
  <c r="I534" i="1"/>
  <c r="I50" i="1"/>
  <c r="I146" i="1"/>
  <c r="I497" i="1"/>
  <c r="I454" i="1"/>
  <c r="I411" i="1"/>
  <c r="I369" i="1"/>
  <c r="I648" i="1"/>
  <c r="I342" i="1"/>
  <c r="I638" i="1"/>
  <c r="I581" i="1"/>
  <c r="I538" i="1"/>
  <c r="I495" i="1"/>
  <c r="I453" i="1"/>
  <c r="I410" i="1"/>
  <c r="I361" i="1"/>
  <c r="I25" i="1"/>
  <c r="I683" i="1"/>
  <c r="I619" i="1"/>
  <c r="I172" i="1"/>
  <c r="I220" i="1"/>
  <c r="I124" i="1"/>
  <c r="I34" i="1"/>
  <c r="I283" i="1"/>
  <c r="I241" i="1"/>
  <c r="I198" i="1"/>
  <c r="I117" i="1"/>
  <c r="I40" i="1"/>
  <c r="I148" i="1"/>
  <c r="I58" i="1"/>
  <c r="I303" i="1"/>
  <c r="I261" i="1"/>
  <c r="I218" i="1"/>
  <c r="I160" i="1"/>
  <c r="I70" i="1"/>
  <c r="I592" i="1"/>
  <c r="I560" i="1"/>
  <c r="I528" i="1"/>
  <c r="I496" i="1"/>
  <c r="I464" i="1"/>
  <c r="I432" i="1"/>
  <c r="I400" i="1"/>
  <c r="I368" i="1"/>
  <c r="I334" i="1"/>
  <c r="I291" i="1"/>
  <c r="I249" i="1"/>
  <c r="I206" i="1"/>
  <c r="I133" i="1"/>
  <c r="I56" i="1"/>
  <c r="I264" i="1"/>
  <c r="I145" i="1"/>
  <c r="I68" i="1"/>
  <c r="I359" i="1"/>
  <c r="I322" i="1"/>
  <c r="I279" i="1"/>
  <c r="I237" i="1"/>
  <c r="I194" i="1"/>
  <c r="I118" i="1"/>
  <c r="I29" i="1"/>
  <c r="I183" i="1"/>
  <c r="I151" i="1"/>
  <c r="I119" i="1"/>
  <c r="I87" i="1"/>
  <c r="I55" i="1"/>
  <c r="I23" i="1"/>
  <c r="I1119" i="1"/>
  <c r="I1055" i="1"/>
  <c r="I1006" i="1"/>
  <c r="I963" i="1"/>
  <c r="I920" i="1"/>
  <c r="I644" i="1"/>
  <c r="I1196" i="1"/>
  <c r="I1132" i="1"/>
  <c r="I1068" i="1"/>
  <c r="I968" i="1"/>
  <c r="I871" i="1"/>
  <c r="I807" i="1"/>
  <c r="I608" i="1"/>
  <c r="I1318" i="1"/>
  <c r="I1286" i="1"/>
  <c r="I1254" i="1"/>
  <c r="I1200" i="1"/>
  <c r="I1136" i="1"/>
  <c r="I1072" i="1"/>
  <c r="I1015" i="1"/>
  <c r="I973" i="1"/>
  <c r="I930" i="1"/>
  <c r="I636" i="1"/>
  <c r="I745" i="1"/>
  <c r="I667" i="1"/>
  <c r="I573" i="1"/>
  <c r="I477" i="1"/>
  <c r="I391" i="1"/>
  <c r="I698" i="1"/>
  <c r="I641" i="1"/>
  <c r="I330" i="1"/>
  <c r="I897" i="1"/>
  <c r="I865" i="1"/>
  <c r="I833" i="1"/>
  <c r="I801" i="1"/>
  <c r="I769" i="1"/>
  <c r="I723" i="1"/>
  <c r="I626" i="1"/>
  <c r="I526" i="1"/>
  <c r="I441" i="1"/>
  <c r="I114" i="1"/>
  <c r="I681" i="1"/>
  <c r="I587" i="1"/>
  <c r="I884" i="1"/>
  <c r="I852" i="1"/>
  <c r="I820" i="1"/>
  <c r="I788" i="1"/>
  <c r="I756" i="1"/>
  <c r="I696" i="1"/>
  <c r="I609" i="1"/>
  <c r="I503" i="1"/>
  <c r="I418" i="1"/>
  <c r="I737" i="1"/>
  <c r="I664" i="1"/>
  <c r="I57" i="1"/>
  <c r="I350" i="1"/>
  <c r="I44" i="1"/>
  <c r="I491" i="1"/>
  <c r="I449" i="1"/>
  <c r="I406" i="1"/>
  <c r="I362" i="1"/>
  <c r="I643" i="1"/>
  <c r="I316" i="1"/>
  <c r="I629" i="1"/>
  <c r="I575" i="1"/>
  <c r="I533" i="1"/>
  <c r="I490" i="1"/>
  <c r="I447" i="1"/>
  <c r="I405" i="1"/>
  <c r="I354" i="1"/>
  <c r="I738" i="1"/>
  <c r="I674" i="1"/>
  <c r="I610" i="1"/>
  <c r="I121" i="1"/>
  <c r="I204" i="1"/>
  <c r="I105" i="1"/>
  <c r="I28" i="1"/>
  <c r="I278" i="1"/>
  <c r="I235" i="1"/>
  <c r="I193" i="1"/>
  <c r="I110" i="1"/>
  <c r="I21" i="1"/>
  <c r="I129" i="1"/>
  <c r="I52" i="1"/>
  <c r="I298" i="1"/>
  <c r="I255" i="1"/>
  <c r="I213" i="1"/>
  <c r="I141" i="1"/>
  <c r="I64" i="1"/>
  <c r="I588" i="1"/>
  <c r="I556" i="1"/>
  <c r="I524" i="1"/>
  <c r="I492" i="1"/>
  <c r="I460" i="1"/>
  <c r="I428" i="1"/>
  <c r="I396" i="1"/>
  <c r="I364" i="1"/>
  <c r="I329" i="1"/>
  <c r="I286" i="1"/>
  <c r="I243" i="1"/>
  <c r="I201" i="1"/>
  <c r="I126" i="1"/>
  <c r="I37" i="1"/>
  <c r="I248" i="1"/>
  <c r="I138" i="1"/>
  <c r="I49" i="1"/>
  <c r="I355" i="1"/>
  <c r="I317" i="1"/>
  <c r="I274" i="1"/>
  <c r="I231" i="1"/>
  <c r="I189" i="1"/>
  <c r="I112" i="1"/>
  <c r="I22" i="1"/>
  <c r="I179" i="1"/>
  <c r="I147" i="1"/>
  <c r="I115" i="1"/>
  <c r="I83" i="1"/>
  <c r="I51" i="1"/>
  <c r="I19" i="1"/>
  <c r="I791" i="1"/>
  <c r="I550" i="1"/>
  <c r="I1307" i="1"/>
  <c r="I1275" i="1"/>
  <c r="I1238" i="1"/>
  <c r="I1174" i="1"/>
  <c r="I1110" i="1"/>
  <c r="I1046" i="1"/>
  <c r="I1001" i="1"/>
  <c r="I958" i="1"/>
  <c r="I914" i="1"/>
  <c r="I547" i="1"/>
  <c r="I1187" i="1"/>
  <c r="I1123" i="1"/>
  <c r="I1059" i="1"/>
  <c r="I952" i="1"/>
  <c r="I863" i="1"/>
  <c r="I799" i="1"/>
  <c r="I574" i="1"/>
  <c r="I1314" i="1"/>
  <c r="I1282" i="1"/>
  <c r="I1250" i="1"/>
  <c r="I1191" i="1"/>
  <c r="I1127" i="1"/>
  <c r="I1063" i="1"/>
  <c r="I1010" i="1"/>
  <c r="I967" i="1"/>
  <c r="I925" i="1"/>
  <c r="I607" i="1"/>
  <c r="I735" i="1"/>
  <c r="I662" i="1"/>
  <c r="I563" i="1"/>
  <c r="I466" i="1"/>
  <c r="I381" i="1"/>
  <c r="I693" i="1"/>
  <c r="I598" i="1"/>
  <c r="I272" i="1"/>
  <c r="I893" i="1"/>
  <c r="I861" i="1"/>
  <c r="I829" i="1"/>
  <c r="I797" i="1"/>
  <c r="I765" i="1"/>
  <c r="I718" i="1"/>
  <c r="I618" i="1"/>
  <c r="I515" i="1"/>
  <c r="I430" i="1"/>
  <c r="I748" i="1"/>
  <c r="I676" i="1"/>
  <c r="I578" i="1"/>
  <c r="I880" i="1"/>
  <c r="I848" i="1"/>
  <c r="I816" i="1"/>
  <c r="I784" i="1"/>
  <c r="I752" i="1"/>
  <c r="I675" i="1"/>
  <c r="I594" i="1"/>
  <c r="I493" i="1"/>
  <c r="I407" i="1"/>
  <c r="I732" i="1"/>
  <c r="I653" i="1"/>
  <c r="I345" i="1"/>
  <c r="I336" i="1"/>
  <c r="I529" i="1"/>
  <c r="I486" i="1"/>
  <c r="I443" i="1"/>
  <c r="I401" i="1"/>
  <c r="I335" i="1"/>
  <c r="I634" i="1"/>
  <c r="I304" i="1"/>
  <c r="I620" i="1"/>
  <c r="I570" i="1"/>
  <c r="I527" i="1"/>
  <c r="I485" i="1"/>
  <c r="I442" i="1"/>
  <c r="I399" i="1"/>
  <c r="I332" i="1"/>
  <c r="I729" i="1"/>
  <c r="I665" i="1"/>
  <c r="I601" i="1"/>
  <c r="I18" i="1"/>
  <c r="I188" i="1"/>
  <c r="I98" i="1"/>
  <c r="I14" i="1"/>
  <c r="I273" i="1"/>
  <c r="I230" i="1"/>
  <c r="I181" i="1"/>
  <c r="I104" i="1"/>
  <c r="I208" i="1"/>
  <c r="I122" i="1"/>
  <c r="I33" i="1"/>
  <c r="I293" i="1"/>
  <c r="I250" i="1"/>
  <c r="I207" i="1"/>
  <c r="I134" i="1"/>
  <c r="I45" i="1"/>
  <c r="I584" i="1"/>
  <c r="I552" i="1"/>
  <c r="I520" i="1"/>
  <c r="I488" i="1"/>
  <c r="I456" i="1"/>
  <c r="I424" i="1"/>
  <c r="I392" i="1"/>
  <c r="I360" i="1"/>
  <c r="I323" i="1"/>
  <c r="I281" i="1"/>
  <c r="I238" i="1"/>
  <c r="I195" i="1"/>
  <c r="I120" i="1"/>
  <c r="I30" i="1"/>
  <c r="I232" i="1"/>
  <c r="I132" i="1"/>
  <c r="I42" i="1"/>
  <c r="I351" i="1"/>
  <c r="I311" i="1"/>
  <c r="I269" i="1"/>
  <c r="I226" i="1"/>
  <c r="I182" i="1"/>
  <c r="I93" i="1"/>
  <c r="I16" i="1"/>
  <c r="I175" i="1"/>
  <c r="I143" i="1"/>
  <c r="I111" i="1"/>
  <c r="I79" i="1"/>
  <c r="I47" i="1"/>
  <c r="I15" i="1"/>
  <c r="I1165" i="1"/>
  <c r="I1101" i="1"/>
  <c r="I1037" i="1"/>
  <c r="I995" i="1"/>
  <c r="I953" i="1"/>
  <c r="I907" i="1"/>
  <c r="I1242" i="1"/>
  <c r="I1178" i="1"/>
  <c r="I1114" i="1"/>
  <c r="I1050" i="1"/>
  <c r="I936" i="1"/>
  <c r="I855" i="1"/>
  <c r="I790" i="1"/>
  <c r="I541" i="1"/>
  <c r="I1310" i="1"/>
  <c r="I1278" i="1"/>
  <c r="I1246" i="1"/>
  <c r="I1182" i="1"/>
  <c r="I1118" i="1"/>
  <c r="I1054" i="1"/>
  <c r="I1005" i="1"/>
  <c r="I962" i="1"/>
  <c r="I912" i="1"/>
  <c r="I774" i="1"/>
  <c r="I730" i="1"/>
  <c r="I635" i="1"/>
  <c r="I539" i="1"/>
  <c r="I455" i="1"/>
  <c r="I370" i="1"/>
  <c r="I687" i="1"/>
  <c r="I589" i="1"/>
  <c r="I921" i="1"/>
  <c r="I889" i="1"/>
  <c r="I857" i="1"/>
  <c r="I825" i="1"/>
  <c r="I793" i="1"/>
  <c r="I761" i="1"/>
  <c r="I713" i="1"/>
  <c r="I612" i="1"/>
  <c r="I505" i="1"/>
  <c r="I419" i="1"/>
  <c r="I733" i="1"/>
  <c r="I660" i="1"/>
  <c r="I569" i="1"/>
  <c r="I876" i="1"/>
  <c r="I844" i="1"/>
  <c r="I812" i="1"/>
  <c r="I780" i="1"/>
  <c r="I743" i="1"/>
  <c r="I670" i="1"/>
  <c r="I585" i="1"/>
  <c r="I482" i="1"/>
  <c r="I397" i="1"/>
  <c r="I711" i="1"/>
  <c r="I645" i="1"/>
  <c r="I337" i="1"/>
  <c r="I319" i="1"/>
  <c r="I523" i="1"/>
  <c r="I481" i="1"/>
  <c r="I438" i="1"/>
  <c r="I395" i="1"/>
  <c r="I326" i="1"/>
  <c r="I625" i="1"/>
  <c r="I240" i="1"/>
  <c r="I615" i="1"/>
  <c r="I565" i="1"/>
  <c r="I522" i="1"/>
  <c r="I479" i="1"/>
  <c r="I437" i="1"/>
  <c r="I394" i="1"/>
  <c r="I325" i="1"/>
  <c r="I720" i="1"/>
  <c r="I656" i="1"/>
  <c r="I366" i="1"/>
  <c r="I300" i="1"/>
  <c r="I169" i="1"/>
  <c r="I92" i="1"/>
  <c r="I310" i="1"/>
  <c r="I267" i="1"/>
  <c r="I225" i="1"/>
  <c r="I174" i="1"/>
  <c r="I85" i="1"/>
  <c r="I192" i="1"/>
  <c r="I116" i="1"/>
  <c r="I26" i="1"/>
  <c r="I287" i="1"/>
  <c r="I245" i="1"/>
  <c r="I202" i="1"/>
  <c r="I128" i="1"/>
  <c r="I38" i="1"/>
  <c r="I580" i="1"/>
  <c r="I548" i="1"/>
  <c r="I516" i="1"/>
  <c r="I484" i="1"/>
  <c r="I452" i="1"/>
  <c r="I420" i="1"/>
  <c r="I388" i="1"/>
  <c r="I356" i="1"/>
  <c r="I318" i="1"/>
  <c r="I275" i="1"/>
  <c r="I233" i="1"/>
  <c r="I190" i="1"/>
  <c r="I101" i="1"/>
  <c r="I24" i="1"/>
  <c r="I216" i="1"/>
  <c r="I113" i="1"/>
  <c r="I36" i="1"/>
  <c r="I347" i="1"/>
  <c r="I306" i="1"/>
  <c r="I263" i="1"/>
  <c r="I221" i="1"/>
  <c r="I176" i="1"/>
  <c r="I86" i="1"/>
  <c r="I8" i="1"/>
  <c r="I171" i="1"/>
  <c r="I139" i="1"/>
  <c r="I107" i="1"/>
  <c r="I75" i="1"/>
  <c r="I43" i="1"/>
  <c r="I11" i="1"/>
  <c r="I842" i="1"/>
  <c r="I767" i="1"/>
  <c r="I467" i="1"/>
  <c r="I1299" i="1"/>
  <c r="I1267" i="1"/>
  <c r="I1224" i="1"/>
  <c r="I1160" i="1"/>
  <c r="I1096" i="1"/>
  <c r="I1032" i="1"/>
  <c r="I990" i="1"/>
  <c r="I947" i="1"/>
  <c r="I888" i="1"/>
  <c r="I1233" i="1"/>
  <c r="I1169" i="1"/>
  <c r="I1105" i="1"/>
  <c r="I1041" i="1"/>
  <c r="I919" i="1"/>
  <c r="I847" i="1"/>
  <c r="I763" i="1"/>
  <c r="I499" i="1"/>
  <c r="I1306" i="1"/>
  <c r="I1274" i="1"/>
  <c r="I1237" i="1"/>
  <c r="I1173" i="1"/>
  <c r="I1109" i="1"/>
  <c r="I1045" i="1"/>
  <c r="I999" i="1"/>
  <c r="I957" i="1"/>
  <c r="I906" i="1"/>
  <c r="I770" i="1"/>
  <c r="I725" i="1"/>
  <c r="I627" i="1"/>
  <c r="I530" i="1"/>
  <c r="I445" i="1"/>
  <c r="I276" i="1"/>
  <c r="I682" i="1"/>
  <c r="I579" i="1"/>
  <c r="I917" i="1"/>
  <c r="I885" i="1"/>
  <c r="I853" i="1"/>
  <c r="I821" i="1"/>
  <c r="I789" i="1"/>
  <c r="I757" i="1"/>
  <c r="I708" i="1"/>
  <c r="I604" i="1"/>
  <c r="I494" i="1"/>
  <c r="I409" i="1"/>
  <c r="I728" i="1"/>
  <c r="I654" i="1"/>
  <c r="I545" i="1"/>
  <c r="I872" i="1"/>
  <c r="I840" i="1"/>
  <c r="I808" i="1"/>
  <c r="I776" i="1"/>
  <c r="I727" i="1"/>
  <c r="I659" i="1"/>
  <c r="I561" i="1"/>
  <c r="I471" i="1"/>
  <c r="I386" i="1"/>
  <c r="I695" i="1"/>
  <c r="I637" i="1"/>
  <c r="I320" i="1"/>
  <c r="I308" i="1"/>
  <c r="I518" i="1"/>
  <c r="I475" i="1"/>
  <c r="I433" i="1"/>
  <c r="I390" i="1"/>
  <c r="I244" i="1"/>
  <c r="I616" i="1"/>
  <c r="I185" i="1"/>
  <c r="I606" i="1"/>
  <c r="I559" i="1"/>
  <c r="I517" i="1"/>
  <c r="I474" i="1"/>
  <c r="I431" i="1"/>
  <c r="I389" i="1"/>
  <c r="I315" i="1"/>
  <c r="I715" i="1"/>
  <c r="I651" i="1"/>
  <c r="I341" i="1"/>
  <c r="I284" i="1"/>
  <c r="I162" i="1"/>
  <c r="I73" i="1"/>
  <c r="I305" i="1"/>
  <c r="I262" i="1"/>
  <c r="I219" i="1"/>
  <c r="I168" i="1"/>
  <c r="I78" i="1"/>
  <c r="I186" i="1"/>
  <c r="I97" i="1"/>
  <c r="I20" i="1"/>
  <c r="I282" i="1"/>
  <c r="I239" i="1"/>
  <c r="I197" i="1"/>
  <c r="I109" i="1"/>
  <c r="I32" i="1"/>
  <c r="I576" i="1"/>
  <c r="I544" i="1"/>
  <c r="I512" i="1"/>
  <c r="I480" i="1"/>
  <c r="I448" i="1"/>
  <c r="I416" i="1"/>
  <c r="I384" i="1"/>
  <c r="I352" i="1"/>
  <c r="I313" i="1"/>
  <c r="I270" i="1"/>
  <c r="I227" i="1"/>
  <c r="I184" i="1"/>
  <c r="I94" i="1"/>
  <c r="I328" i="1"/>
  <c r="I200" i="1"/>
  <c r="I106" i="1"/>
  <c r="I17" i="1"/>
  <c r="I343" i="1"/>
  <c r="I301" i="1"/>
  <c r="I258" i="1"/>
  <c r="I215" i="1"/>
  <c r="I157" i="1"/>
  <c r="I80" i="1"/>
  <c r="I6" i="1"/>
  <c r="I167" i="1"/>
  <c r="I135" i="1"/>
  <c r="I103" i="1"/>
  <c r="I71" i="1"/>
  <c r="I39" i="1"/>
  <c r="I7" i="1"/>
  <c r="I902" i="1"/>
  <c r="I834" i="1"/>
  <c r="I751" i="1"/>
  <c r="I425" i="1"/>
  <c r="I1295" i="1"/>
  <c r="I1263" i="1"/>
  <c r="I1215" i="1"/>
  <c r="I1151" i="1"/>
  <c r="I1087" i="1"/>
  <c r="I1027" i="1"/>
  <c r="I985" i="1"/>
  <c r="I942" i="1"/>
  <c r="I779" i="1"/>
  <c r="I1228" i="1"/>
  <c r="I1164" i="1"/>
  <c r="I1100" i="1"/>
  <c r="I1036" i="1"/>
  <c r="I900" i="1"/>
  <c r="I839" i="1"/>
  <c r="I746" i="1"/>
  <c r="I457" i="1"/>
  <c r="I1302" i="1"/>
  <c r="I1270" i="1"/>
  <c r="I1232" i="1"/>
  <c r="I1168" i="1"/>
  <c r="I1104" i="1"/>
  <c r="I1040" i="1"/>
  <c r="I994" i="1"/>
  <c r="I951" i="1"/>
  <c r="I899" i="1"/>
  <c r="I766" i="1"/>
  <c r="I719" i="1"/>
  <c r="I621" i="1"/>
  <c r="I519" i="1"/>
  <c r="I434" i="1"/>
  <c r="I749" i="1"/>
  <c r="I677" i="1"/>
  <c r="I555" i="1"/>
  <c r="I913" i="1"/>
  <c r="I881" i="1"/>
  <c r="I849" i="1"/>
  <c r="I817" i="1"/>
  <c r="I785" i="1"/>
  <c r="I753" i="1"/>
  <c r="I692" i="1"/>
  <c r="I595" i="1"/>
  <c r="I483" i="1"/>
  <c r="I398" i="1"/>
  <c r="I707" i="1"/>
  <c r="I646" i="1"/>
  <c r="I535" i="1"/>
  <c r="I868" i="1"/>
  <c r="I836" i="1"/>
  <c r="I804" i="1"/>
  <c r="I772" i="1"/>
  <c r="I722" i="1"/>
  <c r="I639" i="1"/>
  <c r="I551" i="1"/>
  <c r="I461" i="1"/>
  <c r="I375" i="1"/>
  <c r="I690" i="1"/>
  <c r="I577" i="1"/>
  <c r="I292" i="1"/>
  <c r="I288" i="1"/>
  <c r="I513" i="1"/>
  <c r="I470" i="1"/>
  <c r="I427" i="1"/>
  <c r="I385" i="1"/>
  <c r="I140" i="1"/>
  <c r="I611" i="1"/>
  <c r="I82" i="1"/>
  <c r="I597" i="1"/>
  <c r="I554" i="1"/>
  <c r="I511" i="1"/>
  <c r="I469" i="1"/>
  <c r="I426" i="1"/>
  <c r="I383" i="1"/>
  <c r="I260" i="1"/>
  <c r="I706" i="1"/>
  <c r="I642" i="1"/>
  <c r="I331" i="1"/>
  <c r="I268" i="1"/>
  <c r="I156" i="1"/>
  <c r="I66" i="1"/>
  <c r="I299" i="1"/>
  <c r="I257" i="1"/>
  <c r="I214" i="1"/>
  <c r="I149" i="1"/>
  <c r="I72" i="1"/>
  <c r="I180" i="1"/>
  <c r="I90" i="1"/>
  <c r="I13" i="1"/>
  <c r="I277" i="1"/>
  <c r="I234" i="1"/>
  <c r="I191" i="1"/>
  <c r="I102" i="1"/>
  <c r="I12" i="1"/>
  <c r="I572" i="1"/>
  <c r="I540" i="1"/>
  <c r="I508" i="1"/>
  <c r="I476" i="1"/>
  <c r="I444" i="1"/>
  <c r="I412" i="1"/>
  <c r="I380" i="1"/>
  <c r="I348" i="1"/>
  <c r="I307" i="1"/>
  <c r="I265" i="1"/>
  <c r="I222" i="1"/>
  <c r="I165" i="1"/>
  <c r="I88" i="1"/>
  <c r="I312" i="1"/>
  <c r="I177" i="1"/>
  <c r="I100" i="1"/>
  <c r="I9" i="1"/>
  <c r="I338" i="1"/>
  <c r="I295" i="1"/>
  <c r="I253" i="1"/>
  <c r="I210" i="1"/>
  <c r="I150" i="1"/>
  <c r="I61" i="1"/>
  <c r="I5" i="1"/>
  <c r="I163" i="1"/>
  <c r="I131" i="1"/>
  <c r="I99" i="1"/>
  <c r="I67" i="1"/>
  <c r="I35" i="1"/>
  <c r="I3" i="1"/>
  <c r="K2" i="2" a="1"/>
  <c r="K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<sst xmlns="http://schemas.openxmlformats.org/spreadsheetml/2006/main" count="25577" uniqueCount="7398">
  <si>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</si>
  <si>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</si>
  <si>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</si>
  <si>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</si>
  <si>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</si>
  <si>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</si>
  <si>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</si>
  <si>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</si>
  <si>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</si>
  <si>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</si>
  <si>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</si>
  <si>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</si>
  <si>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</si>
  <si>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</si>
  <si>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</si>
  <si>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</si>
  <si>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</si>
  <si>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</si>
  <si>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</si>
  <si>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</si>
  <si>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</si>
  <si>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</si>
  <si>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</si>
  <si>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</si>
  <si>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</si>
  <si>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</si>
  <si>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</si>
  <si>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</si>
  <si>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</si>
  <si>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</si>
  <si>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</si>
  <si>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</si>
  <si>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</si>
  <si>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</si>
  <si>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</si>
  <si>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</si>
  <si>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</si>
  <si>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</si>
  <si>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</si>
  <si>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</si>
  <si>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</si>
  <si>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</si>
  <si>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</si>
  <si>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</si>
  <si>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</si>
  <si>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</si>
  <si>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</si>
  <si>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</si>
  <si>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</si>
  <si>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</si>
  <si>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</si>
  <si>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</si>
  <si>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</si>
  <si>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</si>
  <si>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</si>
  <si>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</si>
  <si>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</si>
  <si>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</si>
  <si>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</si>
  <si>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</si>
  <si>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</si>
  <si>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</si>
  <si>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</si>
  <si>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</si>
  <si>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</si>
  <si>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</si>
  <si>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</si>
  <si>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</si>
  <si>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</si>
  <si>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</si>
  <si>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</si>
  <si>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</si>
  <si>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</si>
  <si>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</si>
  <si>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</si>
  <si>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</si>
  <si>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</si>
  <si>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</si>
  <si>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</si>
  <si>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</si>
  <si>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</si>
  <si>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</si>
  <si>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</si>
  <si>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</si>
  <si>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</si>
  <si>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</si>
  <si>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</si>
  <si>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</si>
  <si>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</si>
  <si>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</si>
  <si>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</si>
  <si>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</si>
  <si>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</si>
  <si>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</si>
  <si>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</si>
  <si>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</si>
  <si>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</si>
  <si>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</si>
  <si>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</si>
  <si>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</si>
  <si>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</si>
  <si>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</si>
  <si>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</si>
  <si>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</si>
  <si>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</si>
  <si>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</si>
  <si>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</si>
  <si>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</si>
  <si>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</si>
  <si>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</si>
  <si>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</si>
  <si>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</si>
  <si>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</si>
  <si>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</si>
  <si>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</si>
  <si>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</si>
  <si>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</si>
  <si>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</si>
  <si>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</si>
  <si>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</si>
  <si>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</si>
  <si>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</si>
  <si>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</si>
  <si>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</si>
  <si>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</si>
  <si>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</si>
  <si>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</si>
  <si>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</si>
  <si>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</si>
  <si>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</si>
  <si>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</si>
  <si>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</si>
  <si>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</si>
  <si>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</si>
  <si>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</si>
  <si>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</si>
  <si>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</si>
  <si>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</si>
  <si>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</si>
  <si>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</si>
  <si>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</si>
  <si>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</si>
  <si>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</si>
  <si>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</si>
  <si>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</si>
  <si>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</si>
  <si>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</si>
  <si>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</si>
  <si>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</si>
  <si>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</si>
  <si>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</si>
  <si>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</si>
  <si>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</si>
  <si>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</si>
  <si>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</si>
  <si>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</si>
  <si>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</si>
  <si>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</si>
  <si>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</si>
  <si>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</si>
  <si>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</si>
  <si>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</si>
  <si>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</si>
  <si>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</si>
  <si>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</si>
  <si>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</si>
  <si>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</si>
  <si>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</si>
  <si>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</si>
  <si>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</si>
  <si>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</si>
  <si>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</si>
  <si>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</si>
  <si>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</si>
  <si>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</si>
  <si>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</si>
  <si>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</si>
  <si>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</si>
  <si>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</si>
  <si>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</si>
  <si>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</si>
  <si>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</si>
  <si>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</si>
  <si>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</si>
  <si>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</si>
  <si>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</si>
  <si>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</si>
  <si>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</si>
  <si>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</si>
  <si>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</si>
  <si>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</si>
  <si>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</si>
  <si>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</si>
  <si>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</si>
  <si>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</si>
  <si>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</si>
  <si>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</si>
  <si>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</si>
  <si>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</si>
  <si>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</si>
  <si>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</si>
  <si>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</si>
  <si>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</si>
  <si>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</si>
  <si>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</si>
  <si>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</si>
  <si>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</si>
  <si>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</si>
  <si>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</si>
  <si>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</si>
  <si>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</si>
  <si>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</si>
  <si>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</si>
  <si>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</si>
  <si>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</si>
  <si>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</si>
  <si>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</si>
  <si>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</si>
  <si>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</si>
  <si>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</si>
  <si>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</si>
  <si>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</si>
  <si>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</si>
  <si>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</si>
  <si>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</si>
  <si>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</si>
  <si>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</si>
  <si>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</si>
  <si>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</si>
  <si>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</si>
  <si>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</si>
  <si>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</si>
  <si>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</si>
  <si>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</si>
  <si>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</si>
  <si>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</si>
  <si>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</si>
  <si>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</si>
  <si>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</si>
  <si>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</si>
  <si>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</si>
  <si>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</si>
  <si>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</si>
  <si>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</si>
  <si>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</si>
  <si>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</si>
  <si>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</si>
  <si>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</si>
  <si>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</si>
  <si>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</si>
  <si>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</si>
  <si>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</si>
  <si>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</si>
  <si>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</si>
  <si>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</si>
  <si>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</si>
  <si>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</si>
  <si>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</si>
  <si>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</si>
  <si>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</si>
  <si>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</si>
  <si>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</si>
  <si>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</si>
  <si>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</si>
  <si>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</si>
  <si>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</si>
  <si>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</si>
  <si>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</si>
  <si>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</si>
  <si>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</si>
  <si>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</si>
  <si>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</si>
  <si>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</si>
  <si>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</si>
  <si>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</si>
  <si>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</si>
  <si>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</si>
  <si>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</si>
  <si>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</si>
  <si>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</si>
  <si>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</si>
  <si>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</si>
  <si>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</si>
  <si>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</si>
  <si>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</si>
  <si>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</si>
  <si>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</si>
  <si>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</si>
  <si>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</si>
  <si>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</si>
  <si>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</si>
  <si>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</si>
  <si>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</si>
  <si>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</si>
  <si>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</si>
  <si>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</si>
  <si>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</si>
  <si>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</si>
  <si>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</si>
  <si>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</si>
  <si>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</si>
  <si>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</si>
  <si>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</si>
  <si>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</si>
  <si>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</si>
  <si>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</si>
  <si>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</si>
  <si>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</si>
  <si>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</si>
  <si>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</si>
  <si>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</si>
  <si>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</si>
  <si>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</si>
  <si>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</si>
  <si>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</si>
  <si>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</si>
  <si>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</si>
  <si>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</si>
  <si>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</si>
  <si>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</si>
  <si>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</si>
  <si>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</si>
  <si>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</si>
  <si>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</si>
  <si>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</si>
  <si>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</si>
  <si>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</si>
  <si>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</si>
  <si>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</si>
  <si>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</si>
  <si>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</si>
  <si>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</si>
  <si>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</si>
  <si>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</si>
  <si>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</si>
  <si>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</si>
  <si>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</si>
  <si>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</si>
  <si>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</si>
  <si>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</si>
  <si>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</si>
  <si>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</si>
  <si>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</si>
  <si>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</si>
  <si>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</si>
  <si>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</si>
  <si>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</si>
  <si>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</si>
  <si>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</si>
  <si>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</si>
  <si>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</si>
  <si>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</si>
  <si>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</si>
  <si>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</si>
  <si>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</si>
  <si>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</si>
  <si>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</si>
  <si>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</si>
  <si>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</si>
  <si>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</si>
  <si>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</si>
  <si>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</si>
  <si>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</si>
  <si>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</si>
  <si>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</si>
  <si>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</si>
  <si>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</si>
  <si>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</si>
  <si>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</si>
  <si>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</si>
  <si>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</si>
  <si>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</si>
  <si>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</si>
  <si>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</si>
  <si>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</si>
  <si>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</si>
  <si>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</si>
  <si>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</si>
  <si>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</si>
  <si>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</si>
  <si>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</si>
  <si>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</si>
  <si>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</si>
  <si>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</si>
  <si>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</si>
  <si>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</si>
  <si>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</si>
  <si>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</si>
  <si>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</si>
  <si>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</si>
  <si>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</si>
  <si>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</si>
  <si>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</si>
  <si>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</si>
  <si>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</si>
  <si>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</si>
  <si>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</si>
  <si>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</si>
  <si>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</si>
  <si>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</si>
  <si>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</si>
  <si>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</si>
  <si>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</si>
  <si>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</si>
  <si>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</si>
  <si>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</si>
  <si>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</si>
  <si>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</si>
  <si>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</si>
  <si>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</si>
  <si>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</si>
  <si>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</si>
  <si>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</si>
  <si>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</si>
  <si>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</si>
  <si>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</si>
  <si>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</si>
  <si>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</si>
  <si>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</si>
  <si>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</si>
  <si>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</si>
  <si>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</si>
  <si>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</si>
  <si>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</si>
  <si>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</si>
  <si>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</si>
  <si>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</si>
  <si>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</si>
  <si>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</si>
  <si>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</si>
  <si>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</si>
  <si>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</si>
  <si>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</si>
  <si>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</si>
  <si>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</si>
  <si>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</si>
  <si>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</si>
  <si>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</si>
  <si>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</si>
  <si>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</si>
  <si>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</si>
  <si>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</si>
  <si>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</si>
  <si>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</si>
  <si>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</si>
  <si>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</si>
  <si>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</si>
  <si>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</si>
  <si>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</si>
  <si>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</si>
  <si>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</si>
  <si>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</si>
  <si>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</si>
  <si>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</si>
  <si>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</si>
  <si>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</si>
  <si>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</si>
  <si>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</si>
  <si>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</si>
  <si>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</si>
  <si>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</si>
  <si>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</si>
  <si>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</si>
  <si>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</si>
  <si>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</si>
  <si>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</si>
  <si>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</si>
  <si>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</si>
  <si>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</si>
  <si>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</si>
  <si>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</si>
  <si>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</si>
  <si>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</si>
  <si>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</si>
  <si>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</si>
  <si>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</si>
  <si>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</si>
  <si>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</si>
  <si>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</si>
  <si>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</si>
  <si>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</si>
  <si>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</si>
  <si>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</si>
  <si>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</si>
  <si>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</si>
  <si>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</si>
  <si>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</si>
  <si>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</si>
  <si>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</si>
  <si>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</si>
  <si>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</si>
  <si>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</si>
  <si>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</si>
  <si>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</si>
  <si>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</si>
  <si>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</si>
  <si>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</si>
  <si>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</si>
  <si>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</si>
  <si>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</si>
  <si>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</si>
  <si>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</si>
  <si>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</si>
  <si>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</si>
  <si>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</si>
  <si>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</si>
  <si>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</si>
  <si>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</si>
  <si>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</si>
  <si>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</si>
  <si>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</si>
  <si>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</si>
  <si>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</si>
  <si>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</si>
  <si>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</si>
  <si>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</si>
  <si>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</si>
  <si>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</si>
  <si>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</si>
  <si>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</si>
  <si>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</si>
  <si>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</si>
  <si>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</si>
  <si>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</si>
  <si>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</si>
  <si>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</si>
  <si>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</si>
  <si>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</si>
  <si>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</si>
  <si>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</si>
  <si>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</si>
  <si>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</si>
  <si>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</si>
  <si>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</si>
  <si>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</si>
  <si>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</si>
  <si>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</si>
  <si>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</si>
  <si>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</si>
  <si>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</si>
  <si>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</si>
  <si>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</si>
  <si>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</si>
  <si>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</si>
  <si>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</si>
  <si>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</si>
  <si>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</si>
  <si>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</si>
  <si>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</si>
  <si>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</si>
  <si>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</si>
  <si>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</si>
  <si>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</si>
  <si>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</si>
  <si>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</si>
  <si>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</si>
  <si>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</si>
  <si>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</si>
  <si>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</si>
  <si>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</si>
  <si>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</si>
  <si>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</si>
  <si>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</si>
  <si>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</si>
  <si>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</si>
  <si>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</si>
  <si>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</si>
  <si>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</si>
  <si>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</si>
  <si>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</si>
  <si>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</si>
  <si>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</si>
  <si>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</si>
  <si>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</si>
  <si>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</si>
  <si>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</si>
  <si>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</si>
  <si>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</si>
  <si>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</si>
  <si>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</si>
  <si>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</si>
  <si>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</si>
  <si>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</si>
  <si>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</si>
  <si>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</si>
  <si>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</si>
  <si>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</si>
  <si>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</si>
  <si>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</si>
  <si>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</si>
  <si>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</si>
  <si>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</si>
  <si>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</si>
  <si>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</si>
  <si>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</si>
  <si>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</si>
  <si>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</si>
  <si>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</si>
  <si>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</si>
  <si>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</si>
  <si>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</si>
  <si>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</si>
  <si>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</si>
  <si>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</si>
  <si>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</si>
  <si>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</si>
  <si>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</si>
  <si>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</si>
  <si>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</si>
  <si>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</si>
  <si>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</si>
  <si>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</si>
  <si>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</si>
  <si>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</si>
  <si>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</si>
  <si>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</si>
  <si>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</si>
  <si>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</si>
  <si>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</si>
  <si>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</si>
  <si>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 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</si>
  <si>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</si>
  <si>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</si>
  <si>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</si>
  <si>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</si>
  <si>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</si>
  <si>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</si>
  <si>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</si>
  <si>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</si>
  <si>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</si>
  <si>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</si>
  <si>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</si>
  <si>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</si>
  <si>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</si>
  <si>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</si>
  <si>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</si>
  <si>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</si>
  <si>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</si>
  <si>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</si>
  <si>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</si>
  <si>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</si>
  <si>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</si>
  <si>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</si>
  <si>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</si>
  <si>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</si>
  <si>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</si>
  <si>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</si>
  <si>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</si>
  <si>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</si>
  <si>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</si>
  <si>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</si>
  <si>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</si>
  <si>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</si>
  <si>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</si>
  <si>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</si>
  <si>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</si>
  <si>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</si>
  <si>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</si>
  <si>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</si>
  <si>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</si>
  <si>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</si>
  <si>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</si>
  <si>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</si>
  <si>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</si>
  <si>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</si>
  <si>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</si>
  <si>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</si>
  <si>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</si>
  <si>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</si>
  <si>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</si>
  <si>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</si>
  <si>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</si>
  <si>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</si>
  <si>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</si>
  <si>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</si>
  <si>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</si>
  <si>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</si>
  <si>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</si>
  <si>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</si>
  <si>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</si>
  <si>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</si>
  <si>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</si>
  <si>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</si>
  <si>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</si>
  <si>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</si>
  <si>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</si>
  <si>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</si>
  <si>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</si>
  <si>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</si>
  <si>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</si>
  <si>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</si>
  <si>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</si>
  <si>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</si>
  <si>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</si>
  <si>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</si>
  <si>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</si>
  <si>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</si>
  <si>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</si>
  <si>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</si>
  <si>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</si>
  <si>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</si>
  <si>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</si>
  <si>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</si>
  <si>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</si>
  <si>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</si>
  <si>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</si>
  <si>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</si>
  <si>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</si>
  <si>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</si>
  <si>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</si>
  <si>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</si>
  <si>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</si>
  <si>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</si>
  <si>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</si>
  <si>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</si>
  <si>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</si>
  <si>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</si>
  <si>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</si>
  <si>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</si>
  <si>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</si>
  <si>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</si>
  <si>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</si>
  <si>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</si>
  <si>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</si>
  <si>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</si>
  <si>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</si>
  <si>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</si>
  <si>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</si>
  <si>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</si>
  <si>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</si>
  <si>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</si>
  <si>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</si>
  <si>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</si>
  <si>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</si>
  <si>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</si>
  <si>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</si>
  <si>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</si>
  <si>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</si>
  <si>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</si>
  <si>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</si>
  <si>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</si>
  <si>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</si>
  <si>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</si>
  <si>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</si>
  <si>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</si>
  <si>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</si>
  <si>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</si>
  <si>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</si>
  <si>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</si>
  <si>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</si>
  <si>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</si>
  <si>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</si>
  <si>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</si>
  <si>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</si>
  <si>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</si>
  <si>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</si>
  <si>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</si>
  <si>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</si>
  <si>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</si>
  <si>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</si>
  <si>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</si>
  <si>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</si>
  <si>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</si>
  <si>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</si>
  <si>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</si>
  <si>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</si>
  <si>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</si>
  <si>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</si>
  <si>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</si>
  <si>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</si>
  <si>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</si>
  <si>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</si>
  <si>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</si>
  <si>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</si>
  <si>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</si>
  <si>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</si>
  <si>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</si>
  <si>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</si>
  <si>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</si>
  <si>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</si>
  <si>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</si>
  <si>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</si>
  <si>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</si>
  <si>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</si>
  <si>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</si>
  <si>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</si>
  <si>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</si>
  <si>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</si>
  <si>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</si>
  <si>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</si>
  <si>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</si>
  <si>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</si>
  <si>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</si>
  <si>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</si>
  <si>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</si>
  <si>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</si>
  <si>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</si>
  <si>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</si>
  <si>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</si>
  <si>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</si>
  <si>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</si>
  <si>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</si>
  <si>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</si>
  <si>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</si>
  <si>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</si>
  <si>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</si>
  <si>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</si>
  <si>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</si>
  <si>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</si>
  <si>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</si>
  <si>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</si>
  <si>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</si>
  <si>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</si>
  <si>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</si>
  <si>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</si>
  <si>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</si>
  <si>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</si>
  <si>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</si>
  <si>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</si>
  <si>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</si>
  <si>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</si>
  <si>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</si>
  <si>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</si>
  <si>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</si>
  <si>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</si>
  <si>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</si>
  <si>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</si>
  <si>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</si>
  <si>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</si>
  <si>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</si>
  <si>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</si>
  <si>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</si>
  <si>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</si>
  <si>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</si>
  <si>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</si>
  <si>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</si>
  <si>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</si>
  <si>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</si>
  <si>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</si>
  <si>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</si>
  <si>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</si>
  <si>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</si>
  <si>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</si>
  <si>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</si>
  <si>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</si>
  <si>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</si>
  <si>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</si>
  <si>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</si>
  <si>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</si>
  <si>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</si>
  <si>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</si>
  <si>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</si>
  <si>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</si>
  <si>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</si>
  <si>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</si>
  <si>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</si>
  <si>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</si>
  <si>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</si>
  <si>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</si>
  <si>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</si>
  <si>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</si>
  <si>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</si>
  <si>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</si>
  <si>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</si>
  <si>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</si>
  <si>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</si>
  <si>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</si>
  <si>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</si>
  <si>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</si>
  <si>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</si>
  <si>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</si>
  <si>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</si>
  <si>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</si>
  <si>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</si>
  <si>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</si>
  <si>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</si>
  <si>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</si>
  <si>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</si>
  <si>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</si>
  <si>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</si>
  <si>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</si>
  <si>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</si>
  <si>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</si>
  <si>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</si>
  <si>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</si>
  <si>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</si>
  <si>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</si>
  <si>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</si>
  <si>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</si>
  <si>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</si>
  <si>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</si>
  <si>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</si>
  <si>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</si>
  <si>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</si>
  <si>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</si>
  <si>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</si>
  <si>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</si>
  <si>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</si>
  <si>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</si>
  <si>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</si>
  <si>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</si>
  <si>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</si>
  <si>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</si>
  <si>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</si>
  <si>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</si>
  <si>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</si>
  <si>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</si>
  <si>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</si>
  <si>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</si>
  <si>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</si>
  <si>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</si>
  <si>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</si>
  <si>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</si>
  <si>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</si>
  <si>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</si>
  <si>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</si>
  <si>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</si>
  <si>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</si>
  <si>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</si>
  <si>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</si>
  <si>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</si>
  <si>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</si>
  <si>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</si>
  <si>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</si>
  <si>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</si>
  <si>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</si>
  <si>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</si>
  <si>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</si>
  <si>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</si>
  <si>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</si>
  <si>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</si>
  <si>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</si>
  <si>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</si>
  <si>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</si>
  <si>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</si>
  <si>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</si>
  <si>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</si>
  <si>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</si>
  <si>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</si>
  <si>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</si>
  <si>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</si>
  <si>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</si>
  <si>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</si>
  <si>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</si>
  <si>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</si>
  <si>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</si>
  <si>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</si>
  <si>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</si>
  <si>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</si>
  <si>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</si>
  <si>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</si>
  <si>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</si>
  <si>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</si>
  <si>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</si>
  <si>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</si>
  <si>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</si>
  <si>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</si>
  <si>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</si>
  <si>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</si>
  <si>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</si>
  <si>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</si>
  <si>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</si>
  <si>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</si>
  <si>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</si>
  <si>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</si>
  <si>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</si>
  <si>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</si>
  <si>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</si>
  <si>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</si>
  <si>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</si>
  <si>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</si>
  <si>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</si>
  <si>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</si>
  <si>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</si>
  <si>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</si>
  <si>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</si>
  <si>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</si>
  <si>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</si>
  <si>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</si>
  <si>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</si>
  <si>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</si>
  <si>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</si>
  <si>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</si>
  <si>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</si>
  <si>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</si>
  <si>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</si>
  <si>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</si>
  <si>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</si>
  <si>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</si>
  <si>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</si>
  <si>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</si>
  <si>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</si>
  <si>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</si>
  <si>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</si>
  <si>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</si>
  <si>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</si>
  <si>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</si>
  <si>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</si>
  <si>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</si>
  <si>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</si>
  <si>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</si>
  <si>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</si>
  <si>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</si>
  <si>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</si>
  <si>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</si>
  <si>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</si>
  <si>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</si>
  <si>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</si>
  <si>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</si>
  <si>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</si>
  <si>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</si>
  <si>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</si>
  <si>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</si>
  <si>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</si>
  <si>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</si>
  <si>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</si>
  <si>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</si>
  <si>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</si>
  <si>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</si>
  <si>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</si>
  <si>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</si>
  <si>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</si>
  <si>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</si>
  <si>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</si>
  <si>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</si>
  <si>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</si>
  <si>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</si>
  <si>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</si>
  <si>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</si>
  <si>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</si>
  <si>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</si>
  <si>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</si>
  <si>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</si>
  <si>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</si>
  <si>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</si>
  <si>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</si>
  <si>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</si>
  <si>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</si>
  <si>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</si>
  <si>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</si>
  <si>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</si>
  <si>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</si>
  <si>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</si>
  <si>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</si>
  <si>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</si>
  <si>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</si>
  <si>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</si>
  <si>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</si>
  <si>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</si>
  <si>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</si>
  <si>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</si>
  <si>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</si>
  <si>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</si>
  <si>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</si>
  <si>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</si>
  <si>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</si>
  <si>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</si>
  <si>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</si>
  <si>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</si>
  <si>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</si>
  <si>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</si>
  <si>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</si>
  <si>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</si>
  <si>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</si>
  <si>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</si>
  <si>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</si>
  <si>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</si>
  <si>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</si>
  <si>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</si>
  <si>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</si>
  <si>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</si>
  <si>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</si>
  <si>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</si>
  <si>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</si>
  <si>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</si>
  <si>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</si>
  <si>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</si>
  <si>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</si>
  <si>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</si>
  <si>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</si>
  <si>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</si>
  <si>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</si>
  <si>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</si>
  <si>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</si>
  <si>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</si>
  <si>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</si>
  <si>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</si>
  <si>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</si>
  <si>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</si>
  <si>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</si>
  <si>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</si>
  <si>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</si>
  <si>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</si>
  <si>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</si>
  <si>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</si>
  <si>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</si>
  <si>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</si>
  <si>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</si>
  <si>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</si>
  <si>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</si>
  <si>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</si>
  <si>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</si>
  <si>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</si>
  <si>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</si>
  <si>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</si>
  <si>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</si>
  <si>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</si>
  <si>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</si>
  <si>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</si>
  <si>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</si>
  <si>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</si>
  <si>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</si>
  <si>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</si>
  <si>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</si>
  <si>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</si>
  <si>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</si>
  <si>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</si>
  <si>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</si>
  <si>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</si>
  <si>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</si>
  <si>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</si>
  <si>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</si>
  <si>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</si>
  <si>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</si>
  <si>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</si>
  <si>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</si>
  <si>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</si>
  <si>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</si>
  <si>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</si>
  <si>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</si>
  <si>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</si>
  <si>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</si>
  <si>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</si>
  <si>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</si>
  <si>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</si>
  <si>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</si>
  <si>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</si>
  <si>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</si>
  <si>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</si>
  <si>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</si>
  <si>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</si>
  <si>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</si>
  <si>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</si>
  <si>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</si>
  <si>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</si>
  <si>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</si>
  <si>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</si>
  <si>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</si>
  <si>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</si>
  <si>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</si>
  <si>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</si>
  <si>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</si>
  <si>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</si>
  <si>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</si>
  <si>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</si>
  <si>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</si>
  <si>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</si>
  <si>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</si>
  <si>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</si>
  <si>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</si>
  <si>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</si>
  <si>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</si>
  <si>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</si>
  <si>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</si>
  <si>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</si>
  <si>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</si>
  <si>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</si>
  <si>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</si>
  <si>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</si>
  <si>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</si>
  <si>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</si>
  <si>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</si>
  <si>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</si>
  <si>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</si>
  <si>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</si>
  <si>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</si>
  <si>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</si>
  <si>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</si>
  <si>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</si>
  <si>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</si>
  <si>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</si>
  <si>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</si>
  <si>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</si>
  <si>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</si>
  <si>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</si>
  <si>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</si>
  <si>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</si>
  <si>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</si>
  <si>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</si>
  <si>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</si>
  <si>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</si>
  <si>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</si>
  <si>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</si>
  <si>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</si>
  <si>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</si>
  <si>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</si>
  <si>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</si>
  <si>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</si>
  <si>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</si>
  <si>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</si>
  <si>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</si>
  <si>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</si>
  <si>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</si>
  <si>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</si>
  <si>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</si>
  <si>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</si>
  <si>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</si>
  <si>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</si>
  <si>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</si>
  <si>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</si>
  <si>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</si>
  <si>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</si>
  <si>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</si>
  <si>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</si>
  <si>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</si>
  <si>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</si>
  <si>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</si>
  <si>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</si>
  <si>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</si>
  <si>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</si>
  <si>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</si>
  <si>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</si>
  <si>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</si>
  <si>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</si>
  <si>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</si>
  <si>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</si>
  <si>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</si>
  <si>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</si>
  <si>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</si>
  <si>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</si>
  <si>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</si>
  <si>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</si>
  <si>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</si>
  <si>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</si>
  <si>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</si>
  <si>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</si>
  <si>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</si>
  <si>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</si>
  <si>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</si>
  <si>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</si>
  <si>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</si>
  <si>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</si>
  <si>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</si>
  <si>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</si>
  <si>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</si>
  <si>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</si>
  <si>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</si>
  <si>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</si>
  <si>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</si>
  <si>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</si>
  <si>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</si>
  <si>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</si>
  <si>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</si>
  <si>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</si>
  <si>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</si>
  <si>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</si>
  <si>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</si>
  <si>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</si>
  <si>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</si>
  <si>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</si>
  <si>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</si>
  <si>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</si>
  <si>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</si>
  <si>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</si>
  <si>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</si>
  <si>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</si>
  <si>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</si>
  <si>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</si>
  <si>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</si>
  <si>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</si>
  <si>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</si>
  <si>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</si>
  <si>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</si>
  <si>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</si>
  <si>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</si>
  <si>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</si>
  <si>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</si>
  <si>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</si>
  <si>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</si>
  <si>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</si>
  <si>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</si>
  <si>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</si>
  <si>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</si>
  <si>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</si>
  <si>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</si>
  <si>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</si>
  <si>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</si>
  <si>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</si>
  <si>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</si>
  <si>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</si>
  <si>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</si>
  <si>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</si>
  <si>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</si>
  <si>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</si>
  <si>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</si>
  <si>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</si>
  <si>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</si>
  <si>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</si>
  <si>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</si>
  <si>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</si>
  <si>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</si>
  <si>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</si>
  <si>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</si>
  <si>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</si>
  <si>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</si>
  <si>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</si>
  <si>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</si>
  <si>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</si>
  <si>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</si>
  <si>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</si>
  <si>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</si>
  <si>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</si>
  <si>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</si>
  <si>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</si>
  <si>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</si>
  <si>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</si>
  <si>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</si>
  <si>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</si>
  <si>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</si>
  <si>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</si>
  <si>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</si>
  <si>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</si>
  <si>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</si>
  <si>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</si>
  <si>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</si>
  <si>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</si>
  <si>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</si>
  <si>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</si>
  <si>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</si>
  <si>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</si>
  <si>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</si>
  <si>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</si>
  <si>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</si>
  <si>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</si>
  <si>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</si>
  <si>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</si>
  <si>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</si>
  <si>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</si>
  <si>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</si>
  <si>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</si>
  <si>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</si>
  <si>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</si>
  <si>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</si>
  <si>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</si>
  <si>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</si>
  <si>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</si>
  <si>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</si>
  <si>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</si>
  <si>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</si>
  <si>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</si>
  <si>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</si>
  <si>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</si>
  <si>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</si>
  <si>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</si>
  <si>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</si>
  <si>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</si>
  <si>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</si>
  <si>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</si>
  <si>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</si>
  <si>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</si>
  <si>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</si>
  <si>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</si>
  <si>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</si>
  <si>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</si>
  <si>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</si>
  <si>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</si>
  <si>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</si>
  <si>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</si>
  <si>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</si>
  <si>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</si>
  <si>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</si>
  <si>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</si>
  <si>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</si>
  <si>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</si>
  <si>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</si>
  <si>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</si>
  <si>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</si>
  <si>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</si>
  <si>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</si>
  <si>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</si>
  <si>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</si>
  <si>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</si>
  <si>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</si>
  <si>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</si>
  <si>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</si>
  <si>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</si>
  <si>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</si>
  <si>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</si>
  <si>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</si>
  <si>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</si>
  <si>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</si>
  <si>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</si>
  <si>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</si>
  <si>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</si>
  <si>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</si>
  <si>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</si>
  <si>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</si>
  <si>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</si>
  <si>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</si>
  <si>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</si>
  <si>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</si>
  <si>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</si>
  <si>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</si>
  <si>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</si>
  <si>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</si>
  <si>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</si>
  <si>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</si>
  <si>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</si>
  <si>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</si>
  <si>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</si>
  <si>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</si>
  <si>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</si>
  <si>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</si>
  <si>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</si>
  <si>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</si>
  <si>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</si>
  <si>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</si>
  <si>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</si>
  <si>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</si>
  <si>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</si>
  <si>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</si>
  <si>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</si>
  <si>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</si>
  <si>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</si>
  <si>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</si>
  <si>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</si>
  <si>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</si>
  <si>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</si>
  <si>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</si>
  <si>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</si>
  <si>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</si>
  <si>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</si>
  <si>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</si>
  <si>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</si>
  <si>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</si>
  <si>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</si>
  <si>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</si>
  <si>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</si>
  <si>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</si>
  <si>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</si>
  <si>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</si>
  <si>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</si>
  <si>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</si>
  <si>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</si>
  <si>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</si>
  <si>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</si>
  <si>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</si>
  <si>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</si>
  <si>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</si>
  <si>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</si>
  <si>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</si>
  <si>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</si>
  <si>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</si>
  <si>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</si>
  <si>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</si>
  <si>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</si>
  <si>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</si>
  <si>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</si>
  <si>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</si>
  <si>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</si>
  <si>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</si>
  <si>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</si>
  <si>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</si>
  <si>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</si>
  <si>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</si>
  <si>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</si>
  <si>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</si>
  <si>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</si>
  <si>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</si>
  <si>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</si>
  <si>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</si>
  <si>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</si>
  <si>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</si>
  <si>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</si>
  <si>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</si>
  <si>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</si>
  <si>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</si>
  <si>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</si>
  <si>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</si>
  <si>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</si>
  <si>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 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</si>
  <si>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</si>
  <si>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</si>
  <si>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</si>
  <si>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</si>
  <si>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</si>
  <si>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</si>
  <si>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</si>
  <si>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</si>
  <si>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</si>
  <si>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</si>
  <si>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</si>
  <si>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</si>
  <si>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</si>
  <si>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</si>
  <si>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</si>
  <si>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</si>
  <si>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</si>
  <si>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</si>
  <si>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</si>
  <si>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</si>
  <si>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</si>
  <si>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</si>
  <si>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</si>
  <si>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</si>
  <si>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</si>
  <si>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</si>
  <si>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</si>
  <si>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</si>
  <si>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</si>
  <si>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</si>
  <si>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</si>
  <si>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</si>
  <si>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</si>
  <si>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</si>
  <si>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</si>
  <si>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</si>
  <si>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</si>
  <si>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</si>
  <si>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</si>
  <si>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</si>
  <si>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</si>
  <si>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</si>
  <si>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</si>
  <si>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</si>
  <si>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</si>
  <si>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</si>
  <si>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</si>
  <si>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</si>
  <si>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</si>
  <si>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</si>
  <si>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</si>
  <si>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</si>
  <si>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</si>
  <si>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</si>
  <si>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</si>
  <si>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</si>
  <si>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</si>
  <si>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</si>
  <si>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</si>
  <si>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</si>
  <si>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</si>
  <si>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</si>
  <si>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</si>
  <si>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</si>
  <si>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</si>
  <si>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</si>
  <si>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</si>
  <si>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</si>
  <si>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</si>
  <si>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</si>
  <si>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</si>
  <si>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</si>
  <si>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</si>
  <si>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</si>
  <si>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</si>
  <si>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</si>
  <si>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</si>
  <si>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</si>
  <si>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</si>
  <si>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</si>
  <si>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</si>
  <si>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</si>
  <si>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</si>
  <si>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</si>
  <si>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</si>
  <si>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</si>
  <si>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</si>
  <si>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</si>
  <si>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</si>
  <si>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</si>
  <si>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</si>
  <si>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</si>
  <si>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</si>
  <si>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</si>
  <si>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</si>
  <si>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</si>
  <si>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</si>
  <si>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</si>
  <si>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</si>
  <si>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</si>
  <si>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</si>
  <si>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</si>
  <si>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</si>
  <si>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</si>
  <si>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</si>
  <si>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</si>
  <si>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</si>
  <si>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</si>
  <si>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</si>
  <si>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</si>
  <si>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</si>
  <si>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</si>
  <si>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</si>
  <si>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</si>
  <si>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</si>
  <si>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</si>
  <si>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</si>
  <si>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</si>
  <si>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</si>
  <si>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</si>
  <si>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</si>
  <si>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</si>
  <si>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</si>
  <si>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</si>
  <si>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</si>
  <si>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</si>
  <si>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</si>
  <si>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</si>
  <si>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</si>
  <si>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</si>
  <si>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</si>
  <si>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</si>
  <si>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</si>
  <si>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</si>
  <si>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</si>
  <si>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</si>
  <si>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</si>
  <si>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</si>
  <si>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</si>
  <si>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</si>
  <si>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</si>
  <si>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</si>
  <si>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</si>
  <si>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</si>
  <si>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</si>
  <si>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</si>
  <si>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</si>
  <si>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</si>
  <si>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</si>
  <si>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</si>
  <si>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</si>
  <si>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</si>
  <si>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</si>
  <si>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</si>
  <si>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</si>
  <si>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</si>
  <si>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</si>
  <si>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</si>
  <si>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</si>
  <si>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</si>
  <si>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</si>
  <si>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</si>
  <si>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</si>
  <si>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</si>
  <si>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</si>
  <si>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</si>
  <si>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</si>
  <si>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</si>
  <si>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</si>
  <si>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</si>
  <si>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</si>
  <si>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</si>
  <si>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</si>
  <si>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</si>
  <si>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</si>
  <si>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</si>
  <si>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</si>
  <si>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</si>
  <si>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</si>
  <si>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</si>
  <si>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</si>
  <si>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</si>
  <si>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</si>
  <si>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</si>
  <si>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</si>
  <si>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</si>
  <si>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</si>
  <si>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</si>
  <si>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</si>
  <si>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</si>
  <si>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</si>
  <si>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</si>
  <si>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</si>
  <si>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</si>
  <si>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</si>
  <si>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</si>
  <si>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</si>
  <si>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</si>
  <si>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</si>
  <si>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</si>
  <si>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</si>
  <si>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</si>
  <si>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</si>
  <si>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</si>
  <si>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</si>
  <si>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</si>
  <si>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</si>
  <si>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</si>
  <si>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</si>
  <si>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</si>
  <si>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</si>
  <si>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</si>
  <si>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</si>
  <si>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</si>
  <si>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</si>
  <si>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</si>
  <si>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</si>
  <si>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</si>
  <si>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</si>
  <si>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</si>
  <si>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</si>
  <si>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</si>
  <si>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</si>
  <si>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</si>
  <si>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</si>
  <si>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</si>
  <si>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</si>
  <si>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</si>
  <si>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</si>
  <si>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</si>
  <si>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</si>
  <si>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</si>
  <si>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</si>
  <si>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</si>
  <si>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</si>
  <si>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</si>
  <si>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</si>
  <si>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</si>
  <si>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</si>
  <si>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</si>
  <si>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</si>
  <si>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</si>
  <si>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</si>
  <si>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</si>
  <si>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</si>
  <si>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</si>
  <si>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</si>
  <si>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</si>
  <si>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</si>
  <si>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</si>
  <si>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</si>
  <si>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</si>
  <si>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</si>
  <si>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</si>
  <si>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</si>
  <si>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</si>
  <si>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</si>
  <si>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</si>
  <si>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</si>
  <si>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</si>
  <si>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</si>
  <si>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</si>
  <si>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</si>
  <si>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</si>
  <si>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</si>
  <si>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</si>
  <si>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</si>
  <si>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</si>
  <si>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</si>
  <si>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</si>
  <si>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</si>
  <si>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</si>
  <si>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</si>
  <si>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</si>
  <si>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</si>
  <si>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</si>
  <si>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</si>
  <si>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</si>
  <si>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</si>
  <si>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</si>
  <si>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</si>
  <si>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</si>
  <si>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</si>
  <si>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</si>
  <si>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</si>
  <si>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</si>
  <si>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</si>
  <si>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</si>
  <si>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</si>
  <si>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</si>
  <si>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</si>
  <si>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</si>
  <si>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</si>
  <si>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</si>
  <si>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</si>
  <si>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</si>
  <si>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</si>
  <si>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</si>
  <si>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</si>
  <si>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</si>
  <si>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</si>
  <si>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</si>
  <si>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</si>
  <si>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</si>
  <si>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</si>
  <si>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 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</si>
  <si>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</si>
  <si>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</si>
  <si>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</si>
  <si>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</si>
  <si>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</si>
  <si>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</si>
  <si>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</si>
  <si>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</si>
  <si>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</si>
  <si>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</si>
  <si>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</si>
  <si>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</si>
  <si>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</si>
  <si>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</si>
  <si>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</si>
  <si>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</si>
  <si>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</si>
  <si>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</si>
  <si>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</si>
  <si>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</si>
  <si>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</si>
  <si>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</si>
  <si>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</si>
  <si>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</si>
  <si>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</si>
  <si>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</si>
  <si>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</si>
  <si>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</si>
  <si>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</si>
  <si>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</si>
  <si>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</si>
  <si>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</si>
  <si>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</si>
  <si>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</si>
  <si>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</si>
  <si>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</si>
  <si>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</si>
  <si>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</si>
  <si>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</si>
  <si>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</si>
  <si>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</si>
  <si>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</si>
  <si>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</si>
  <si>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</si>
  <si>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</si>
  <si>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</si>
  <si>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</si>
  <si>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</si>
  <si>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</si>
  <si>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</si>
  <si>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</si>
  <si>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</si>
  <si>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</si>
  <si>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</si>
  <si>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</si>
  <si>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</si>
  <si>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</si>
  <si>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</si>
  <si>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</si>
  <si>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</si>
  <si>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</si>
  <si>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</si>
  <si>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</si>
  <si>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</si>
  <si>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</si>
  <si>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</si>
  <si>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</si>
  <si>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</si>
  <si>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</si>
  <si>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</si>
  <si>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</si>
  <si>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</si>
  <si>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</si>
  <si>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</si>
  <si>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</si>
  <si>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</si>
  <si>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</si>
  <si>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</si>
  <si>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</si>
  <si>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</si>
  <si>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</si>
  <si>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</si>
  <si>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</si>
  <si>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</si>
  <si>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</si>
  <si>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</si>
  <si>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</si>
  <si>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</si>
  <si>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</si>
  <si>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</si>
  <si>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</si>
  <si>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</si>
  <si>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</si>
  <si>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</si>
  <si>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</si>
  <si>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</si>
  <si>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</si>
  <si>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</si>
  <si>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</si>
  <si>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</si>
  <si>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</si>
  <si>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</si>
  <si>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</si>
  <si>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</si>
  <si>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</si>
  <si>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</si>
  <si>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</si>
  <si>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</si>
  <si>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</si>
  <si>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</si>
  <si>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</si>
  <si>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</si>
  <si>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</si>
  <si>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</si>
  <si>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</si>
  <si>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</si>
  <si>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</si>
  <si>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</si>
  <si>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</si>
  <si>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</si>
  <si>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</si>
  <si>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</si>
  <si>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</si>
  <si>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</si>
  <si>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</si>
  <si>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</si>
  <si>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</si>
  <si>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</si>
  <si>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</si>
  <si>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</si>
  <si>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</si>
  <si>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</si>
  <si>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</si>
  <si>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</si>
  <si>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</si>
  <si>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</si>
  <si>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</si>
  <si>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</si>
  <si>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</si>
  <si>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</si>
  <si>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</si>
  <si>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</si>
  <si>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</si>
  <si>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</si>
  <si>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</si>
  <si>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</si>
  <si>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</si>
  <si>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</si>
  <si>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</si>
  <si>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</si>
  <si>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</si>
  <si>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</si>
  <si>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</si>
  <si>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</si>
  <si>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</si>
  <si>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</si>
  <si>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</si>
  <si>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</si>
  <si>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</si>
  <si>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</si>
  <si>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</si>
  <si>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</si>
  <si>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</si>
  <si>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</si>
  <si>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</si>
  <si>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</si>
  <si>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</si>
  <si>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</si>
  <si>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</si>
  <si>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</si>
  <si>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</si>
  <si>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</si>
  <si>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</si>
  <si>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</si>
  <si>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</si>
  <si>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</si>
  <si>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</si>
  <si>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</si>
  <si>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</si>
  <si>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</si>
  <si>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</si>
  <si>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</si>
  <si>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</si>
  <si>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</si>
  <si>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</si>
  <si>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</si>
  <si>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</si>
  <si>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</si>
  <si>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</si>
  <si>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</si>
  <si>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</si>
  <si>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</si>
  <si>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</si>
  <si>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</si>
  <si>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</si>
  <si>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</si>
  <si>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</si>
  <si>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</si>
  <si>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</si>
  <si>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</si>
  <si>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</si>
  <si>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</si>
  <si>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</si>
  <si>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</si>
  <si>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</si>
  <si>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</si>
  <si>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</si>
  <si>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</si>
  <si>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</si>
  <si>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</si>
  <si>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</si>
  <si>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</si>
  <si>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</si>
  <si>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</si>
  <si>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</si>
  <si>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</si>
  <si>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</si>
  <si>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</si>
  <si>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</si>
  <si>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</si>
  <si>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</si>
  <si>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</si>
  <si>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</si>
  <si>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</si>
  <si>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</si>
  <si>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</si>
  <si>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</si>
  <si>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</si>
  <si>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</si>
  <si>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</si>
  <si>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</si>
  <si>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</si>
  <si>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</si>
  <si>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</si>
  <si>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</si>
  <si>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</si>
  <si>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</si>
  <si>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</si>
  <si>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</si>
  <si>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</si>
  <si>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</si>
  <si>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</si>
  <si>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</si>
  <si>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</si>
  <si>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</si>
  <si>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</si>
  <si>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</si>
  <si>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</si>
  <si>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</si>
  <si>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</si>
  <si>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</si>
  <si>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</si>
  <si>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</si>
  <si>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</si>
  <si>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</si>
  <si>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</si>
  <si>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</si>
  <si>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</si>
  <si>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</si>
  <si>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</si>
  <si>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</si>
  <si>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</si>
  <si>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</si>
  <si>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</si>
  <si>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</si>
  <si>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</si>
  <si>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</si>
  <si>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</si>
  <si>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</si>
  <si>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</si>
  <si>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</si>
  <si>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</si>
  <si>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</si>
  <si>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</si>
  <si>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</si>
  <si>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</si>
  <si>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</si>
  <si>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</si>
  <si>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</si>
  <si>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</si>
  <si>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</si>
  <si>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</si>
  <si>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</si>
  <si>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</si>
  <si>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</si>
  <si>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</si>
  <si>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</si>
  <si>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</si>
  <si>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</si>
  <si>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</si>
  <si>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</si>
  <si>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</si>
  <si>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</si>
  <si>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</si>
  <si>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</si>
  <si>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</si>
  <si>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</si>
  <si>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</si>
  <si>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</si>
  <si>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</si>
  <si>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</si>
  <si>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</si>
  <si>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</si>
  <si>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</si>
  <si>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</si>
  <si>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</si>
  <si>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</si>
  <si>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</si>
  <si>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</si>
  <si>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</si>
  <si>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</si>
  <si>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</si>
  <si>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</si>
  <si>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</si>
  <si>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</si>
  <si>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</si>
  <si>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</si>
  <si>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</si>
  <si>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</si>
  <si>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</si>
  <si>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</si>
  <si>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</si>
  <si>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</si>
  <si>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</si>
  <si>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</si>
  <si>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</si>
  <si>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</si>
  <si>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</si>
  <si>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</si>
  <si>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</si>
  <si>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</si>
  <si>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</si>
  <si>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</si>
  <si>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</si>
  <si>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</si>
  <si>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</si>
  <si>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</si>
  <si>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</si>
  <si>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</si>
  <si>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</si>
  <si>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</si>
  <si>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</si>
  <si>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</si>
  <si>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</si>
  <si>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</si>
  <si>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</si>
  <si>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</si>
  <si>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</si>
  <si>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</si>
  <si>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</si>
  <si>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</si>
  <si>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</si>
  <si>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</si>
  <si>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</si>
  <si>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</si>
  <si>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</si>
  <si>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</si>
  <si>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</si>
  <si>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</si>
  <si>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</si>
  <si>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</si>
  <si>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</si>
  <si>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</si>
  <si>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</si>
  <si>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</si>
  <si>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</si>
  <si>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</si>
  <si>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</si>
  <si>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</si>
  <si>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</si>
  <si>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</si>
  <si>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</si>
  <si>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</si>
  <si>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</si>
  <si>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</si>
  <si>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</si>
  <si>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</si>
  <si>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</si>
  <si>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</si>
  <si>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</si>
  <si>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</si>
  <si>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</si>
  <si>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</si>
  <si>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</si>
  <si>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</si>
  <si>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</si>
  <si>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</si>
  <si>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</si>
  <si>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</si>
  <si>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</si>
  <si>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</si>
  <si>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</si>
  <si>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</si>
  <si>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</si>
  <si>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</si>
  <si>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</si>
  <si>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</si>
  <si>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</si>
  <si>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</si>
  <si>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</si>
  <si>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</si>
  <si>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</si>
  <si>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</si>
  <si>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</si>
  <si>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</si>
  <si>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</si>
  <si>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</si>
  <si>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</si>
  <si>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</si>
  <si>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</si>
  <si>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</si>
  <si>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</si>
  <si>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</si>
  <si>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</si>
  <si>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</si>
  <si>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</si>
  <si>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</si>
  <si>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</si>
  <si>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</si>
  <si>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</si>
  <si>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</si>
  <si>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</si>
  <si>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</si>
  <si>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</si>
  <si>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</si>
  <si>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</si>
  <si>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</si>
  <si>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</si>
  <si>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</si>
  <si>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</si>
  <si>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</si>
  <si>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</si>
  <si>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</si>
  <si>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</si>
  <si>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</si>
  <si>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</si>
  <si>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</si>
  <si>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</si>
  <si>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</si>
  <si>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</si>
  <si>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</si>
  <si>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</si>
  <si>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</si>
  <si>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</si>
  <si>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</si>
  <si>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</si>
  <si>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</si>
  <si>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</si>
  <si>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</si>
  <si>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</si>
  <si>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</si>
  <si>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</si>
  <si>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</si>
  <si>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</si>
  <si>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</si>
  <si>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</si>
  <si>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</si>
  <si>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</si>
  <si>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</si>
  <si>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</si>
  <si>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</si>
  <si>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</si>
  <si>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</si>
  <si>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</si>
  <si>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</si>
  <si>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</si>
  <si>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</si>
  <si>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</si>
  <si>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</si>
  <si>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</si>
  <si>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</si>
  <si>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</si>
  <si>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</si>
  <si>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</si>
  <si>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</si>
  <si>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</si>
  <si>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</si>
  <si>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</si>
  <si>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</si>
  <si>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</si>
  <si>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</si>
  <si>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</si>
  <si>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</si>
  <si>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</si>
  <si>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</si>
  <si>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</si>
  <si>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</si>
  <si>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</si>
  <si>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</si>
  <si>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</si>
  <si>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</si>
  <si>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</si>
  <si>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</si>
  <si>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</si>
  <si>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</si>
  <si>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</si>
  <si>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</si>
  <si>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</si>
  <si>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</si>
  <si>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</si>
  <si>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</si>
  <si>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</si>
  <si>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</si>
  <si>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</si>
  <si>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</si>
  <si>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</si>
  <si>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</si>
  <si>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</si>
  <si>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</si>
  <si>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</si>
  <si>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</si>
  <si>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</si>
  <si>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</si>
  <si>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</si>
  <si>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</si>
  <si>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</si>
  <si>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</si>
  <si>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</si>
  <si>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</si>
  <si>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</si>
  <si>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</si>
  <si>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</si>
  <si>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</si>
  <si>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</si>
  <si>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</si>
  <si>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</si>
  <si>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</si>
  <si>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</si>
  <si>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</si>
  <si>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</si>
  <si>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</si>
  <si>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</si>
  <si>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</si>
  <si>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</si>
  <si>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</si>
  <si>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</si>
  <si>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</si>
  <si>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</si>
  <si>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</si>
  <si>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</si>
  <si>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</si>
  <si>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</si>
  <si>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</si>
  <si>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</si>
  <si>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</si>
  <si>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</si>
  <si>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</si>
  <si>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</si>
  <si>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</si>
  <si>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</si>
  <si>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</si>
  <si>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</si>
  <si>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</si>
  <si>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</si>
  <si>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</si>
  <si>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</si>
  <si>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</si>
  <si>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</si>
  <si>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</si>
  <si>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</si>
  <si>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</si>
  <si>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</si>
  <si>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</si>
  <si>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</si>
  <si>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</si>
  <si>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</si>
  <si>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</si>
  <si>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</si>
  <si>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</si>
  <si>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</si>
  <si>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</si>
  <si>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</si>
  <si>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</si>
  <si>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</si>
  <si>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</si>
  <si>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</si>
  <si>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</si>
  <si>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</si>
  <si>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</si>
  <si>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</si>
  <si>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</si>
  <si>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</si>
  <si>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</si>
  <si>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</si>
  <si>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</si>
  <si>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</si>
  <si>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</si>
  <si>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</si>
  <si>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</si>
  <si>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</si>
  <si>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</si>
  <si>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</si>
  <si>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</si>
  <si>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</si>
  <si>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</si>
  <si>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</si>
  <si>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</si>
  <si>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</si>
  <si>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</si>
  <si>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</si>
  <si>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</si>
  <si>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</si>
  <si>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</si>
  <si>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</si>
  <si>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</si>
  <si>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</si>
  <si>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</si>
  <si>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</si>
  <si>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</si>
  <si>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</si>
  <si>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</si>
  <si>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</si>
  <si>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</si>
  <si>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</si>
  <si>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</si>
  <si>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</si>
  <si>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</si>
  <si>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</si>
  <si>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</si>
  <si>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</si>
  <si>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</si>
  <si>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</si>
  <si>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</si>
  <si>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</si>
  <si>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</si>
  <si>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</si>
  <si>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</si>
  <si>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</si>
  <si>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</si>
  <si>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</si>
  <si>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</si>
  <si>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</si>
  <si>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</si>
  <si>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</si>
  <si>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</si>
  <si>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</si>
  <si>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</si>
  <si>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</si>
  <si>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</si>
  <si>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</si>
  <si>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</si>
  <si>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</si>
  <si>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</si>
  <si>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</si>
  <si>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</si>
  <si>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</si>
  <si>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</si>
  <si>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</si>
  <si>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</si>
  <si>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</si>
  <si>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</si>
  <si>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</si>
  <si>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</si>
  <si>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</si>
  <si>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</si>
  <si>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</si>
  <si>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</si>
  <si>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</si>
  <si>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</si>
  <si>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</si>
  <si>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</si>
  <si>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</si>
  <si>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</si>
  <si>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</si>
  <si>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</si>
  <si>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</si>
  <si>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</si>
  <si>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</si>
  <si>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</si>
  <si>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</si>
  <si>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</si>
  <si>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</si>
  <si>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</si>
  <si>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</si>
  <si>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</si>
  <si>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</si>
  <si>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</si>
  <si>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</si>
  <si>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</si>
  <si>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</si>
  <si>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</si>
  <si>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</si>
  <si>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</si>
  <si>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</si>
  <si>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</si>
  <si>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</si>
  <si>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</si>
  <si>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</si>
  <si>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</si>
  <si>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</si>
  <si>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</si>
  <si>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</si>
  <si>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</si>
  <si>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</si>
  <si>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</si>
  <si>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</si>
  <si>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</si>
  <si>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</si>
  <si>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</si>
  <si>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</si>
  <si>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</si>
  <si>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</si>
  <si>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</si>
  <si>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</si>
  <si>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</si>
  <si>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</si>
  <si>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</si>
  <si>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</si>
  <si>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</si>
  <si>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</si>
  <si>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</si>
  <si>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</si>
  <si>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</si>
  <si>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</si>
  <si>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</si>
  <si>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</si>
  <si>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</si>
  <si>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</si>
  <si>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</si>
  <si>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</si>
  <si>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</si>
  <si>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</si>
  <si>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</si>
  <si>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</si>
  <si>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</si>
  <si>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</si>
  <si>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</si>
  <si>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</si>
  <si>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</si>
  <si>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</si>
  <si>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</si>
  <si>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</si>
  <si>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</si>
  <si>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</si>
  <si>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</si>
  <si>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</si>
  <si>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</si>
  <si>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</si>
  <si>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</si>
  <si>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</si>
  <si>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</si>
  <si>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</si>
  <si>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</si>
  <si>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</si>
  <si>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</si>
  <si>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</si>
  <si>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</si>
  <si>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</si>
  <si>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</si>
  <si>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</si>
  <si>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</si>
  <si>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</si>
  <si>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</si>
  <si>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</si>
  <si>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</si>
  <si>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</si>
  <si>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</si>
  <si>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</si>
  <si>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</si>
  <si>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</si>
  <si>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</si>
  <si>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</si>
  <si>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</si>
  <si>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</si>
  <si>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</si>
  <si>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</si>
  <si>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</si>
  <si>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</si>
  <si>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</si>
  <si>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</si>
  <si>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</si>
  <si>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</si>
  <si>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</si>
  <si>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</si>
  <si>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</si>
  <si>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</si>
  <si>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</si>
  <si>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</si>
  <si>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</si>
  <si>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</si>
  <si>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</si>
  <si>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</si>
  <si>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</si>
  <si>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</si>
  <si>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</si>
  <si>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</si>
  <si>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</si>
  <si>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</si>
  <si>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</si>
  <si>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</si>
  <si>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</si>
  <si>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</si>
  <si>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</si>
  <si>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</si>
  <si>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</si>
  <si>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</si>
  <si>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</si>
  <si>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</si>
  <si>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</si>
  <si>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</si>
  <si>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</si>
  <si>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</si>
  <si>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</si>
  <si>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</si>
  <si>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</si>
  <si>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</si>
  <si>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</si>
  <si>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</si>
  <si>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</si>
  <si>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</si>
  <si>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</si>
  <si>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</si>
  <si>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</si>
  <si>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</si>
  <si>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</si>
  <si>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</si>
  <si>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</si>
  <si>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</si>
  <si>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</si>
  <si>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</si>
  <si>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</si>
  <si>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</si>
  <si>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</si>
  <si>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</si>
  <si>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</si>
  <si>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</si>
  <si>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</si>
  <si>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</si>
  <si>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</si>
  <si>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</si>
  <si>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</si>
  <si>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</si>
  <si>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</si>
  <si>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</si>
  <si>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</si>
  <si>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</si>
  <si>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</si>
  <si>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</si>
  <si>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</si>
  <si>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</si>
  <si>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</si>
  <si>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</si>
  <si>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</si>
  <si>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</si>
  <si>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</si>
  <si>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</si>
  <si>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</si>
  <si>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</si>
  <si>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</si>
  <si>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</si>
  <si>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</si>
  <si>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</si>
  <si>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</si>
  <si>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</si>
  <si>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</si>
  <si>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</si>
  <si>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</si>
  <si>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</si>
  <si>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</si>
  <si>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</si>
  <si>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</si>
  <si>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</si>
  <si>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</si>
  <si>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</si>
  <si>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</si>
  <si>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</si>
  <si>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</si>
  <si>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</si>
  <si>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</si>
  <si>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</si>
  <si>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</si>
  <si>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</si>
  <si>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</si>
  <si>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</si>
  <si>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</si>
  <si>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</si>
  <si>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</si>
  <si>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</si>
  <si>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</si>
  <si>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</si>
  <si>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</si>
  <si>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</si>
  <si>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</si>
  <si>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</si>
  <si>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</si>
  <si>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</si>
  <si>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</si>
  <si>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</si>
  <si>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</si>
  <si>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</si>
  <si>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</si>
  <si>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</si>
  <si>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</si>
  <si>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</si>
  <si>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</si>
  <si>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</si>
  <si>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</si>
  <si>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</si>
  <si>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</si>
  <si>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</si>
  <si>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</si>
  <si>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</si>
  <si>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</si>
  <si>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</si>
  <si>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</si>
  <si>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</si>
  <si>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</si>
  <si>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</si>
  <si>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</si>
  <si>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</si>
  <si>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</si>
  <si>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</si>
  <si>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</si>
  <si>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</si>
  <si>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</si>
  <si>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</si>
  <si>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</si>
  <si>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</si>
  <si>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</si>
  <si>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</si>
  <si>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</si>
  <si>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</si>
  <si>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</si>
  <si>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</si>
  <si>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</si>
  <si>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</si>
  <si>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</si>
  <si>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</si>
  <si>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</si>
  <si>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</si>
  <si>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</si>
  <si>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</si>
  <si>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</si>
  <si>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</si>
  <si>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</si>
  <si>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</si>
  <si>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</si>
  <si>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</si>
  <si>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</si>
  <si>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</si>
  <si>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</si>
  <si>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</si>
  <si>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</si>
  <si>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</si>
  <si>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 xml:space="preserve">It bitcoin crosses 10k then we have breakout 100%... Fingers crossed... 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</si>
  <si>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</si>
  <si>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</si>
  <si>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</si>
  <si>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</si>
  <si>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</si>
  <si>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</si>
  <si>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</si>
  <si>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</si>
  <si>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</si>
  <si>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</si>
  <si>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</si>
  <si>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</si>
  <si>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</si>
  <si>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</si>
  <si>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</si>
  <si>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</si>
  <si>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</si>
  <si>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</si>
  <si>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</si>
  <si>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</si>
  <si>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</si>
  <si>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</si>
  <si>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</si>
  <si>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</si>
  <si>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</si>
  <si>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</si>
  <si>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</si>
  <si>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</si>
  <si>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</si>
  <si>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</si>
  <si>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</si>
  <si>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</si>
  <si>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</si>
  <si>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</si>
  <si>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</si>
  <si>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</si>
  <si>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</si>
  <si>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</si>
  <si>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</si>
  <si>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</si>
  <si>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</si>
  <si>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</si>
  <si>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</si>
  <si>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</si>
  <si>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</si>
  <si>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</si>
  <si>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</si>
  <si>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</si>
  <si>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</si>
  <si>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</si>
  <si>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</si>
  <si>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</si>
  <si>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</si>
  <si>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</si>
  <si>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</si>
  <si>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</si>
  <si>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</si>
  <si>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</si>
  <si>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</si>
  <si>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</si>
  <si>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</si>
  <si>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</si>
  <si>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</si>
  <si>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</si>
  <si>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</si>
  <si>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</si>
  <si>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</si>
  <si>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</si>
  <si>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</si>
  <si>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</si>
  <si>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</si>
  <si>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</si>
  <si>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</si>
  <si>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</si>
  <si>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</si>
  <si>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</si>
  <si>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</si>
  <si>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</si>
  <si>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</si>
  <si>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</si>
  <si>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</si>
  <si>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</si>
  <si>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</si>
  <si>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</si>
  <si>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</si>
  <si>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</si>
  <si>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</si>
  <si>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</si>
  <si>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</si>
  <si>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</si>
  <si>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</si>
  <si>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</si>
  <si>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</si>
  <si>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</si>
  <si>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</si>
  <si>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</si>
  <si>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</si>
  <si>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</si>
  <si>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</si>
  <si>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</si>
  <si>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</si>
  <si>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</si>
  <si>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</si>
  <si>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</si>
  <si>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</si>
  <si>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</si>
  <si>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</si>
  <si>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</si>
  <si>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</si>
  <si>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</si>
  <si>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</si>
  <si>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</si>
  <si>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</si>
  <si>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</si>
  <si>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</si>
  <si>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</si>
  <si>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</si>
  <si>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</si>
  <si>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</si>
  <si>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</si>
  <si>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</si>
  <si>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</si>
  <si>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</si>
  <si>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</si>
  <si>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</si>
  <si>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</si>
  <si>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</si>
  <si>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</si>
  <si>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</si>
  <si>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</si>
  <si>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</si>
  <si>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</si>
  <si>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</si>
  <si>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</si>
  <si>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</si>
  <si>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</si>
  <si>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</si>
  <si>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</si>
  <si>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</si>
  <si>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</si>
  <si>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</si>
  <si>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</si>
  <si>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</si>
  <si>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</si>
  <si>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</si>
  <si>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</si>
  <si>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</si>
  <si>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</si>
  <si>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</si>
  <si>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</si>
  <si>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</si>
  <si>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</si>
  <si>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</si>
  <si>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</si>
  <si>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</si>
  <si>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</si>
  <si>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</si>
  <si>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</si>
  <si>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</si>
  <si>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</si>
  <si>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</si>
  <si>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</si>
  <si>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</si>
  <si>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</si>
  <si>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</si>
  <si>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</si>
  <si>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</si>
  <si>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</si>
  <si>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</si>
  <si>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</si>
  <si>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</si>
  <si>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</si>
  <si>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</si>
  <si>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</si>
  <si>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</si>
  <si>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</si>
  <si>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</si>
  <si>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</si>
  <si>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</si>
  <si>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</si>
  <si>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</si>
  <si>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</si>
  <si>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</si>
  <si>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</si>
  <si>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</si>
  <si>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</si>
  <si>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</si>
  <si>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</si>
  <si>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</si>
  <si>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</si>
  <si>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</si>
  <si>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</si>
  <si>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</si>
  <si>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</si>
  <si>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</si>
  <si>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</si>
  <si>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</si>
  <si>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</si>
  <si>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</si>
  <si>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</si>
  <si>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</si>
  <si>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</si>
  <si>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</si>
  <si>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</si>
  <si>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</si>
  <si>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</si>
  <si>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</si>
  <si>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</si>
  <si>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</si>
  <si>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</si>
  <si>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</si>
  <si>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</si>
  <si>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</si>
  <si>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</si>
  <si>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</si>
  <si>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</si>
  <si>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</si>
  <si>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</si>
  <si>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</si>
  <si>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</si>
  <si>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</si>
  <si>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</si>
  <si>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</si>
  <si>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</si>
  <si>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</si>
  <si>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</si>
  <si>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</si>
  <si>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</si>
  <si>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</si>
  <si>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</si>
  <si>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</si>
  <si>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</si>
  <si>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</si>
  <si>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</si>
  <si>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</si>
  <si>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</si>
  <si>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</si>
  <si>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</si>
  <si>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</si>
  <si>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</si>
  <si>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</si>
  <si>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</si>
  <si>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</si>
  <si>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</si>
  <si>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</si>
  <si>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</si>
  <si>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</si>
  <si>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</si>
  <si>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</si>
  <si>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</si>
  <si>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</si>
  <si>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</si>
  <si>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</si>
  <si>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</si>
  <si>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</si>
  <si>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</si>
  <si>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</si>
  <si>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</si>
  <si>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</si>
  <si>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</si>
  <si>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</si>
  <si>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</si>
  <si>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</si>
  <si>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</si>
  <si>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</si>
  <si>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</si>
  <si>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</si>
  <si>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</si>
  <si>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</si>
  <si>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</si>
  <si>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</si>
  <si>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</si>
  <si>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</si>
  <si>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</si>
  <si>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</si>
  <si>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</si>
  <si>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</si>
  <si>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</si>
  <si>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</si>
  <si>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</si>
  <si>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</si>
  <si>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</si>
  <si>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</si>
  <si>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</si>
  <si>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</si>
  <si>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</si>
  <si>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</si>
  <si>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</si>
  <si>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</si>
  <si>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</si>
  <si>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</si>
  <si>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</si>
  <si>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</si>
  <si>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</si>
  <si>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</si>
  <si>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</si>
  <si>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</si>
  <si>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</si>
  <si>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</si>
  <si>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</si>
  <si>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</si>
  <si>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</si>
  <si>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</si>
  <si>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</si>
  <si>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</si>
  <si>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</si>
  <si>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</si>
  <si>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</si>
  <si>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</si>
  <si>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</si>
  <si>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</si>
  <si>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</si>
  <si>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</si>
  <si>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</si>
  <si>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</si>
  <si>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</si>
  <si>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</si>
  <si>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</si>
  <si>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</si>
  <si>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</si>
  <si>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</si>
  <si>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</si>
  <si>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</si>
  <si>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</si>
  <si>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</si>
  <si>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</si>
  <si>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</si>
  <si>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</si>
  <si>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</si>
  <si>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</si>
  <si>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</si>
  <si>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</si>
  <si>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</si>
  <si>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</si>
  <si>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</si>
  <si>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</si>
  <si>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</si>
  <si>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</si>
  <si>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</si>
  <si>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</si>
  <si>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</si>
  <si>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</si>
  <si>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</si>
  <si>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</si>
  <si>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</si>
  <si>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</si>
  <si>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</si>
  <si>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</si>
  <si>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</si>
  <si>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</si>
  <si>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</si>
  <si>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</si>
  <si>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</si>
  <si>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</si>
  <si>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</si>
  <si>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</si>
  <si>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</si>
  <si>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</si>
  <si>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</si>
  <si>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</si>
  <si>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</si>
  <si>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</si>
  <si>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</si>
  <si>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</si>
  <si>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</si>
  <si>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</si>
  <si>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</si>
  <si>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</si>
  <si>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</si>
  <si>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</si>
  <si>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</si>
  <si>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</si>
  <si>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</si>
  <si>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</si>
  <si>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</si>
  <si>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</si>
  <si>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</si>
  <si>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</si>
  <si>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</si>
  <si>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</si>
  <si>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</si>
  <si>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</si>
  <si>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</si>
  <si>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</si>
  <si>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</si>
  <si>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</si>
  <si>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</si>
  <si>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</si>
  <si>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</si>
  <si>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</si>
  <si>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</si>
  <si>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</si>
  <si>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</si>
  <si>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</si>
  <si>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</si>
  <si>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</si>
  <si>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</si>
  <si>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</si>
  <si>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</si>
  <si>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</si>
  <si>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</si>
  <si>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</si>
  <si>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</si>
  <si>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</si>
  <si>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</si>
  <si>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</si>
  <si>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</si>
  <si>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</si>
  <si>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</si>
  <si>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</si>
  <si>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</si>
  <si>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</si>
  <si>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</si>
  <si>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</si>
  <si>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</si>
  <si>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</si>
  <si>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</si>
  <si>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</si>
  <si>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</si>
  <si>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</si>
  <si>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</si>
  <si>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</si>
  <si>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</si>
  <si>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</si>
  <si>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</si>
  <si>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</si>
  <si>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</si>
  <si>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</si>
  <si>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</si>
  <si>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</si>
  <si>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</si>
  <si>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</si>
  <si>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</si>
  <si>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</si>
  <si>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</si>
  <si>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</si>
  <si>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</si>
  <si>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</si>
  <si>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</si>
  <si>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</si>
  <si>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</si>
  <si>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</si>
  <si>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</si>
  <si>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</si>
  <si>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</si>
  <si>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</si>
  <si>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</si>
  <si>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</si>
  <si>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</si>
  <si>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</si>
  <si>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</si>
  <si>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</si>
  <si>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</si>
  <si>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</si>
  <si>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</si>
  <si>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</si>
  <si>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</si>
  <si>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</si>
  <si>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</si>
  <si>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</si>
  <si>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</si>
  <si>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</si>
  <si>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</si>
  <si>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</si>
  <si>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</si>
  <si>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</si>
  <si>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</si>
  <si>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</si>
  <si>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</si>
  <si>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</si>
  <si>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</si>
  <si>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</si>
  <si>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</si>
  <si>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</si>
  <si>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</si>
  <si>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</si>
  <si>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</si>
  <si>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</si>
  <si>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</si>
  <si>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</si>
  <si>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</si>
  <si>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</si>
  <si>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</si>
  <si>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</si>
  <si>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</si>
  <si>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</si>
  <si>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</si>
  <si>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</si>
  <si>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</si>
  <si>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</si>
  <si>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</si>
  <si>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</si>
  <si>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</si>
  <si>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</si>
  <si>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</si>
  <si>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</si>
  <si>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</si>
  <si>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</si>
  <si>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</si>
  <si>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</si>
  <si>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</si>
  <si>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</si>
  <si>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</si>
  <si>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</si>
  <si>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</si>
  <si>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</si>
  <si>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</si>
  <si>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</si>
  <si>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</si>
  <si>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</si>
  <si>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</si>
  <si>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</si>
  <si>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</si>
  <si>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</si>
  <si>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</si>
  <si>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</si>
  <si>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</si>
  <si>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</si>
  <si>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</si>
  <si>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</si>
  <si>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</si>
  <si>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</si>
  <si>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</si>
  <si>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</si>
  <si>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</si>
  <si>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</si>
  <si>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</si>
  <si>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</si>
  <si>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</si>
  <si>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</si>
  <si>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</si>
  <si>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</si>
  <si>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</si>
  <si>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</si>
  <si>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</si>
  <si>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</si>
  <si>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</si>
  <si>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</si>
  <si>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</si>
  <si>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</si>
  <si>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</si>
  <si>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</si>
  <si>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</si>
  <si>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</si>
  <si>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</si>
  <si>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</si>
  <si>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</si>
  <si>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</si>
  <si>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</si>
  <si>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</si>
  <si>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</si>
  <si>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</si>
  <si>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</si>
  <si>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</si>
  <si>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</si>
  <si>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</si>
  <si>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</si>
  <si>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</si>
  <si>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</si>
  <si>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</si>
  <si>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</si>
  <si>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</si>
  <si>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</si>
  <si>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</si>
  <si>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</si>
  <si>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</si>
  <si>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</si>
  <si>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</si>
  <si>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</si>
  <si>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</si>
  <si>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</si>
  <si>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</si>
  <si>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</si>
  <si>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</si>
  <si>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</si>
  <si>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</si>
  <si>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</si>
  <si>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</si>
  <si>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</si>
  <si>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</si>
  <si>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</si>
  <si>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</si>
  <si>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</si>
  <si>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</si>
  <si>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</si>
  <si>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</si>
  <si>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</si>
  <si>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</si>
  <si>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</si>
  <si>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</si>
  <si>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</si>
  <si>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</si>
  <si>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</si>
  <si>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</si>
  <si>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</si>
  <si>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</si>
  <si>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</si>
  <si>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</si>
  <si>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</si>
  <si>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</si>
  <si>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</si>
  <si>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</si>
  <si>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</si>
  <si>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</si>
  <si>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</si>
  <si>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</si>
  <si>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</si>
  <si>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</si>
  <si>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</si>
  <si>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</si>
  <si>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</si>
  <si>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</si>
  <si>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</si>
  <si>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</si>
  <si>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</si>
  <si>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</si>
  <si>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</si>
  <si>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</si>
  <si>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</si>
  <si>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</si>
  <si>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</si>
  <si>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</si>
  <si>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</si>
  <si>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</si>
  <si>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</si>
  <si>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</si>
  <si>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</si>
  <si>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</si>
  <si>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</si>
  <si>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</si>
  <si>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</si>
  <si>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</si>
  <si>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</si>
  <si>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</si>
  <si>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</si>
  <si>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</si>
  <si>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</si>
  <si>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</si>
  <si>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</si>
  <si>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</si>
  <si>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</si>
  <si>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</si>
  <si>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</si>
  <si>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</si>
  <si>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</si>
  <si>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</si>
  <si>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</si>
  <si>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</si>
  <si>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</si>
  <si>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</si>
  <si>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</si>
  <si>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</si>
  <si>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</si>
  <si>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</si>
  <si>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</si>
  <si>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</si>
  <si>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</si>
  <si>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</si>
  <si>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</si>
  <si>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</si>
  <si>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</si>
  <si>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</si>
  <si>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</si>
  <si>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</si>
  <si>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</si>
  <si>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</si>
  <si>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</si>
  <si>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</si>
  <si>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</si>
  <si>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</si>
  <si>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</si>
  <si>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</si>
  <si>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</si>
  <si>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</si>
  <si>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</si>
  <si>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</si>
  <si>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</si>
  <si>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</si>
  <si>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</si>
  <si>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</si>
  <si>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</si>
  <si>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</si>
  <si>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</si>
  <si>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</si>
  <si>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</si>
  <si>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</si>
  <si>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</si>
  <si>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</si>
  <si>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</si>
  <si>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</si>
  <si>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</si>
  <si>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</si>
  <si>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</si>
  <si>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</si>
  <si>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</si>
  <si>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</si>
  <si>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</si>
  <si>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</si>
  <si>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</si>
  <si>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</si>
  <si>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</si>
  <si>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</si>
  <si>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</si>
  <si>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</si>
  <si>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</si>
  <si>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</si>
  <si>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</si>
  <si>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</si>
  <si>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</si>
  <si>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</si>
  <si>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</si>
  <si>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</si>
  <si>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</si>
  <si>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</si>
  <si>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</si>
  <si>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</si>
  <si>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</si>
  <si>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</si>
  <si>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</si>
  <si>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</si>
  <si>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</si>
  <si>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</si>
  <si>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</si>
  <si>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</si>
  <si>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</si>
  <si>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</si>
  <si>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</si>
  <si>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</si>
  <si>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</si>
  <si>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</si>
  <si>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</si>
  <si>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</si>
  <si>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</si>
  <si>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</si>
  <si>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</si>
  <si>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</si>
  <si>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</si>
  <si>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</si>
  <si>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</si>
  <si>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</si>
  <si>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</si>
  <si>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</si>
  <si>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</si>
  <si>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</si>
  <si>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</si>
  <si>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</si>
  <si>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</si>
  <si>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</si>
  <si>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</si>
  <si>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</si>
  <si>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</si>
  <si>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</si>
  <si>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</si>
  <si>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</si>
  <si>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</si>
  <si>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</si>
  <si>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</si>
  <si>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</si>
  <si>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</si>
  <si>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</si>
  <si>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</si>
  <si>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</si>
  <si>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</si>
  <si>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</si>
  <si>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</si>
  <si>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</si>
  <si>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</si>
  <si>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</si>
  <si>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</si>
  <si>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</si>
  <si>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</si>
  <si>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</si>
  <si>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</si>
  <si>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</si>
  <si>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</si>
  <si>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</si>
  <si>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</si>
  <si>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</si>
  <si>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</si>
  <si>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</si>
  <si>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</si>
  <si>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</si>
  <si>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</si>
  <si>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</si>
  <si>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</si>
  <si>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</si>
  <si>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</si>
  <si>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</si>
  <si>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</si>
  <si>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</si>
  <si>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</si>
  <si>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</si>
  <si>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</si>
  <si>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</si>
  <si>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</si>
  <si>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</si>
  <si>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</si>
  <si>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</si>
  <si>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</si>
  <si>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</si>
  <si>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</si>
  <si>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</si>
  <si>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</si>
  <si>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</si>
  <si>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</si>
  <si>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</si>
  <si>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</si>
  <si>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</si>
  <si>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</si>
  <si>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</si>
  <si>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</si>
  <si>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</si>
  <si>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</si>
  <si>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</si>
  <si>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</si>
  <si>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</si>
  <si>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</si>
  <si>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</si>
  <si>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</si>
  <si>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</si>
  <si>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</si>
  <si>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</si>
  <si>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</si>
  <si>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</si>
  <si>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</si>
  <si>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</si>
  <si>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</si>
  <si>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</si>
  <si>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</si>
  <si>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</si>
  <si>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</si>
  <si>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</si>
  <si>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</si>
  <si>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</si>
  <si>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</si>
  <si>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</si>
  <si>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</si>
  <si>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</si>
  <si>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</si>
  <si>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</si>
  <si>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</si>
  <si>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</si>
  <si>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</si>
  <si>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</si>
  <si>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</si>
  <si>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</si>
  <si>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</si>
  <si>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</si>
  <si>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</si>
  <si>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</si>
  <si>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</si>
  <si>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</si>
  <si>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</si>
  <si>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</si>
  <si>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</si>
  <si>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</si>
  <si>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</si>
  <si>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</si>
  <si>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</si>
  <si>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</si>
  <si>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</si>
  <si>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</si>
  <si>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</si>
  <si>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</si>
  <si>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</si>
  <si>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</si>
  <si>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</si>
  <si>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</si>
  <si>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</si>
  <si>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</si>
  <si>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</si>
  <si>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</si>
  <si>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</si>
  <si>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</si>
  <si>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</si>
  <si>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</si>
  <si>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</si>
  <si>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</si>
  <si>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</si>
  <si>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</si>
  <si>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</si>
  <si>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</si>
  <si>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</si>
  <si>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</si>
  <si>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</si>
  <si>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</si>
  <si>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</si>
  <si>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</si>
  <si>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</si>
  <si>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</si>
  <si>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</si>
  <si>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</si>
  <si>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</si>
  <si>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</si>
  <si>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</si>
  <si>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</si>
  <si>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</si>
  <si>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</si>
  <si>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</si>
  <si>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</si>
  <si>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</si>
  <si>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</si>
  <si>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</si>
  <si>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</si>
  <si>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</si>
  <si>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</si>
  <si>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</si>
  <si>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</si>
  <si>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</si>
  <si>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</si>
  <si>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</si>
  <si>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</si>
  <si>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</si>
  <si>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</si>
  <si>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</si>
  <si>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</si>
  <si>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</si>
  <si>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</si>
  <si>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</si>
  <si>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</si>
  <si>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</si>
  <si>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</si>
  <si>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</si>
  <si>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</si>
  <si>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</si>
  <si>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</si>
  <si>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</si>
  <si>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</si>
  <si>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</si>
  <si>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</si>
  <si>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</si>
  <si>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</si>
  <si>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</si>
  <si>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</si>
  <si>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</si>
  <si>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</si>
  <si>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</si>
  <si>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</si>
  <si>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</si>
  <si>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</si>
  <si>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</si>
  <si>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</si>
  <si>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</si>
  <si>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</si>
  <si>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</si>
  <si>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</si>
  <si>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</si>
  <si>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</si>
  <si>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</si>
  <si>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</si>
  <si>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</si>
  <si>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</si>
  <si>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</si>
  <si>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</si>
  <si>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</si>
  <si>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</si>
  <si>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</si>
  <si>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</si>
  <si>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</si>
  <si>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</si>
  <si>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</si>
  <si>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</si>
  <si>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</si>
  <si>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</si>
  <si>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</si>
  <si>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</si>
  <si>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</si>
  <si>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</si>
  <si>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</si>
  <si>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</si>
  <si>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</si>
  <si>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</si>
  <si>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</si>
  <si>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</si>
  <si>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</si>
  <si>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</si>
  <si>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</si>
  <si>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</si>
  <si>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</si>
  <si>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</si>
  <si>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</si>
  <si>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</si>
  <si>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</si>
  <si>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</si>
  <si>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</si>
  <si>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</si>
  <si>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</si>
  <si>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</si>
  <si>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</si>
  <si>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</si>
  <si>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</si>
  <si>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</si>
  <si>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</si>
  <si>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</si>
  <si>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</si>
  <si>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</si>
  <si>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</si>
  <si>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</si>
  <si>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</si>
  <si>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</si>
  <si>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</si>
  <si>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</si>
  <si>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</si>
  <si>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</si>
  <si>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</si>
  <si>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</si>
  <si>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</si>
  <si>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</si>
  <si>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</si>
  <si>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</si>
  <si>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</si>
  <si>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</si>
  <si>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</si>
  <si>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</si>
  <si>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</si>
  <si>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</si>
  <si>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</si>
  <si>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</si>
  <si>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</si>
  <si>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</si>
  <si>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</si>
  <si>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</si>
  <si>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</si>
  <si>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</si>
  <si>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</si>
  <si>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</si>
  <si>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</si>
  <si>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</si>
  <si>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</si>
  <si>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</si>
  <si>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</si>
  <si>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</si>
  <si>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</si>
  <si>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</si>
  <si>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</si>
  <si>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</si>
  <si>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</si>
  <si>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</si>
  <si>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</si>
  <si>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</si>
  <si>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</si>
  <si>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</si>
  <si>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</si>
  <si>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</si>
  <si>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</si>
  <si>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</si>
  <si>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</si>
  <si>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</si>
  <si>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</si>
  <si>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</si>
  <si>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</si>
  <si>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</si>
  <si>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</si>
  <si>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</si>
  <si>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</si>
  <si>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</si>
  <si>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</si>
  <si>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</si>
  <si>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</si>
  <si>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</si>
  <si>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</si>
  <si>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</si>
  <si>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</si>
  <si>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</si>
  <si>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</si>
  <si>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</si>
  <si>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</si>
  <si>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</si>
  <si>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</si>
  <si>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</si>
  <si>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</si>
  <si>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</si>
  <si>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</si>
  <si>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</si>
  <si>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</si>
  <si>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</si>
  <si>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</si>
  <si>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</si>
  <si>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</si>
  <si>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</si>
  <si>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</si>
  <si>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</si>
  <si>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</si>
  <si>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</si>
  <si>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</si>
  <si>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</si>
  <si>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</si>
  <si>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</si>
  <si>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</si>
  <si>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</si>
  <si>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 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</si>
  <si>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</si>
  <si>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</si>
  <si>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</si>
  <si>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</si>
  <si>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</si>
  <si>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</si>
  <si>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</si>
  <si>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</si>
  <si>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</si>
  <si>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</si>
  <si>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</si>
  <si>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</si>
  <si>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</si>
  <si>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</si>
  <si>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</si>
  <si>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</si>
  <si>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</si>
  <si>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</si>
  <si>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</si>
  <si>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</si>
  <si>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</si>
  <si>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</si>
  <si>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</si>
  <si>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</si>
  <si>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</si>
  <si>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</si>
  <si>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</si>
  <si>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</si>
  <si>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</si>
  <si>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</si>
  <si>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</si>
  <si>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</si>
  <si>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</si>
  <si>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</si>
  <si>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</si>
  <si>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</si>
  <si>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</si>
  <si>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</si>
  <si>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</si>
  <si>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</si>
  <si>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</si>
  <si>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</si>
  <si>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</si>
  <si>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</si>
  <si>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</si>
  <si>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</si>
  <si>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</si>
  <si>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</si>
  <si>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</si>
  <si>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</si>
  <si>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</si>
  <si>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</si>
  <si>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</si>
  <si>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</si>
  <si>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</si>
  <si>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</si>
  <si>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</si>
  <si>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</si>
  <si>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</si>
  <si>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</si>
  <si>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</si>
  <si>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</si>
  <si>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</si>
  <si>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</si>
  <si>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</si>
  <si>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</si>
  <si>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</si>
  <si>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</si>
  <si>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</si>
  <si>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</si>
  <si>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</si>
  <si>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</si>
  <si>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</si>
  <si>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</si>
  <si>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</si>
  <si>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</si>
  <si>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</si>
  <si>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</si>
  <si>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</si>
  <si>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</si>
  <si>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</si>
  <si>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</si>
  <si>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</si>
  <si>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</si>
  <si>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</si>
  <si>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</si>
  <si>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</si>
  <si>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</si>
  <si>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</si>
  <si>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</si>
  <si>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</si>
  <si>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</si>
  <si>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</si>
  <si>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</si>
  <si>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</si>
  <si>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</si>
  <si>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</si>
  <si>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</si>
  <si>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</si>
  <si>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</si>
  <si>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</si>
  <si>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</si>
  <si>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</si>
  <si>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</si>
  <si>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</si>
  <si>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</si>
  <si>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</si>
  <si>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</si>
  <si>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</si>
  <si>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</si>
  <si>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</si>
  <si>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</si>
  <si>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</si>
  <si>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</si>
  <si>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</si>
  <si>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</si>
  <si>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</si>
  <si>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</si>
  <si>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</si>
  <si>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</si>
  <si>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</si>
  <si>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</si>
  <si>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</si>
  <si>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</si>
  <si>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</si>
  <si>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</si>
  <si>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</si>
  <si>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</si>
  <si>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</si>
  <si>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</si>
  <si>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</si>
  <si>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</si>
  <si>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</si>
  <si>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</si>
  <si>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</si>
  <si>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</si>
  <si>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</si>
  <si>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</si>
  <si>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</si>
  <si>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</si>
  <si>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</si>
  <si>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</si>
  <si>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</si>
  <si>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</si>
  <si>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</si>
  <si>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</si>
  <si>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</si>
  <si>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</si>
  <si>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</si>
  <si>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</si>
  <si>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</si>
  <si>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</si>
  <si>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</si>
  <si>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</si>
  <si>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</si>
  <si>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</si>
  <si>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</si>
  <si>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</si>
  <si>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</si>
  <si>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</si>
  <si>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</si>
  <si>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</si>
  <si>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</si>
  <si>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</si>
  <si>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</si>
  <si>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</si>
  <si>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</si>
  <si>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</si>
  <si>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</si>
  <si>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</si>
  <si>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</si>
  <si>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</si>
  <si>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</si>
  <si>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</si>
  <si>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</si>
  <si>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</si>
  <si>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</si>
  <si>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</si>
  <si>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</si>
  <si>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</si>
  <si>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</si>
  <si>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</si>
  <si>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</si>
  <si>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</si>
  <si>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</si>
  <si>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</si>
  <si>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</si>
  <si>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</si>
  <si>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</si>
  <si>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</si>
  <si>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</si>
  <si>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</si>
  <si>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</si>
  <si>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</si>
  <si>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</si>
  <si>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</si>
  <si>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</si>
  <si>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</si>
  <si>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</si>
  <si>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</si>
  <si>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</si>
  <si>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</si>
  <si>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</si>
  <si>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</si>
  <si>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</si>
  <si>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</si>
  <si>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</si>
  <si>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</si>
  <si>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</si>
  <si>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</si>
  <si>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</si>
  <si>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</si>
  <si>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</si>
  <si>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</si>
  <si>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</si>
  <si>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</si>
  <si>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</si>
  <si>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</si>
  <si>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</si>
  <si>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</si>
  <si>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</si>
  <si>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</si>
  <si>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</si>
  <si>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</si>
  <si>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</si>
  <si>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</si>
  <si>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</si>
  <si>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</si>
  <si>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</si>
  <si>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</si>
  <si>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</si>
  <si>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</si>
  <si>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</si>
  <si>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</si>
  <si>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</si>
  <si>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</si>
  <si>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</si>
  <si>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</si>
  <si>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</si>
  <si>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</si>
  <si>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</si>
  <si>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</si>
  <si>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</si>
  <si>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</si>
  <si>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</si>
  <si>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</si>
  <si>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</si>
  <si>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</si>
  <si>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</si>
  <si>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</si>
  <si>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</si>
  <si>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</si>
  <si>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</si>
  <si>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</si>
  <si>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</si>
  <si>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</si>
  <si>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</si>
  <si>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</si>
  <si>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</si>
  <si>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</si>
  <si>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</si>
  <si>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</si>
  <si>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</si>
  <si>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</si>
  <si>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</si>
  <si>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</si>
  <si>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</si>
  <si>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</si>
  <si>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</si>
  <si>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</si>
  <si>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</si>
  <si>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</si>
  <si>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</si>
  <si>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</si>
  <si>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</si>
  <si>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</si>
  <si>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</si>
  <si>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</si>
  <si>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</si>
  <si>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</si>
  <si>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</si>
  <si>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</si>
  <si>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</si>
  <si>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</si>
  <si>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</si>
  <si>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</si>
  <si>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</si>
  <si>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</si>
  <si>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</si>
  <si>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</si>
  <si>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</si>
  <si>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</si>
  <si>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</si>
  <si>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</si>
  <si>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</si>
  <si>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</si>
  <si>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</si>
  <si>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</si>
  <si>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</si>
  <si>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</si>
  <si>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</si>
  <si>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</si>
  <si>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</si>
  <si>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</si>
  <si>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</si>
  <si>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</si>
  <si>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</si>
  <si>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</si>
  <si>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</si>
  <si>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</si>
  <si>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</si>
  <si>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</si>
  <si>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</si>
  <si>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</si>
  <si>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</si>
  <si>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</si>
  <si>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</si>
  <si>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</si>
  <si>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</si>
  <si>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</si>
  <si>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</si>
  <si>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</si>
  <si>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</si>
  <si>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</si>
  <si>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</si>
  <si>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</si>
  <si>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</si>
  <si>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</si>
  <si>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</si>
  <si>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</si>
  <si>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</si>
  <si>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</si>
  <si>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</si>
  <si>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</si>
  <si>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</si>
  <si>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 xml:space="preserve">never go all in..correction not over yet.. 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</si>
  <si>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</si>
  <si>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</si>
  <si>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</si>
  <si>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</si>
  <si>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</si>
  <si>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</si>
  <si>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</si>
  <si>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</si>
  <si>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</si>
  <si>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</si>
  <si>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</si>
  <si>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</si>
  <si>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</si>
  <si>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</si>
  <si>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</si>
  <si>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</si>
  <si>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</si>
  <si>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</si>
  <si>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</si>
  <si>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</si>
  <si>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</si>
  <si>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</si>
  <si>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</si>
  <si>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</si>
  <si>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</si>
  <si>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</si>
  <si>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</si>
  <si>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</si>
  <si>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</si>
  <si>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</si>
  <si>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</si>
  <si>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</si>
  <si>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</si>
  <si>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</si>
  <si>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</si>
  <si>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</si>
  <si>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</si>
  <si>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</si>
  <si>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</si>
  <si>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</si>
  <si>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</si>
  <si>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</si>
  <si>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</si>
  <si>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</si>
  <si>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</si>
  <si>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</si>
  <si>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</si>
  <si>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</si>
  <si>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</si>
  <si>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</si>
  <si>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</si>
  <si>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</si>
  <si>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</si>
  <si>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</si>
  <si>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</si>
  <si>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</si>
  <si>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</si>
  <si>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</si>
  <si>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</si>
  <si>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</si>
  <si>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</si>
  <si>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</si>
  <si>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</si>
  <si>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</si>
  <si>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</si>
  <si>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</si>
  <si>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</si>
  <si>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</si>
  <si>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</si>
  <si>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</si>
  <si>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</si>
  <si>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</si>
  <si>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</si>
  <si>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</si>
  <si>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</si>
  <si>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</si>
  <si>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</si>
  <si>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</si>
  <si>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</si>
  <si>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</si>
  <si>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</si>
  <si>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</si>
  <si>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</si>
  <si>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</si>
  <si>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</si>
  <si>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</si>
  <si>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</si>
  <si>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</si>
  <si>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</si>
  <si>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</si>
  <si>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</si>
  <si>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</si>
  <si>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</si>
  <si>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</si>
  <si>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</si>
  <si>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</si>
  <si>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</si>
  <si>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</si>
  <si>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</si>
  <si>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</si>
  <si>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</si>
  <si>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</si>
  <si>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</si>
  <si>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</si>
  <si>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</si>
  <si>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</si>
  <si>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</si>
  <si>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</si>
  <si>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</si>
  <si>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</si>
  <si>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</si>
  <si>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</si>
  <si>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</si>
  <si>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</si>
  <si>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</si>
  <si>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</si>
  <si>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</si>
  <si>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</si>
  <si>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</si>
  <si>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</si>
  <si>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</si>
  <si>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</si>
  <si>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</si>
  <si>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</si>
  <si>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</si>
  <si>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</si>
  <si>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</si>
  <si>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</si>
  <si>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</si>
  <si>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</si>
  <si>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</si>
  <si>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</si>
  <si>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</si>
  <si>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</si>
  <si>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</si>
  <si>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</si>
  <si>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</si>
  <si>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</si>
  <si>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</si>
  <si>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</si>
  <si>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</si>
  <si>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</si>
  <si>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</si>
  <si>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</si>
  <si>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</si>
  <si>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</si>
  <si>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</si>
  <si>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</si>
  <si>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</si>
  <si>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</si>
  <si>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</si>
  <si>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</si>
  <si>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</si>
  <si>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</si>
  <si>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</si>
  <si>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</si>
  <si>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</si>
  <si>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</si>
  <si>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</si>
  <si>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</si>
  <si>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</si>
  <si>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</si>
  <si>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</si>
  <si>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</si>
  <si>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</si>
  <si>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</si>
  <si>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</si>
  <si>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</si>
  <si>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</si>
  <si>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</si>
  <si>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</si>
  <si>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</si>
  <si>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</si>
  <si>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</si>
  <si>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</si>
  <si>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</si>
  <si>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</si>
  <si>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</si>
  <si>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</si>
  <si>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</si>
  <si>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</si>
  <si>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</si>
  <si>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</si>
  <si>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</si>
  <si>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</si>
  <si>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</si>
  <si>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</si>
  <si>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</si>
  <si>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</si>
  <si>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</si>
  <si>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</si>
  <si>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</si>
  <si>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</si>
  <si>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</si>
  <si>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</si>
  <si>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</si>
  <si>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</si>
  <si>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</si>
  <si>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</si>
  <si>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</si>
  <si>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</si>
  <si>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</si>
  <si>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</si>
  <si>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</si>
  <si>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</si>
  <si>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</si>
  <si>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</si>
  <si>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</si>
  <si>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</si>
  <si>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</si>
  <si>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</si>
  <si>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</si>
  <si>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</si>
  <si>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</si>
  <si>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</si>
  <si>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</si>
  <si>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</si>
  <si>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</si>
  <si>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</si>
  <si>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</si>
  <si>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</si>
  <si>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</si>
  <si>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</si>
  <si>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</si>
  <si>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</si>
  <si>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</si>
  <si>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</si>
  <si>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</si>
  <si>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</si>
  <si>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</si>
  <si>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</si>
  <si>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</si>
  <si>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</si>
  <si>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</si>
  <si>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</si>
  <si>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</si>
  <si>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</si>
  <si>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</si>
  <si>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</si>
  <si>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</si>
  <si>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</si>
  <si>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</si>
  <si>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</si>
  <si>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</si>
  <si>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</si>
  <si>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</si>
  <si>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</si>
  <si>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</si>
  <si>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</si>
  <si>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</si>
  <si>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</si>
  <si>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</si>
  <si>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</si>
  <si>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</si>
  <si>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</si>
  <si>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</si>
  <si>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</si>
  <si>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</si>
  <si>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</si>
  <si>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</si>
  <si>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</si>
  <si>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</si>
  <si>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</si>
  <si>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</si>
  <si>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</si>
  <si>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</si>
  <si>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</si>
  <si>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</si>
  <si>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</si>
  <si>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</si>
  <si>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</si>
  <si>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</si>
  <si>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</si>
  <si>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</si>
  <si>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</si>
  <si>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</si>
  <si>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</si>
  <si>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</si>
  <si>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</si>
  <si>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</si>
  <si>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</si>
  <si>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</si>
  <si>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</si>
  <si>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</si>
  <si>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</si>
  <si>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</si>
  <si>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</si>
  <si>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</si>
  <si>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</si>
  <si>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</si>
  <si>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</si>
  <si>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</si>
  <si>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</si>
  <si>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</si>
  <si>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</si>
  <si>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</si>
  <si>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</si>
  <si>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</si>
  <si>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</si>
  <si>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</si>
  <si>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</si>
  <si>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</si>
  <si>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</si>
  <si>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</si>
  <si>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</si>
  <si>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</si>
  <si>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</si>
  <si>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</si>
  <si>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</si>
  <si>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</si>
  <si>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</si>
  <si>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</si>
  <si>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</si>
  <si>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</si>
  <si>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</si>
  <si>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</si>
  <si>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</si>
  <si>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</si>
  <si>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</si>
  <si>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</si>
  <si>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</si>
  <si>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</si>
  <si>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</si>
  <si>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</si>
  <si>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</si>
  <si>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</si>
  <si>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</si>
  <si>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</si>
  <si>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</si>
  <si>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</si>
  <si>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</si>
  <si>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</si>
  <si>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</si>
  <si>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</si>
  <si>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</si>
  <si>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</si>
  <si>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</si>
  <si>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</si>
  <si>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</si>
  <si>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</si>
  <si>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</si>
  <si>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</si>
  <si>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</si>
  <si>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</si>
  <si>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</si>
  <si>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</si>
  <si>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</si>
  <si>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</si>
  <si>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</si>
  <si>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</si>
  <si>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</si>
  <si>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</si>
  <si>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</si>
  <si>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</si>
  <si>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</si>
  <si>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</si>
  <si>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</si>
  <si>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</si>
  <si>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</si>
  <si>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</si>
  <si>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</si>
  <si>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</si>
  <si>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</si>
  <si>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</si>
  <si>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</si>
  <si>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</si>
  <si>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</si>
  <si>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</si>
  <si>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</si>
  <si>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</si>
  <si>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</si>
  <si>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</si>
  <si>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</si>
  <si>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</si>
  <si>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</si>
  <si>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</si>
  <si>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</si>
  <si>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</si>
  <si>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</si>
  <si>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</si>
  <si>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</si>
  <si>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</si>
  <si>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</si>
  <si>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</si>
  <si>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</si>
  <si>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</si>
  <si>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</si>
  <si>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</si>
  <si>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</si>
  <si>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</si>
  <si>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</si>
  <si>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</si>
  <si>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</si>
  <si>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</si>
  <si>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</si>
  <si>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</si>
  <si>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</si>
  <si>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</si>
  <si>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</si>
  <si>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</si>
  <si>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</si>
  <si>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</si>
  <si>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</si>
  <si>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</si>
  <si>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</si>
  <si>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</si>
  <si>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</si>
  <si>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</si>
  <si>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</si>
  <si>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</si>
  <si>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</si>
  <si>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</si>
  <si>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</si>
  <si>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</si>
  <si>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</si>
  <si>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</si>
  <si>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</si>
  <si>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</si>
  <si>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</si>
  <si>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</si>
  <si>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</si>
  <si>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</si>
  <si>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</si>
  <si>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</si>
  <si>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</si>
  <si>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</si>
  <si>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</si>
  <si>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</si>
  <si>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</si>
  <si>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</si>
  <si>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</si>
  <si>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</si>
  <si>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</si>
  <si>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</si>
  <si>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</si>
  <si>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</si>
  <si>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</si>
  <si>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</si>
  <si>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</si>
  <si>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</si>
  <si>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</si>
  <si>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</si>
  <si>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</si>
  <si>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</si>
  <si>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</si>
  <si>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</si>
  <si>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</si>
  <si>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</si>
  <si>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</si>
  <si>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</si>
  <si>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</si>
  <si>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</si>
  <si>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</si>
  <si>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</si>
  <si>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</si>
  <si>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</si>
  <si>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</si>
  <si>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</si>
  <si>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</si>
  <si>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</si>
  <si>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</si>
  <si>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</si>
  <si>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</si>
  <si>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</si>
  <si>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</si>
  <si>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</si>
  <si>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</si>
  <si>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</si>
  <si>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</si>
  <si>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</si>
  <si>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</si>
  <si>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</si>
  <si>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</si>
  <si>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</si>
  <si>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</si>
  <si>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</si>
  <si>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</si>
  <si>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</si>
  <si>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</si>
  <si>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</si>
  <si>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</si>
  <si>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</si>
  <si>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</si>
  <si>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</si>
  <si>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</si>
  <si>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</si>
  <si>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</si>
  <si>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</si>
  <si>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</si>
  <si>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</si>
  <si>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</si>
  <si>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</si>
  <si>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</si>
  <si>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</si>
  <si>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</si>
  <si>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</si>
  <si>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</si>
  <si>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</si>
  <si>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</si>
  <si>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</si>
  <si>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</si>
  <si>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</si>
  <si>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</si>
  <si>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</si>
  <si>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</si>
  <si>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</si>
  <si>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</si>
  <si>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</si>
  <si>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</si>
  <si>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</si>
  <si>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</si>
  <si>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</si>
  <si>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</si>
  <si>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</si>
  <si>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</si>
  <si>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</si>
  <si>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</si>
  <si>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</si>
  <si>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</si>
  <si>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</si>
  <si>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</si>
  <si>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</si>
  <si>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</si>
  <si>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</si>
  <si>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</si>
  <si>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</si>
  <si>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</si>
  <si>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</si>
  <si>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</si>
  <si>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</si>
  <si>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</si>
  <si>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</si>
  <si>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</si>
  <si>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</si>
  <si>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</si>
  <si>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</si>
  <si>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</si>
  <si>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</si>
  <si>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</si>
  <si>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</si>
  <si>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</si>
  <si>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</si>
  <si>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</si>
  <si>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</si>
  <si>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</si>
  <si>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</si>
  <si>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</si>
  <si>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</si>
  <si>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</si>
  <si>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</si>
  <si>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</si>
  <si>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</si>
  <si>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</si>
  <si>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</si>
  <si>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</si>
  <si>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</si>
  <si>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</si>
  <si>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</si>
  <si>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</si>
  <si>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</si>
  <si>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</si>
  <si>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</si>
  <si>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</si>
  <si>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</si>
  <si>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</si>
  <si>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</si>
  <si>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</si>
  <si>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</si>
  <si>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</si>
  <si>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</si>
  <si>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</si>
  <si>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</si>
  <si>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</si>
  <si>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</si>
  <si>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</si>
  <si>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</si>
  <si>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</si>
  <si>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</si>
  <si>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</si>
  <si>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</si>
  <si>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</si>
  <si>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</si>
  <si>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</si>
  <si>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</si>
  <si>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</si>
  <si>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</si>
  <si>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</si>
  <si>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</si>
  <si>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</si>
  <si>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</si>
  <si>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</si>
  <si>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</si>
  <si>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</si>
  <si>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</si>
  <si>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</si>
  <si>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</si>
  <si>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</si>
  <si>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</si>
  <si>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</si>
  <si>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</si>
  <si>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</si>
  <si>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</si>
  <si>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</si>
  <si>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</si>
  <si>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</si>
  <si>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</si>
  <si>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</si>
  <si>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</si>
  <si>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</si>
  <si>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</si>
  <si>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</si>
  <si>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</si>
  <si>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</si>
  <si>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</si>
  <si>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</si>
  <si>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</si>
  <si>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</si>
  <si>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</si>
  <si>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</si>
  <si>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</si>
  <si>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</si>
  <si>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</si>
  <si>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</si>
  <si>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</si>
  <si>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</si>
  <si>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</si>
  <si>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</si>
  <si>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</si>
  <si>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</si>
  <si>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</si>
  <si>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</si>
  <si>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</si>
  <si>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</si>
  <si>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</si>
  <si>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</si>
  <si>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</si>
  <si>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</si>
  <si>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</si>
  <si>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</si>
  <si>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</si>
  <si>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</si>
  <si>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</si>
  <si>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</si>
  <si>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</si>
  <si>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</si>
  <si>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</si>
  <si>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</si>
  <si>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</si>
  <si>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</si>
  <si>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</si>
  <si>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</si>
  <si>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</si>
  <si>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</si>
  <si>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</si>
  <si>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</si>
  <si>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</si>
  <si>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</si>
  <si>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</si>
  <si>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</si>
  <si>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</si>
  <si>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</si>
  <si>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</si>
  <si>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</si>
  <si>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</si>
  <si>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</si>
  <si>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</si>
  <si>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</si>
  <si>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</si>
  <si>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</si>
  <si>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</si>
  <si>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</si>
  <si>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</si>
  <si>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</si>
  <si>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</si>
  <si>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</si>
  <si>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</si>
  <si>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</si>
  <si>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</si>
  <si>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</si>
  <si>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</si>
  <si>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</si>
  <si>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</si>
  <si>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</si>
  <si>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</si>
  <si>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</si>
  <si>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</si>
  <si>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</si>
  <si>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</si>
  <si>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</si>
  <si>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</si>
  <si>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</si>
  <si>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</si>
  <si>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</si>
  <si>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</si>
  <si>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</si>
  <si>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</si>
  <si>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</si>
  <si>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</si>
  <si>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</si>
  <si>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</si>
  <si>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</si>
  <si>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</si>
  <si>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</si>
  <si>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</si>
  <si>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</si>
  <si>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</si>
  <si>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</si>
  <si>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</si>
  <si>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</si>
  <si>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</si>
  <si>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</si>
  <si>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</si>
  <si>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</si>
  <si>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</si>
  <si>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</si>
  <si>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</si>
  <si>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</si>
  <si>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</si>
  <si>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</si>
  <si>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</si>
  <si>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</si>
  <si>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</si>
  <si>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</si>
  <si>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</si>
  <si>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</si>
  <si>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</si>
  <si>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</si>
  <si>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</si>
  <si>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</si>
  <si>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</si>
  <si>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</si>
  <si>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</si>
  <si>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</si>
  <si>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</si>
  <si>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</si>
  <si>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</si>
  <si>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</si>
  <si>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</si>
  <si>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</si>
  <si>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</si>
  <si>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</si>
  <si>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</si>
  <si>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</si>
  <si>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</si>
  <si>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</si>
  <si>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</si>
  <si>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</si>
  <si>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</si>
  <si>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</si>
  <si>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</si>
  <si>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</si>
  <si>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</si>
  <si>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</si>
  <si>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</si>
  <si>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</si>
  <si>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</si>
  <si>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</si>
  <si>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</si>
  <si>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</si>
  <si>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</si>
  <si>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</si>
  <si>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</si>
  <si>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</si>
  <si>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</si>
  <si>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</si>
  <si>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</si>
  <si>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</si>
  <si>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</si>
  <si>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</si>
  <si>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</si>
  <si>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</si>
  <si>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</si>
  <si>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</si>
  <si>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</si>
  <si>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</si>
  <si>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</si>
  <si>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</si>
  <si>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</si>
  <si>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</si>
  <si>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</si>
  <si>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</si>
  <si>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</si>
  <si>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</si>
  <si>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</si>
  <si>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</si>
  <si>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</si>
  <si>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</si>
  <si>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</si>
  <si>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</si>
  <si>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</si>
  <si>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</si>
  <si>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</si>
  <si>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</si>
  <si>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</si>
  <si>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</si>
  <si>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</si>
  <si>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</si>
  <si>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</si>
  <si>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</si>
  <si>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</si>
  <si>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</si>
  <si>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</si>
  <si>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</si>
  <si>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</si>
  <si>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</si>
  <si>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</si>
  <si>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</si>
  <si>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</si>
  <si>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</si>
  <si>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</si>
  <si>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</si>
  <si>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</si>
  <si>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</si>
  <si>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</si>
  <si>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</si>
  <si>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</si>
  <si>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</si>
  <si>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</si>
  <si>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</si>
  <si>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</si>
  <si>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</si>
  <si>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</si>
  <si>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</si>
  <si>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</si>
  <si>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</si>
  <si>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</si>
  <si>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</si>
  <si>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</si>
  <si>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</si>
  <si>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</si>
  <si>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</si>
  <si>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</si>
  <si>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</si>
  <si>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</si>
  <si>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</si>
  <si>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</si>
  <si>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</si>
  <si>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</si>
  <si>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</si>
  <si>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</si>
  <si>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</si>
  <si>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</si>
  <si>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</si>
  <si>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</si>
  <si>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</si>
  <si>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</si>
  <si>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</si>
  <si>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</si>
  <si>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</si>
  <si>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</si>
  <si>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</si>
  <si>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</si>
  <si>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</si>
  <si>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</si>
  <si>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</si>
  <si>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</si>
  <si>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</si>
  <si>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</si>
  <si>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</si>
  <si>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</si>
  <si>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</si>
  <si>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</si>
  <si>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</si>
  <si>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</si>
  <si>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</si>
  <si>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</si>
  <si>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</si>
  <si>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</si>
  <si>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</si>
  <si>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</si>
  <si>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</si>
  <si>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</si>
  <si>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</si>
  <si>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</si>
  <si>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</si>
  <si>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</si>
  <si>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</si>
  <si>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</si>
  <si>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</si>
  <si>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</si>
  <si>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</si>
  <si>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</si>
  <si>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</si>
  <si>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</si>
  <si>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</si>
  <si>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</si>
  <si>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</si>
  <si>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</si>
  <si>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</si>
  <si>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</si>
  <si>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</si>
  <si>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</si>
  <si>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</si>
  <si>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</si>
  <si>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</si>
  <si>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</si>
  <si>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</si>
  <si>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</si>
  <si>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</si>
  <si>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</si>
  <si>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</si>
  <si>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</si>
  <si>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</si>
  <si>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</si>
  <si>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</si>
  <si>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</si>
  <si>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</si>
  <si>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</si>
  <si>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</si>
  <si>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</si>
  <si>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</si>
  <si>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</si>
  <si>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</si>
  <si>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</si>
  <si>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</si>
  <si>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</si>
  <si>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</si>
  <si>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</si>
  <si>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</si>
  <si>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</si>
  <si>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</si>
  <si>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</si>
  <si>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</si>
  <si>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</si>
  <si>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</si>
  <si>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</si>
  <si>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</si>
  <si>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</si>
  <si>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</si>
  <si>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</si>
  <si>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</si>
  <si>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</si>
  <si>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</si>
  <si>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</si>
  <si>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</si>
  <si>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</si>
  <si>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</si>
  <si>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</si>
  <si>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</si>
  <si>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</si>
  <si>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</si>
  <si>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</si>
  <si>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</si>
  <si>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</si>
  <si>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</si>
  <si>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</si>
  <si>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</si>
  <si>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</si>
  <si>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</si>
  <si>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</si>
  <si>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</si>
  <si>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</si>
  <si>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</si>
  <si>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</si>
  <si>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</si>
  <si>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</si>
  <si>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</si>
  <si>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</si>
  <si>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</si>
  <si>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</si>
  <si>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</si>
  <si>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</si>
  <si>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</si>
  <si>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</si>
  <si>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</si>
  <si>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</si>
  <si>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</si>
  <si>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</si>
  <si>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</si>
  <si>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</si>
  <si>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</si>
  <si>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</si>
  <si>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</si>
  <si>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</si>
  <si>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</si>
  <si>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</si>
  <si>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</si>
  <si>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</si>
  <si>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</si>
  <si>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</si>
  <si>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</si>
  <si>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</si>
  <si>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</si>
  <si>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</si>
  <si>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</si>
  <si>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</si>
  <si>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</si>
  <si>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</si>
  <si>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</si>
  <si>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</si>
  <si>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</si>
  <si>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</si>
  <si>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</si>
  <si>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</si>
  <si>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</si>
  <si>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</si>
  <si>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</si>
  <si>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</si>
  <si>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</si>
  <si>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</si>
  <si>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</si>
  <si>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</si>
  <si>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</si>
  <si>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</si>
  <si>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</si>
  <si>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</si>
  <si>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</si>
  <si>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</si>
  <si>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</si>
  <si>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</si>
  <si>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</si>
  <si>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</si>
  <si>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</si>
  <si>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</si>
  <si>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</si>
  <si>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</si>
  <si>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</si>
  <si>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</si>
  <si>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</si>
  <si>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</si>
  <si>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</si>
  <si>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</si>
  <si>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</si>
  <si>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</si>
  <si>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</si>
  <si>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</si>
  <si>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</si>
  <si>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</si>
  <si>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</si>
  <si>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</si>
  <si>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</si>
  <si>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</si>
  <si>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</si>
  <si>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</si>
  <si>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</si>
  <si>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</si>
  <si>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>People call a bubble for a number of reasons. Most commonly: 1) Uneducated 2) Lazy 3) Scared by _Bitlord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</si>
  <si>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</si>
  <si>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</si>
  <si>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</si>
  <si>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</si>
  <si>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</si>
  <si>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</si>
  <si>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</si>
  <si>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</si>
  <si>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</si>
  <si>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</si>
  <si>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</si>
  <si>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</si>
  <si>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</si>
  <si>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</si>
  <si>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</si>
  <si>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</si>
  <si>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</si>
  <si>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</si>
  <si>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</si>
  <si>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</si>
  <si>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</si>
  <si>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</si>
  <si>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</si>
  <si>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</si>
  <si>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</si>
  <si>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</si>
  <si>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</si>
  <si>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</si>
  <si>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</si>
  <si>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</si>
  <si>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</si>
  <si>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</si>
  <si>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</si>
  <si>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</si>
  <si>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</si>
  <si>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</si>
  <si>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</si>
  <si>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</si>
  <si>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</si>
  <si>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</si>
  <si>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</si>
  <si>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</si>
  <si>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</si>
  <si>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</si>
  <si>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</si>
  <si>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</si>
  <si>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</si>
  <si>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</si>
  <si>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</si>
  <si>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</si>
  <si>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</si>
  <si>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</si>
  <si>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</si>
  <si>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</si>
  <si>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</si>
  <si>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</si>
  <si>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</si>
  <si>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</si>
  <si>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</si>
  <si>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</si>
  <si>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</si>
  <si>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</si>
  <si>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</si>
  <si>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</si>
  <si>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</si>
  <si>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</si>
  <si>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</si>
  <si>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</si>
  <si>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</si>
  <si>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</si>
  <si>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</si>
  <si>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</si>
  <si>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</si>
  <si>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</si>
  <si>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</si>
  <si>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</si>
  <si>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</si>
  <si>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</si>
  <si>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</si>
  <si>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</si>
  <si>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</si>
  <si>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</si>
  <si>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</si>
  <si>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</si>
  <si>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</si>
  <si>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</si>
  <si>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</si>
  <si>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</si>
  <si>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</si>
  <si>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</si>
  <si>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</si>
  <si>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</si>
  <si>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</si>
  <si>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</si>
  <si>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</si>
  <si>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</si>
  <si>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</si>
  <si>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</si>
  <si>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</si>
  <si>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</si>
  <si>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</si>
  <si>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</si>
  <si>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</si>
  <si>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</si>
  <si>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</si>
  <si>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</si>
  <si>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</si>
  <si>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</si>
  <si>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</si>
  <si>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</si>
  <si>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</si>
  <si>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</si>
  <si>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</si>
  <si>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</si>
  <si>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</si>
  <si>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</si>
  <si>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</si>
  <si>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</si>
  <si>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</si>
  <si>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</si>
  <si>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</si>
  <si>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</si>
  <si>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</si>
  <si>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</si>
  <si>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</si>
  <si>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</si>
  <si>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</si>
  <si>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</si>
  <si>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</si>
  <si>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</si>
  <si>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</si>
  <si>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</si>
  <si>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</si>
  <si>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</si>
  <si>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</si>
  <si>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</si>
  <si>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</si>
  <si>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</si>
  <si>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</si>
  <si>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</si>
  <si>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</si>
  <si>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</si>
  <si>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</si>
  <si>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</si>
  <si>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</si>
  <si>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</si>
  <si>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</si>
  <si>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</si>
  <si>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</si>
  <si>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</si>
  <si>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</si>
  <si>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</si>
  <si>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</si>
  <si>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</si>
  <si>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</si>
  <si>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</si>
  <si>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</si>
  <si>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</si>
  <si>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</si>
  <si>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</si>
  <si>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</si>
  <si>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</si>
  <si>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</si>
  <si>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</si>
  <si>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</si>
  <si>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</si>
  <si>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</si>
  <si>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</si>
  <si>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</si>
  <si>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</si>
  <si>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</si>
  <si>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</si>
  <si>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</si>
  <si>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</si>
  <si>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</si>
  <si>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</si>
  <si>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</si>
  <si>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</si>
  <si>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</si>
  <si>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</si>
  <si>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</si>
  <si>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</si>
  <si>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</si>
  <si>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</si>
  <si>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</si>
  <si>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</si>
  <si>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</si>
  <si>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</si>
  <si>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</si>
  <si>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</si>
  <si>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</si>
  <si>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</si>
  <si>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</si>
  <si>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</si>
  <si>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</si>
  <si>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</si>
  <si>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</si>
  <si>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</si>
  <si>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</si>
  <si>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</si>
  <si>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</si>
  <si>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</si>
  <si>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</si>
  <si>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</si>
  <si>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</si>
  <si>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</si>
  <si>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</si>
  <si>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</si>
  <si>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</si>
  <si>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</si>
  <si>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</si>
  <si>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</si>
  <si>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</si>
  <si>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</si>
  <si>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</si>
  <si>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</si>
  <si>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</si>
  <si>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</si>
  <si>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</si>
  <si>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</si>
  <si>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</si>
  <si>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</si>
  <si>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</si>
  <si>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</si>
  <si>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</si>
  <si>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</si>
  <si>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</si>
  <si>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</si>
  <si>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</si>
  <si>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</si>
  <si>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</si>
  <si>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</si>
  <si>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</si>
  <si>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</si>
  <si>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</si>
  <si>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</si>
  <si>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</si>
  <si>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</si>
  <si>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</si>
  <si>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</si>
  <si>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</si>
  <si>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</si>
  <si>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</si>
  <si>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</si>
  <si>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</si>
  <si>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</si>
  <si>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</si>
  <si>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</si>
  <si>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</si>
  <si>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</si>
  <si>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</si>
  <si>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</si>
  <si>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</si>
  <si>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</si>
  <si>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</si>
  <si>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</si>
  <si>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</si>
  <si>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</si>
  <si>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</si>
  <si>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</si>
  <si>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</si>
  <si>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</si>
  <si>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</si>
  <si>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</si>
  <si>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</si>
  <si>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</si>
  <si>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</si>
  <si>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</si>
  <si>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</si>
  <si>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</si>
  <si>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</si>
  <si>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</si>
  <si>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</si>
  <si>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</si>
  <si>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</si>
  <si>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</si>
  <si>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</si>
  <si>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</si>
  <si>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</si>
  <si>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</si>
  <si>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</si>
  <si>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</si>
  <si>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</si>
  <si>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</si>
  <si>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</si>
  <si>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</si>
  <si>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</si>
  <si>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</si>
  <si>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</si>
  <si>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</si>
  <si>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</si>
  <si>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</si>
  <si>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</si>
  <si>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</si>
  <si>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</si>
  <si>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</si>
  <si>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</si>
  <si>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</si>
  <si>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</si>
  <si>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</si>
  <si>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</si>
  <si>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</si>
  <si>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</si>
  <si>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</si>
  <si>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</si>
  <si>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</si>
  <si>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</si>
  <si>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</si>
  <si>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</si>
  <si>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</si>
  <si>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</si>
  <si>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</si>
  <si>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</si>
  <si>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</si>
  <si>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</si>
  <si>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</si>
  <si>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</si>
  <si>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</si>
  <si>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</si>
  <si>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</si>
  <si>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</si>
  <si>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</si>
  <si>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</si>
  <si>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</si>
  <si>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</si>
  <si>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</si>
  <si>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</si>
  <si>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</si>
  <si>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</si>
  <si>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</si>
  <si>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</si>
  <si>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</si>
  <si>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</si>
  <si>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</si>
  <si>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</si>
  <si>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</si>
  <si>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</si>
  <si>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</si>
  <si>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</si>
  <si>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</si>
  <si>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</si>
  <si>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</si>
  <si>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</si>
  <si>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</si>
  <si>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</si>
  <si>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</si>
  <si>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</si>
  <si>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</si>
  <si>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</si>
  <si>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</si>
  <si>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</si>
  <si>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</si>
  <si>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</si>
  <si>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</si>
  <si>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</si>
  <si>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</si>
  <si>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</si>
  <si>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</si>
  <si>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</si>
  <si>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</si>
  <si>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</si>
  <si>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</si>
  <si>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</si>
  <si>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</si>
  <si>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</si>
  <si>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</si>
  <si>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</si>
  <si>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</si>
  <si>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</si>
  <si>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</si>
  <si>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</si>
  <si>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</si>
  <si>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</si>
  <si>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</si>
  <si>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</si>
  <si>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</si>
  <si>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</si>
  <si>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</si>
  <si>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</si>
  <si>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</si>
  <si>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</si>
  <si>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</si>
  <si>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</si>
  <si>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</si>
  <si>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</si>
  <si>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</si>
  <si>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</si>
  <si>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</si>
  <si>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</si>
  <si>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</si>
  <si>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</si>
  <si>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</si>
  <si>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</si>
  <si>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</si>
  <si>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</si>
  <si>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</si>
  <si>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</si>
  <si>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</si>
  <si>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</si>
  <si>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</si>
  <si>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</si>
  <si>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</si>
  <si>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</si>
  <si>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</si>
  <si>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</si>
  <si>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</si>
  <si>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</si>
  <si>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</si>
  <si>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</si>
  <si>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</si>
  <si>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</si>
  <si>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</si>
  <si>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</si>
  <si>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</si>
  <si>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</si>
  <si>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</si>
  <si>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</si>
  <si>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</si>
  <si>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</si>
  <si>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</si>
  <si>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</si>
  <si>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</si>
  <si>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</si>
  <si>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</si>
  <si>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</si>
  <si>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</si>
  <si>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</si>
  <si>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</si>
  <si>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</si>
  <si>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</si>
  <si>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</si>
  <si>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</si>
  <si>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</si>
  <si>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</si>
  <si>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</si>
  <si>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</si>
  <si>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</si>
  <si>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</si>
  <si>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</si>
  <si>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</si>
  <si>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</si>
  <si>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</si>
  <si>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</si>
  <si>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</si>
  <si>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</si>
  <si>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</si>
  <si>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</si>
  <si>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</si>
  <si>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</si>
  <si>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</si>
  <si>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</si>
  <si>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</si>
  <si>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</si>
  <si>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</si>
  <si>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</si>
  <si>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</si>
  <si>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</si>
  <si>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</si>
  <si>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</si>
  <si>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</si>
  <si>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</si>
  <si>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</si>
  <si>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</si>
  <si>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</si>
  <si>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</si>
  <si>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</si>
  <si>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</si>
  <si>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</si>
  <si>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</si>
  <si>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</si>
  <si>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</si>
  <si>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</si>
  <si>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</si>
  <si>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</si>
  <si>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</si>
  <si>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</si>
  <si>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</si>
  <si>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</si>
  <si>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</si>
  <si>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</si>
  <si>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</si>
  <si>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</si>
  <si>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</si>
  <si>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</si>
  <si>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</si>
  <si>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</si>
  <si>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</si>
  <si>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</si>
  <si>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</si>
  <si>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</si>
  <si>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</si>
  <si>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</si>
  <si>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</si>
  <si>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</si>
  <si>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</si>
  <si>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</si>
  <si>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</si>
  <si>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</si>
  <si>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</si>
  <si>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</si>
  <si>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</si>
  <si>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</si>
  <si>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</si>
  <si>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</si>
  <si>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</si>
  <si>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</si>
  <si>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</si>
  <si>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</si>
  <si>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</si>
  <si>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</si>
  <si>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</si>
  <si>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</si>
  <si>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</si>
  <si>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</si>
  <si>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</si>
  <si>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</si>
  <si>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</si>
  <si>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</si>
  <si>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</si>
  <si>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</si>
  <si>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</si>
  <si>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</si>
  <si>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</si>
  <si>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</si>
  <si>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</si>
  <si>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</si>
  <si>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</si>
  <si>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</si>
  <si>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</si>
  <si>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</si>
  <si>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</si>
  <si>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</si>
  <si>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</si>
  <si>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</si>
  <si>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</si>
  <si>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</si>
  <si>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</si>
  <si>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</si>
  <si>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</si>
  <si>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</si>
  <si>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</si>
  <si>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</si>
  <si>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</si>
  <si>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</si>
  <si>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</si>
  <si>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</si>
  <si>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</si>
  <si>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</si>
  <si>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</si>
  <si>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</si>
  <si>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</si>
  <si>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</si>
  <si>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</si>
  <si>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</si>
  <si>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</si>
  <si>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</si>
  <si>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</si>
  <si>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</si>
  <si>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</si>
  <si>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</si>
  <si>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</si>
  <si>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</si>
  <si>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</si>
  <si>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</si>
  <si>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</si>
  <si>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</si>
  <si>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</si>
  <si>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</si>
  <si>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</si>
  <si>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</si>
  <si>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</si>
  <si>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</si>
  <si>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</si>
  <si>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</si>
  <si>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</si>
  <si>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</si>
  <si>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</si>
  <si>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</si>
  <si>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</si>
  <si>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</si>
  <si>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</si>
  <si>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</si>
  <si>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</si>
  <si>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</si>
  <si>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</si>
  <si>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</si>
  <si>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</si>
  <si>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</si>
  <si>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</si>
  <si>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</si>
  <si>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</si>
  <si>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</si>
  <si>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</si>
  <si>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</si>
  <si>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</si>
  <si>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</si>
  <si>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</si>
  <si>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</si>
  <si>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</si>
  <si>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</si>
  <si>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</si>
  <si>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</si>
  <si>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</si>
  <si>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</si>
  <si>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</si>
  <si>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</si>
  <si>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</si>
  <si>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</si>
  <si>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</si>
  <si>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</si>
  <si>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</si>
  <si>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</si>
  <si>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</si>
  <si>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</si>
  <si>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</si>
  <si>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</si>
  <si>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</si>
  <si>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</si>
  <si>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</si>
  <si>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</si>
  <si>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</si>
  <si>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</si>
  <si>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</si>
  <si>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</si>
  <si>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</si>
  <si>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</si>
  <si>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</si>
  <si>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</si>
  <si>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</si>
  <si>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</si>
  <si>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</si>
  <si>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</si>
  <si>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</si>
  <si>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</si>
  <si>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</si>
  <si>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</si>
  <si>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</si>
  <si>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</si>
  <si>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</si>
  <si>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</si>
  <si>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</si>
  <si>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</si>
  <si>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</si>
  <si>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</si>
  <si>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</si>
  <si>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</si>
  <si>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</si>
  <si>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</si>
  <si>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</si>
  <si>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</si>
  <si>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</si>
  <si>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</si>
  <si>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</si>
  <si>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</si>
  <si>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</si>
  <si>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</si>
  <si>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</si>
  <si>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</si>
  <si>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</si>
  <si>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</si>
  <si>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</si>
  <si>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</si>
  <si>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</si>
  <si>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</si>
  <si>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</si>
  <si>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</si>
  <si>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</si>
  <si>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</si>
  <si>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</si>
  <si>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</si>
  <si>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</si>
  <si>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</si>
  <si>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</si>
  <si>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</si>
  <si>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</si>
  <si>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</si>
  <si>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</si>
  <si>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</si>
  <si>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</si>
  <si>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</si>
  <si>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</si>
  <si>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</si>
  <si>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</si>
  <si>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</si>
  <si>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</si>
  <si>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</si>
  <si>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</si>
  <si>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</si>
  <si>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</si>
  <si>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</si>
  <si>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</si>
  <si>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</si>
  <si>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</si>
  <si>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</si>
  <si>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</si>
  <si>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</si>
  <si>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</si>
  <si>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</si>
  <si>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</si>
  <si>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</si>
  <si>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</si>
  <si>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</si>
  <si>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</si>
  <si>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</si>
  <si>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</si>
  <si>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</si>
  <si>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</si>
  <si>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</si>
  <si>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</si>
  <si>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</si>
  <si>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</si>
  <si>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</si>
  <si>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</si>
  <si>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</si>
  <si>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</si>
  <si>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</si>
  <si>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</si>
  <si>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</si>
  <si>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</si>
  <si>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</si>
  <si>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</si>
  <si>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</si>
  <si>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</si>
  <si>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</si>
  <si>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</si>
  <si>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</si>
  <si>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</si>
  <si>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</si>
  <si>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</si>
  <si>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</si>
  <si>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</si>
  <si>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</si>
  <si>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</si>
  <si>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</si>
  <si>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</si>
  <si>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</si>
  <si>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</si>
  <si>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</si>
  <si>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</si>
  <si>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</si>
  <si>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</si>
  <si>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</si>
  <si>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</si>
  <si>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</si>
  <si>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</si>
  <si>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</si>
  <si>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</si>
  <si>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</si>
  <si>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</si>
  <si>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</si>
  <si>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</si>
  <si>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</si>
  <si>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</si>
  <si>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</si>
  <si>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</si>
  <si>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</si>
  <si>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</si>
  <si>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</si>
  <si>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</si>
  <si>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</si>
  <si>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</si>
  <si>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</si>
  <si>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</si>
  <si>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</si>
  <si>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</si>
  <si>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</si>
  <si>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</si>
  <si>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</si>
  <si>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</si>
  <si>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</si>
  <si>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</si>
  <si>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</si>
  <si>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</si>
  <si>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</si>
  <si>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</si>
  <si>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</si>
  <si>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</si>
  <si>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</si>
  <si>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</si>
  <si>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</si>
  <si>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</si>
  <si>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</si>
  <si>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</si>
  <si>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</si>
  <si>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</si>
  <si>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</si>
  <si>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</si>
  <si>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</si>
  <si>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</si>
  <si>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</si>
  <si>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</si>
  <si>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</si>
  <si>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</si>
  <si>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</si>
  <si>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</si>
  <si>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</si>
  <si>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</si>
  <si>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</si>
  <si>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</si>
  <si>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</si>
  <si>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</si>
  <si>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</si>
  <si>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</si>
  <si>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</si>
  <si>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</si>
  <si>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</si>
  <si>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</si>
  <si>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</si>
  <si>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</si>
  <si>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</si>
  <si>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</si>
  <si>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</si>
  <si>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</si>
  <si>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</si>
  <si>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</si>
  <si>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</si>
  <si>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</si>
  <si>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</si>
  <si>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</si>
  <si>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</si>
  <si>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</si>
  <si>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</si>
  <si>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</si>
  <si>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</si>
  <si>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</si>
  <si>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</si>
  <si>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</si>
  <si>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</si>
  <si>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</si>
  <si>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</si>
  <si>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</si>
  <si>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</si>
  <si>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</si>
  <si>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</si>
  <si>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</si>
  <si>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</si>
  <si>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</si>
  <si>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</si>
  <si>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</si>
  <si>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</si>
  <si>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</si>
  <si>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</si>
  <si>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</si>
  <si>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</si>
  <si>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</si>
  <si>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</si>
  <si>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</si>
  <si>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</si>
  <si>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</si>
  <si>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</si>
  <si>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</si>
  <si>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</si>
  <si>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</si>
  <si>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</si>
  <si>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</si>
  <si>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</si>
  <si>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</si>
  <si>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</si>
  <si>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</si>
  <si>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</si>
  <si>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</si>
  <si>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</si>
  <si>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</si>
  <si>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</si>
  <si>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</si>
  <si>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</si>
  <si>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</si>
  <si>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</si>
  <si>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</si>
  <si>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</si>
  <si>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</si>
  <si>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</si>
  <si>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</si>
  <si>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</si>
  <si>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</si>
  <si>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</si>
  <si>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</si>
  <si>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</si>
  <si>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</si>
  <si>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</si>
  <si>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</si>
  <si>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</si>
  <si>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</si>
  <si>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</si>
  <si>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</si>
  <si>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</si>
  <si>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</si>
  <si>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</si>
  <si>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</si>
  <si>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</si>
  <si>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</si>
  <si>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</si>
  <si>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</si>
  <si>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</si>
  <si>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</si>
  <si>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</si>
  <si>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</si>
  <si>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</si>
  <si>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</si>
  <si>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</si>
  <si>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</si>
  <si>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</si>
  <si>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</si>
  <si>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</si>
  <si>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</si>
  <si>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</si>
  <si>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</si>
  <si>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</si>
  <si>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</si>
  <si>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</si>
  <si>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</si>
  <si>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</si>
  <si>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</si>
  <si>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</si>
  <si>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</si>
  <si>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</si>
  <si>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</si>
  <si>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</si>
  <si>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</si>
  <si>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</si>
  <si>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</si>
  <si>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</si>
  <si>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</si>
  <si>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</si>
  <si>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</si>
  <si>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</si>
  <si>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</si>
  <si>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</si>
  <si>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</si>
  <si>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</si>
  <si>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</si>
  <si>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</si>
  <si>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</si>
  <si>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</si>
  <si>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</si>
  <si>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</si>
  <si>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</si>
  <si>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</si>
  <si>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</si>
  <si>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</si>
  <si>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</si>
  <si>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</si>
  <si>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</si>
  <si>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</si>
  <si>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</si>
  <si>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</si>
  <si>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</si>
  <si>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</si>
  <si>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</si>
  <si>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</si>
  <si>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</si>
  <si>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</si>
  <si>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</si>
  <si>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</si>
  <si>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</si>
  <si>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</si>
  <si>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</si>
  <si>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</si>
  <si>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</si>
  <si>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</si>
  <si>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</si>
  <si>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</si>
  <si>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</si>
  <si>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</si>
  <si>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</si>
  <si>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</si>
  <si>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</si>
  <si>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</si>
  <si>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</si>
  <si>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</si>
  <si>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</si>
  <si>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</si>
  <si>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</si>
  <si>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</si>
  <si>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</si>
  <si>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</si>
  <si>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</si>
  <si>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</si>
  <si>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</si>
  <si>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</si>
  <si>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</si>
  <si>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</si>
  <si>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</si>
  <si>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</si>
  <si>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</si>
  <si>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</si>
  <si>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</si>
  <si>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</si>
  <si>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</si>
  <si>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</si>
  <si>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</si>
  <si>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</si>
  <si>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</si>
  <si>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</si>
  <si>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</si>
  <si>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</si>
  <si>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</si>
  <si>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</si>
  <si>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</si>
  <si>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</si>
  <si>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</si>
  <si>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</si>
  <si>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</si>
  <si>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</si>
  <si>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</si>
  <si>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</si>
  <si>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</si>
  <si>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</si>
  <si>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</si>
  <si>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</si>
  <si>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</si>
  <si>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</si>
  <si>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</si>
  <si>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</si>
  <si>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</si>
  <si>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</si>
  <si>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</si>
  <si>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</si>
  <si>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</si>
  <si>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</si>
  <si>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</si>
  <si>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</si>
  <si>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</si>
  <si>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</si>
  <si>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</si>
  <si>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</si>
  <si>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</si>
  <si>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</si>
  <si>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</si>
  <si>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</si>
  <si>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</si>
  <si>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</si>
  <si>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</si>
  <si>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</si>
  <si>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</si>
  <si>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</si>
  <si>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</si>
  <si>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</si>
  <si>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</si>
  <si>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</si>
  <si>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</si>
  <si>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</si>
  <si>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</si>
  <si>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</si>
  <si>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</si>
  <si>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</si>
  <si>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</si>
  <si>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</si>
  <si>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</si>
  <si>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</si>
  <si>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</si>
  <si>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</si>
  <si>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</si>
  <si>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</si>
  <si>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</si>
  <si>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</si>
  <si>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</si>
  <si>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</si>
  <si>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</si>
  <si>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</si>
  <si>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</si>
  <si>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</si>
  <si>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</si>
  <si>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</si>
  <si>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</si>
  <si>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</si>
  <si>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</si>
  <si>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</si>
  <si>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</si>
  <si>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</si>
  <si>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</si>
  <si>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</si>
  <si>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</si>
  <si>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</si>
  <si>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</si>
  <si>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</si>
  <si>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</si>
  <si>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</si>
  <si>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</si>
  <si>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</si>
  <si>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</si>
  <si>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</si>
  <si>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</si>
  <si>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</si>
  <si>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</si>
  <si>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</si>
  <si>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</si>
  <si>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</si>
  <si>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</si>
  <si>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</si>
  <si>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</si>
  <si>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</si>
  <si>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</si>
  <si>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</si>
  <si>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</si>
  <si>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</si>
  <si>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</si>
  <si>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</si>
  <si>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</si>
  <si>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</si>
  <si>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</si>
  <si>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</si>
  <si>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</si>
  <si>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</si>
  <si>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</si>
  <si>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</si>
  <si>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</si>
  <si>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</si>
  <si>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</si>
  <si>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</si>
  <si>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</si>
  <si>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</si>
  <si>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</si>
  <si>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</si>
  <si>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</si>
  <si>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</si>
  <si>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</si>
  <si>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</si>
  <si>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</si>
  <si>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</si>
  <si>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</si>
  <si>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</si>
  <si>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</si>
  <si>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</si>
  <si>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</si>
  <si>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</si>
  <si>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</si>
  <si>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</si>
  <si>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</si>
  <si>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</si>
  <si>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</si>
  <si>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</si>
  <si>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</si>
  <si>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</si>
  <si>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</si>
  <si>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</si>
  <si>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</si>
  <si>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</si>
  <si>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</si>
  <si>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</si>
  <si>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</si>
  <si>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</si>
  <si>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</si>
  <si>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</si>
  <si>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</si>
  <si>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</si>
  <si>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</si>
  <si>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</si>
  <si>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</si>
  <si>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</si>
  <si>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</si>
  <si>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</si>
  <si>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</si>
  <si>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</si>
  <si>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</si>
  <si>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</si>
  <si>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</si>
  <si>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</si>
  <si>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</si>
  <si>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</si>
  <si>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</si>
  <si>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</si>
  <si>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</si>
  <si>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</si>
  <si>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</si>
  <si>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</si>
  <si>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</si>
  <si>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</si>
  <si>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</si>
  <si>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</si>
  <si>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</si>
  <si>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</si>
  <si>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</si>
  <si>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</si>
  <si>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</si>
  <si>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</si>
  <si>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</si>
  <si>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</si>
  <si>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</si>
  <si>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</si>
  <si>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</si>
  <si>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</si>
  <si>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</si>
  <si>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</si>
  <si>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</si>
  <si>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</si>
  <si>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</si>
  <si>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</si>
  <si>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</si>
  <si>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</si>
  <si>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</si>
  <si>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</si>
  <si>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</si>
  <si>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</si>
  <si>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</si>
  <si>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</si>
  <si>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</si>
  <si>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</si>
  <si>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</si>
  <si>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</si>
  <si>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</si>
  <si>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</si>
  <si>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</si>
  <si>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</si>
  <si>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</si>
  <si>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</si>
  <si>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</si>
  <si>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</si>
  <si>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</si>
  <si>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</si>
  <si>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</si>
  <si>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</si>
  <si>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</si>
  <si>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</si>
  <si>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</si>
  <si>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</si>
  <si>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</si>
  <si>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</si>
  <si>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</si>
  <si>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</si>
  <si>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</si>
  <si>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</si>
  <si>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</si>
  <si>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</si>
  <si>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</si>
  <si>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</si>
  <si>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</si>
  <si>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</si>
  <si>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</si>
  <si>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</si>
  <si>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</si>
  <si>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</si>
  <si>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</si>
  <si>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</si>
  <si>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</si>
  <si>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</si>
  <si>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</si>
  <si>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</si>
  <si>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</si>
  <si>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</si>
  <si>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</si>
  <si>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</si>
  <si>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</si>
  <si>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</si>
  <si>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</si>
  <si>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</si>
  <si>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</si>
  <si>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</si>
  <si>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</si>
  <si>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</si>
  <si>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</si>
  <si>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</si>
  <si>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</si>
  <si>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</si>
  <si>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</si>
  <si>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</si>
  <si>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</si>
  <si>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</si>
  <si>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</si>
  <si>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</si>
  <si>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</si>
  <si>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</si>
  <si>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</si>
  <si>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</si>
  <si>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</si>
  <si>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</si>
  <si>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</si>
  <si>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</si>
  <si>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</si>
  <si>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</si>
  <si>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</si>
  <si>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</si>
  <si>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</si>
  <si>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</si>
  <si>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</si>
  <si>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</si>
  <si>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</si>
  <si>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</si>
  <si>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</si>
  <si>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</si>
  <si>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</si>
  <si>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</si>
  <si>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</si>
  <si>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</si>
  <si>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</si>
  <si>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</si>
  <si>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</si>
  <si>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</si>
  <si>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</si>
  <si>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</si>
  <si>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</si>
  <si>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</si>
  <si>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</si>
  <si>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</si>
  <si>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</si>
  <si>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</si>
  <si>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</si>
  <si>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</si>
  <si>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</si>
  <si>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</si>
  <si>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</si>
  <si>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</si>
  <si>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</si>
  <si>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</si>
  <si>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</si>
  <si>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</si>
  <si>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</si>
  <si>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</si>
  <si>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</si>
  <si>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</si>
  <si>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</si>
  <si>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</si>
  <si>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</si>
  <si>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</si>
  <si>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</si>
  <si>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</si>
  <si>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</si>
  <si>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</si>
  <si>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</si>
  <si>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</si>
  <si>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</si>
  <si>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</si>
  <si>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</si>
  <si>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</si>
  <si>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</si>
  <si>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</si>
  <si>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</si>
  <si>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</si>
  <si>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</si>
  <si>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</si>
  <si>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</si>
  <si>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</si>
  <si>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</si>
  <si>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</si>
  <si>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</si>
  <si>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</si>
  <si>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</si>
  <si>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</si>
  <si>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</si>
  <si>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</si>
  <si>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</si>
  <si>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</si>
  <si>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</si>
  <si>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</si>
  <si>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</si>
  <si>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</si>
  <si>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</si>
  <si>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</si>
  <si>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</si>
  <si>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</si>
  <si>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</si>
  <si>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</si>
  <si>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</si>
  <si>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</si>
  <si>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</si>
  <si>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</si>
  <si>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</si>
  <si>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</si>
  <si>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</si>
  <si>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</si>
  <si>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</si>
  <si>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</si>
  <si>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</si>
  <si>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</si>
  <si>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</si>
  <si>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</si>
  <si>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</si>
  <si>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</si>
  <si>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</si>
  <si>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</si>
  <si>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</si>
  <si>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</si>
  <si>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</si>
  <si>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</si>
  <si>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</si>
  <si>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</si>
  <si>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</si>
  <si>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</si>
  <si>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</si>
  <si>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</si>
  <si>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</si>
  <si>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</si>
  <si>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</si>
  <si>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</si>
  <si>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</si>
  <si>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</si>
  <si>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</si>
  <si>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</si>
  <si>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</si>
  <si>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</si>
  <si>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</si>
  <si>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</si>
  <si>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</si>
  <si>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</si>
  <si>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</si>
  <si>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</si>
  <si>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</si>
  <si>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</si>
  <si>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</si>
  <si>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</si>
  <si>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</si>
  <si>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</si>
  <si>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</si>
  <si>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</si>
  <si>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</si>
  <si>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</si>
  <si>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</si>
  <si>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</si>
  <si>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</si>
  <si>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</si>
  <si>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</si>
  <si>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</si>
  <si>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</si>
  <si>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</si>
  <si>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</si>
  <si>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</si>
  <si>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</si>
  <si>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</si>
  <si>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</si>
  <si>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</si>
  <si>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</si>
  <si>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</si>
  <si>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</si>
  <si>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</si>
  <si>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</si>
  <si>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</si>
  <si>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</si>
  <si>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</si>
  <si>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</si>
  <si>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</si>
  <si>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</si>
  <si>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</si>
  <si>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</si>
  <si>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</si>
  <si>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</si>
  <si>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</si>
  <si>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</si>
  <si>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</si>
  <si>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</si>
  <si>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</si>
  <si>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</si>
  <si>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</si>
  <si>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</si>
  <si>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</si>
  <si>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</si>
  <si>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</si>
  <si>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</si>
  <si>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</si>
  <si>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</si>
  <si>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</si>
  <si>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</si>
  <si>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</si>
  <si>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</si>
  <si>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</si>
  <si>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</si>
  <si>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</si>
  <si>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</si>
  <si>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</si>
  <si>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</si>
  <si>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</si>
  <si>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</si>
  <si>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</si>
  <si>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</si>
  <si>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</si>
  <si>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</si>
  <si>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</si>
  <si>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</si>
  <si>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</si>
  <si>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</si>
  <si>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</si>
  <si>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</si>
  <si>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</si>
  <si>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</si>
  <si>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</si>
  <si>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</si>
  <si>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</si>
  <si>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</si>
  <si>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</si>
  <si>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</si>
  <si>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</si>
  <si>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</si>
  <si>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</si>
  <si>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</si>
  <si>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</si>
  <si>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</si>
  <si>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</si>
  <si>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</si>
  <si>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</si>
  <si>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</si>
  <si>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</si>
  <si>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</si>
  <si>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</si>
  <si>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</si>
  <si>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</si>
  <si>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</si>
  <si>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</si>
  <si>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</si>
  <si>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</si>
  <si>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</si>
  <si>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</si>
  <si>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</si>
  <si>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</si>
  <si>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</si>
  <si>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</si>
  <si>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</si>
  <si>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</si>
  <si>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</si>
  <si>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</si>
  <si>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</si>
  <si>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</si>
  <si>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</si>
  <si>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</si>
  <si>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</si>
  <si>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</si>
  <si>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</si>
  <si>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</si>
  <si>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</si>
  <si>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</si>
  <si>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</si>
  <si>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</si>
  <si>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</si>
  <si>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</si>
  <si>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</si>
  <si>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</si>
  <si>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</si>
  <si>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</si>
  <si>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</si>
  <si>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</si>
  <si>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</si>
  <si>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</si>
  <si>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</si>
  <si>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</si>
  <si>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</si>
  <si>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</si>
  <si>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</si>
  <si>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</si>
  <si>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</si>
  <si>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</si>
  <si>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</si>
  <si>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</si>
  <si>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</si>
  <si>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</si>
  <si>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</si>
  <si>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</si>
  <si>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</si>
  <si>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</si>
  <si>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</si>
  <si>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</si>
  <si>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</si>
  <si>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</si>
  <si>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</si>
  <si>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</si>
  <si>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</si>
  <si>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</si>
  <si>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</si>
  <si>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</si>
  <si>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</si>
  <si>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</si>
  <si>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</si>
  <si>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</si>
  <si>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</si>
  <si>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</si>
  <si>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</si>
  <si>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</si>
  <si>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</si>
  <si>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</si>
  <si>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</si>
  <si>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</si>
  <si>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</si>
  <si>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</si>
  <si>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</si>
  <si>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</si>
  <si>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</si>
  <si>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</si>
  <si>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</si>
  <si>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</si>
  <si>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</si>
  <si>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</si>
  <si>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</si>
  <si>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</si>
  <si>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</si>
  <si>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</si>
  <si>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</si>
  <si>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</si>
  <si>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</si>
  <si>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</si>
  <si>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</si>
  <si>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</si>
  <si>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</si>
  <si>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</si>
  <si>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</si>
  <si>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</si>
  <si>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</si>
  <si>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</si>
  <si>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</si>
  <si>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</si>
  <si>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</si>
  <si>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</si>
  <si>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</si>
  <si>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</si>
  <si>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</si>
  <si>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</si>
  <si>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</si>
  <si>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</si>
  <si>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</si>
  <si>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</si>
  <si>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</si>
  <si>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</si>
  <si>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</si>
  <si>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</si>
  <si>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</si>
  <si>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</si>
  <si>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</si>
  <si>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</si>
  <si>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</si>
  <si>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</si>
  <si>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</si>
  <si>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</si>
  <si>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</si>
  <si>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</si>
  <si>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</si>
  <si>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</si>
  <si>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</si>
  <si>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</si>
  <si>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</si>
  <si>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</si>
  <si>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</si>
  <si>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</si>
  <si>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</si>
  <si>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</si>
  <si>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</si>
  <si>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</si>
  <si>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</si>
  <si>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</si>
  <si>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</si>
  <si>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</si>
  <si>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</si>
  <si>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</si>
  <si>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</si>
  <si>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</si>
  <si>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</si>
  <si>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</si>
  <si>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</si>
  <si>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</si>
  <si>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</si>
  <si>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</si>
  <si>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</si>
  <si>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</si>
  <si>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</si>
  <si>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</si>
  <si>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</si>
  <si>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</si>
  <si>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</si>
  <si>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</si>
  <si>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</si>
  <si>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</si>
  <si>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</si>
  <si>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</si>
  <si>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</si>
  <si>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</si>
  <si>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</si>
  <si>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</si>
  <si>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</si>
  <si>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</si>
  <si>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</si>
  <si>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</si>
  <si>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</si>
  <si>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</si>
  <si>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</si>
  <si>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</si>
  <si>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</si>
  <si>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</si>
  <si>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</si>
  <si>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</si>
  <si>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</si>
  <si>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</si>
  <si>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</si>
  <si>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</si>
  <si>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</si>
  <si>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</si>
  <si>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</si>
  <si>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</si>
  <si>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</si>
  <si>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</si>
  <si>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</si>
  <si>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</si>
  <si>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</si>
  <si>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</si>
  <si>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</si>
  <si>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</si>
  <si>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</si>
  <si>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</si>
  <si>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</si>
  <si>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</si>
  <si>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</si>
  <si>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</si>
  <si>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</si>
  <si>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</si>
  <si>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</si>
  <si>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</si>
  <si>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</si>
  <si>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</si>
  <si>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</si>
  <si>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</si>
  <si>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</si>
  <si>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</si>
  <si>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</si>
  <si>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</si>
  <si>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</si>
  <si>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</si>
  <si>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</si>
  <si>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</si>
  <si>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</si>
  <si>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</si>
  <si>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</si>
  <si>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</si>
  <si>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</si>
  <si>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</si>
  <si>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</si>
  <si>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</si>
  <si>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</si>
  <si>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</si>
  <si>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</si>
  <si>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</si>
  <si>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</si>
  <si>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</si>
  <si>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</si>
  <si>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</si>
  <si>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</si>
  <si>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</si>
  <si>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</si>
  <si>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</si>
  <si>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</si>
  <si>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</si>
  <si>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</si>
  <si>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</si>
  <si>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</si>
  <si>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</si>
  <si>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</si>
  <si>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</si>
  <si>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</si>
  <si>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</si>
  <si>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</si>
  <si>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</si>
  <si>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</si>
  <si>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</si>
  <si>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</si>
  <si>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</si>
  <si>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</si>
  <si>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</si>
  <si>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</si>
  <si>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</si>
  <si>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</si>
  <si>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</si>
  <si>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</si>
  <si>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</si>
  <si>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</si>
  <si>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</si>
  <si>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</si>
  <si>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</si>
  <si>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</si>
  <si>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</si>
  <si>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</si>
  <si>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</si>
  <si>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</si>
  <si>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</si>
  <si>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</si>
  <si>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</si>
  <si>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</si>
  <si>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</si>
  <si>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</si>
  <si>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</si>
  <si>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</si>
  <si>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</si>
  <si>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</si>
  <si>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</si>
  <si>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</si>
  <si>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</si>
  <si>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</si>
  <si>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</si>
  <si>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</si>
  <si>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</si>
  <si>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</si>
  <si>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</si>
  <si>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</si>
  <si>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</si>
  <si>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</si>
  <si>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</si>
  <si>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</si>
  <si>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</si>
  <si>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</si>
  <si>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</si>
  <si>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</si>
  <si>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</si>
  <si>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</si>
  <si>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</si>
  <si>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</si>
  <si>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</si>
  <si>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</si>
  <si>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</si>
  <si>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</si>
  <si>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</si>
  <si>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</si>
  <si>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</si>
  <si>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</si>
  <si>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</si>
  <si>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</si>
  <si>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</si>
  <si>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</si>
  <si>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</si>
  <si>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</si>
  <si>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</si>
  <si>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</si>
  <si>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</si>
  <si>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</si>
  <si>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</si>
  <si>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</si>
  <si>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</si>
  <si>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</si>
  <si>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</si>
  <si>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</si>
  <si>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</si>
  <si>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</si>
  <si>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</si>
  <si>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</si>
  <si>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</si>
  <si>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</si>
  <si>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</si>
  <si>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</si>
  <si>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</si>
  <si>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</si>
  <si>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</si>
  <si>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</si>
  <si>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</si>
  <si>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</si>
  <si>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</si>
  <si>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</si>
  <si>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</si>
  <si>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 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</si>
  <si>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</si>
  <si>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</si>
  <si>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</si>
  <si>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</si>
  <si>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</si>
  <si>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</si>
  <si>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</si>
  <si>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</si>
  <si>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</si>
  <si>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</si>
  <si>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</si>
  <si>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</si>
  <si>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</si>
  <si>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</si>
  <si>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</si>
  <si>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</si>
  <si>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</si>
  <si>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</si>
  <si>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</si>
  <si>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</si>
  <si>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</si>
  <si>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</si>
  <si>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</si>
  <si>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</si>
  <si>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</si>
  <si>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</si>
  <si>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</si>
  <si>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</si>
  <si>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</si>
  <si>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</si>
  <si>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</si>
  <si>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</si>
  <si>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</si>
  <si>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</si>
  <si>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</si>
  <si>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</si>
  <si>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</si>
  <si>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</si>
  <si>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</si>
  <si>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</si>
  <si>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</si>
  <si>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</si>
  <si>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</si>
  <si>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</si>
  <si>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</si>
  <si>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</si>
  <si>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</si>
  <si>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</si>
  <si>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</si>
  <si>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</si>
  <si>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</si>
  <si>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</si>
  <si>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</si>
  <si>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</si>
  <si>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</si>
  <si>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</si>
  <si>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</si>
  <si>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</si>
  <si>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</si>
  <si>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</si>
  <si>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</si>
  <si>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</si>
  <si>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</si>
  <si>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</si>
  <si>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</si>
  <si>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</si>
  <si>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</si>
  <si>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</si>
  <si>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</si>
  <si>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</si>
  <si>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</si>
  <si>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</si>
  <si>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</si>
  <si>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</si>
  <si>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</si>
  <si>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</si>
  <si>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</si>
  <si>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</si>
  <si>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</si>
  <si>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</si>
  <si>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</si>
  <si>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</si>
  <si>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</si>
  <si>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</si>
  <si>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</si>
  <si>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</si>
  <si>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</si>
  <si>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z****v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</si>
  <si>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</si>
  <si>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</si>
  <si>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</si>
  <si>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</si>
  <si>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</si>
  <si>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</si>
  <si>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</si>
  <si>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</si>
  <si>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</si>
  <si>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</si>
  <si>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</si>
  <si>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</si>
  <si>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</si>
  <si>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</si>
  <si>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</si>
  <si>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</si>
  <si>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</si>
  <si>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</si>
  <si>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</si>
  <si>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</si>
  <si>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</si>
  <si>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</si>
  <si>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</si>
  <si>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</si>
  <si>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</si>
  <si>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</si>
  <si>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</si>
  <si>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</si>
  <si>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</si>
  <si>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</si>
  <si>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</si>
  <si>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</si>
  <si>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</si>
  <si>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</si>
  <si>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</si>
  <si>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</si>
  <si>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</si>
  <si>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</si>
  <si>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</si>
  <si>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</si>
  <si>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</si>
  <si>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</si>
  <si>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</si>
  <si>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</si>
  <si>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</si>
  <si>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</si>
  <si>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</si>
  <si>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</si>
  <si>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</si>
  <si>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</si>
  <si>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</si>
  <si>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</si>
  <si>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</si>
  <si>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</si>
  <si>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</si>
  <si>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</si>
  <si>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</si>
  <si>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</si>
  <si>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</si>
  <si>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</si>
  <si>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</si>
  <si>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</si>
  <si>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</si>
  <si>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</si>
  <si>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</si>
  <si>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</si>
  <si>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</si>
  <si>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</si>
  <si>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</si>
  <si>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</si>
  <si>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</si>
  <si>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</si>
  <si>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</si>
  <si>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</si>
  <si>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</si>
  <si>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</si>
  <si>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</si>
  <si>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</si>
  <si>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</si>
  <si>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</si>
  <si>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</si>
  <si>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</si>
  <si>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</si>
  <si>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</si>
  <si>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</si>
  <si>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</si>
  <si>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</si>
  <si>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</si>
  <si>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</si>
  <si>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</si>
  <si>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</si>
  <si>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</si>
  <si>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</si>
  <si>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</si>
  <si>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</si>
  <si>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</si>
  <si>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</si>
  <si>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</si>
  <si>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</si>
  <si>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</si>
  <si>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</si>
  <si>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</si>
  <si>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</si>
  <si>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</si>
  <si>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</si>
  <si>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</si>
  <si>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</si>
  <si>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</si>
  <si>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</si>
  <si>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</si>
  <si>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</si>
  <si>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</si>
  <si>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</si>
  <si>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</si>
  <si>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</si>
  <si>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</si>
  <si>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</si>
  <si>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</si>
  <si>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</si>
  <si>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</si>
  <si>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</si>
  <si>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</si>
  <si>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</si>
  <si>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</si>
  <si>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</si>
  <si>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</si>
  <si>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</si>
  <si>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</si>
  <si>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</si>
  <si>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</si>
  <si>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</si>
  <si>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</si>
  <si>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</si>
  <si>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</si>
  <si>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</si>
  <si>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</si>
  <si>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</si>
  <si>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Sat Feb 03 2018 11:03:09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</si>
  <si>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</si>
  <si>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</si>
  <si>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</si>
  <si>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</si>
  <si>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</si>
  <si>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</si>
  <si>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</si>
  <si>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</si>
  <si>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</si>
  <si>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</si>
  <si>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</si>
  <si>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</si>
  <si>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</si>
  <si>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</si>
  <si>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</si>
  <si>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</si>
  <si>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</si>
  <si>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</si>
  <si>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</si>
  <si>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</si>
  <si>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</si>
  <si>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</si>
  <si>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</si>
  <si>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</si>
  <si>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</si>
  <si>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</si>
  <si>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</si>
  <si>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</si>
  <si>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</si>
  <si>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</si>
  <si>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</si>
  <si>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</si>
  <si>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</si>
  <si>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</si>
  <si>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</si>
  <si>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</si>
  <si>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</si>
  <si>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</si>
  <si>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</si>
  <si>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</si>
  <si>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</si>
  <si>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</si>
  <si>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</si>
  <si>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</si>
  <si>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</si>
  <si>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</si>
  <si>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</si>
  <si>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</si>
  <si>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</si>
  <si>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</si>
  <si>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</si>
  <si>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</si>
  <si>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</si>
  <si>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</si>
  <si>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</si>
  <si>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</si>
  <si>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</si>
  <si>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</si>
  <si>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</si>
  <si>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</si>
  <si>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</si>
  <si>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</si>
  <si>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</si>
  <si>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</si>
  <si>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</si>
  <si>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</si>
  <si>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</si>
  <si>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</si>
  <si>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</si>
  <si>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</si>
  <si>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</si>
  <si>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</si>
  <si>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</si>
  <si>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</si>
  <si>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</si>
  <si>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</si>
  <si>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</si>
  <si>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</si>
  <si>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</si>
  <si>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</si>
  <si>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</si>
  <si>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</si>
  <si>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</si>
  <si>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</si>
  <si>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</si>
  <si>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</si>
  <si>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</si>
  <si>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</si>
  <si>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</si>
  <si>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</si>
  <si>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</si>
  <si>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</si>
  <si>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</si>
  <si>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</si>
  <si>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</si>
  <si>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</si>
  <si>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</si>
  <si>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</si>
  <si>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</si>
  <si>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</si>
  <si>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</si>
  <si>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</si>
  <si>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</si>
  <si>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</si>
  <si>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</si>
  <si>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</si>
  <si>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</si>
  <si>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</si>
  <si>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</si>
  <si>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</si>
  <si>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</si>
  <si>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</si>
  <si>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</si>
  <si>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</si>
  <si>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</si>
  <si>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</si>
  <si>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Sentiment Value</t>
  </si>
  <si>
    <t>Sent Category</t>
  </si>
  <si>
    <t>Overall Sentiment</t>
  </si>
  <si>
    <t>Average</t>
  </si>
  <si>
    <t>Total Positive</t>
  </si>
  <si>
    <t>Total Negative</t>
  </si>
  <si>
    <t>Total Neutral</t>
  </si>
  <si>
    <t>Verified Sentiment</t>
  </si>
  <si>
    <t>Average Sentiment By Location</t>
  </si>
  <si>
    <t>Over 3,000 Follower Sentiment</t>
  </si>
  <si>
    <t>Average Sentiment By User Language</t>
  </si>
  <si>
    <t>English</t>
  </si>
  <si>
    <t>Russian</t>
  </si>
  <si>
    <t>Spanish</t>
  </si>
  <si>
    <t>German</t>
  </si>
  <si>
    <t>Portuguese</t>
  </si>
  <si>
    <t>French</t>
  </si>
  <si>
    <t>Dutch</t>
  </si>
  <si>
    <t>Italian</t>
  </si>
  <si>
    <t>Japanese</t>
  </si>
  <si>
    <t>Turkish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</si>
</sst>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16" fillId="0" borderId="0" xfId="0" applyFont="1"/>
    <xf numFmtId="0" fontId="16" fillId="0" borderId="0" xfId="0" applyFont="1" applyAlignment="1">
      <alignment wrapText="1"/>
    </xf>
    <xf numFmtId="0" fontId="0" fillId="33" borderId="10" xfId="0" applyFill="1" applyBorder="1"/>
    <xf numFmtId="0" fontId="0" fillId="34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0" fillId="35" borderId="10" xfId="0" applyFill="1" applyBorder="1"/>
    <xf numFmtId="0" fontId="0" fillId="0" borderId="0" xfId="0" applyBorder="1"/>
    <xf numFmtId="0" fontId="0" fillId="33" borderId="13" xfId="0" applyFill="1" applyBorder="1"/>
    <xf numFmtId="0" fontId="0" fillId="33" borderId="12" xfId="0" applyFill="1" applyBorder="1"/>
    <xf numFmtId="0" fontId="0" fillId="34" borderId="13" xfId="0" applyFill="1" applyBorder="1"/>
    <xf numFmtId="0" fontId="0" fillId="34" borderId="12" xfId="0" applyFill="1" applyBorder="1"/>
    <xf numFmtId="0" fontId="0" fillId="37" borderId="13" xfId="0" applyFill="1" applyBorder="1"/>
    <xf numFmtId="0" fontId="0" fillId="37" borderId="11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7" borderId="12" xfId="0" applyFill="1" applyBorder="1"/>
    <xf numFmtId="0" fontId="0" fillId="37" borderId="14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45"/>
  <sheetViews>
    <sheetView topLeftCell="D1" workbookViewId="0">
      <selection activeCell="I1" sqref="I1:I1048576"/>
    </sheetView>
  </sheetViews>
  <sheetFormatPr baseColWidth="10" defaultRowHeight="16" x14ac:dyDescent="0.2"/>
  <cols>
    <col min="1" max="1" width="22.1640625" bestFit="1" customWidth="1"/>
    <col min="2" max="2" width="68.1640625" style="1" customWidth="1"/>
    <col min="3" max="3" width="11.6640625" bestFit="1" customWidth="1"/>
    <col min="4" max="4" width="25.33203125" style="1" customWidth="1"/>
    <col min="5" max="5" width="7.33203125" bestFit="1" customWidth="1"/>
    <col min="6" max="6" width="13.83203125" bestFit="1" customWidth="1"/>
    <col min="7" max="7" width="11.83203125" bestFit="1" customWidth="1"/>
    <col min="8" max="8" width="4.6640625" bestFit="1" customWidth="1"/>
  </cols>
  <sheetData>
    <row r="1" spans="1:9" s="2" customFormat="1" ht="17" x14ac:dyDescent="0.2">
      <c r="A1" s="2" t="s">
        <v>7261</v>
      </c>
      <c r="B1" s="3" t="s">
        <v>7262</v>
      </c>
      <c r="C1" s="2" t="s">
        <v>7263</v>
      </c>
      <c r="D1" s="3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2" t="s">
        <v>7269</v>
      </c>
    </row>
    <row r="2" spans="1:9" ht="17" x14ac:dyDescent="0.2">
      <c r="A2" t="s">
        <v>4932</v>
      </c>
      <c r="B2" s="1" t="s">
        <v>4933</v>
      </c>
      <c r="C2" t="s">
        <v>623</v>
      </c>
      <c r="D2" s="1" t="s">
        <v>4934</v>
      </c>
      <c r="E2" t="b">
        <v>0</v>
      </c>
      <c r="F2">
        <v>2280</v>
      </c>
      <c r="G2">
        <v>1389</v>
      </c>
      <c r="H2" t="s">
        <v>11</v>
      </c>
      <c r="I2" t="b" cm="1">
        <f t="array" ref="I2">isDup(B2,B3, 0.7)</f>
        <v>0</v>
      </c>
    </row>
    <row r="3" spans="1:9" ht="17" x14ac:dyDescent="0.2">
      <c r="A3" t="s">
        <v>6052</v>
      </c>
      <c r="B3" s="1" t="s">
        <v>6053</v>
      </c>
      <c r="C3" t="s">
        <v>736</v>
      </c>
      <c r="D3" s="1" t="s">
        <v>61</v>
      </c>
      <c r="E3" t="b">
        <v>0</v>
      </c>
      <c r="F3">
        <v>169</v>
      </c>
      <c r="G3">
        <v>52</v>
      </c>
      <c r="H3" t="s">
        <v>11</v>
      </c>
      <c r="I3" t="b" cm="1">
        <f t="array" ref="I3">isDup(B3,B4, 0.7)</f>
        <v>0</v>
      </c>
    </row>
    <row r="4" spans="1:9" ht="34" x14ac:dyDescent="0.2">
      <c r="A4" t="s">
        <v>552</v>
      </c>
      <c r="B4" s="1" t="s">
        <v>553</v>
      </c>
      <c r="C4" t="s">
        <v>554</v>
      </c>
      <c r="D4" s="1" t="s">
        <v>2</v>
      </c>
      <c r="E4" t="b">
        <v>0</v>
      </c>
      <c r="F4">
        <v>236</v>
      </c>
      <c r="G4">
        <v>2</v>
      </c>
      <c r="H4" t="s">
        <v>11</v>
      </c>
      <c r="I4" t="b" cm="1">
        <f t="array" ref="I4">isDup(B4,B5, 0.7)</f>
        <v>1</v>
      </c>
    </row>
    <row r="5" spans="1:9" ht="34" x14ac:dyDescent="0.2">
      <c r="A5" t="s">
        <v>1171</v>
      </c>
      <c r="B5" s="1" t="s">
        <v>1172</v>
      </c>
      <c r="C5" t="s">
        <v>554</v>
      </c>
      <c r="D5" s="1" t="s">
        <v>2</v>
      </c>
      <c r="E5" t="b">
        <v>0</v>
      </c>
      <c r="F5">
        <v>236</v>
      </c>
      <c r="G5">
        <v>2</v>
      </c>
      <c r="H5" t="s">
        <v>11</v>
      </c>
      <c r="I5" t="b" cm="1">
        <f t="array" ref="I5">isDup(B5,B6, 0.7)</f>
        <v>1</v>
      </c>
    </row>
    <row r="6" spans="1:9" ht="34" x14ac:dyDescent="0.2">
      <c r="A6" t="s">
        <v>4966</v>
      </c>
      <c r="B6" s="1" t="s">
        <v>4967</v>
      </c>
      <c r="C6" t="s">
        <v>554</v>
      </c>
      <c r="D6" s="1" t="s">
        <v>2</v>
      </c>
      <c r="E6" t="b">
        <v>0</v>
      </c>
      <c r="F6">
        <v>236</v>
      </c>
      <c r="G6">
        <v>2</v>
      </c>
      <c r="H6" t="s">
        <v>11</v>
      </c>
      <c r="I6" t="b" cm="1">
        <f t="array" ref="I6">isDup(B6,B7, 0.7)</f>
        <v>1</v>
      </c>
    </row>
    <row r="7" spans="1:9" ht="34" x14ac:dyDescent="0.2">
      <c r="A7" t="s">
        <v>1911</v>
      </c>
      <c r="B7" s="1" t="s">
        <v>1912</v>
      </c>
      <c r="C7" t="s">
        <v>554</v>
      </c>
      <c r="D7" s="1" t="s">
        <v>2</v>
      </c>
      <c r="E7" t="b">
        <v>0</v>
      </c>
      <c r="F7">
        <v>236</v>
      </c>
      <c r="G7">
        <v>2</v>
      </c>
      <c r="H7" t="s">
        <v>11</v>
      </c>
      <c r="I7" t="b" cm="1">
        <f t="array" ref="I7">isDup(B7,B8, 0.7)</f>
        <v>1</v>
      </c>
    </row>
    <row r="8" spans="1:9" ht="34" x14ac:dyDescent="0.2">
      <c r="A8" t="s">
        <v>3491</v>
      </c>
      <c r="B8" s="1" t="s">
        <v>3492</v>
      </c>
      <c r="C8" t="s">
        <v>554</v>
      </c>
      <c r="D8" s="1" t="s">
        <v>2</v>
      </c>
      <c r="E8" t="b">
        <v>0</v>
      </c>
      <c r="F8">
        <v>236</v>
      </c>
      <c r="G8">
        <v>2</v>
      </c>
      <c r="H8" t="s">
        <v>11</v>
      </c>
      <c r="I8" t="b" cm="1">
        <f t="array" ref="I8">isDup(B8,B9, 0.7)</f>
        <v>1</v>
      </c>
    </row>
    <row r="9" spans="1:9" ht="34" x14ac:dyDescent="0.2">
      <c r="A9" t="s">
        <v>4247</v>
      </c>
      <c r="B9" s="1" t="s">
        <v>4248</v>
      </c>
      <c r="C9" t="s">
        <v>554</v>
      </c>
      <c r="D9" s="1" t="s">
        <v>2</v>
      </c>
      <c r="E9" t="b">
        <v>0</v>
      </c>
      <c r="F9">
        <v>236</v>
      </c>
      <c r="G9">
        <v>2</v>
      </c>
      <c r="H9" t="s">
        <v>11</v>
      </c>
      <c r="I9" t="b" cm="1">
        <f t="array" ref="I9">isDup(B9,B10, 0.7)</f>
        <v>1</v>
      </c>
    </row>
    <row r="10" spans="1:9" ht="34" x14ac:dyDescent="0.2">
      <c r="A10" t="s">
        <v>5605</v>
      </c>
      <c r="B10" s="1" t="s">
        <v>5606</v>
      </c>
      <c r="C10" t="s">
        <v>554</v>
      </c>
      <c r="D10" s="1" t="s">
        <v>2</v>
      </c>
      <c r="E10" t="b">
        <v>0</v>
      </c>
      <c r="F10">
        <v>236</v>
      </c>
      <c r="G10">
        <v>2</v>
      </c>
      <c r="H10" t="s">
        <v>11</v>
      </c>
      <c r="I10" t="b" cm="1">
        <f t="array" ref="I10">isDup(B10,B11, 0.7)</f>
        <v>1</v>
      </c>
    </row>
    <row r="11" spans="1:9" ht="34" x14ac:dyDescent="0.2">
      <c r="A11" t="s">
        <v>7044</v>
      </c>
      <c r="B11" s="1" t="s">
        <v>7046</v>
      </c>
      <c r="C11" t="s">
        <v>554</v>
      </c>
      <c r="D11" s="1" t="s">
        <v>2</v>
      </c>
      <c r="E11" t="b">
        <v>0</v>
      </c>
      <c r="F11">
        <v>235</v>
      </c>
      <c r="G11">
        <v>2</v>
      </c>
      <c r="H11" t="s">
        <v>11</v>
      </c>
      <c r="I11" t="b" cm="1">
        <f t="array" ref="I11">isDup(B11,B12, 0.7)</f>
        <v>1</v>
      </c>
    </row>
    <row r="12" spans="1:9" ht="34" x14ac:dyDescent="0.2">
      <c r="A12" t="s">
        <v>2663</v>
      </c>
      <c r="B12" s="1" t="s">
        <v>2665</v>
      </c>
      <c r="C12" t="s">
        <v>554</v>
      </c>
      <c r="D12" s="1" t="s">
        <v>2</v>
      </c>
      <c r="E12" t="b">
        <v>0</v>
      </c>
      <c r="F12">
        <v>236</v>
      </c>
      <c r="G12">
        <v>2</v>
      </c>
      <c r="H12" t="s">
        <v>11</v>
      </c>
      <c r="I12" t="b" cm="1">
        <f t="array" ref="I12">isDup(B12,B13, 0.7)</f>
        <v>0</v>
      </c>
    </row>
    <row r="13" spans="1:9" ht="17" x14ac:dyDescent="0.2">
      <c r="A13" t="s">
        <v>1429</v>
      </c>
      <c r="B13" s="1" t="s">
        <v>1430</v>
      </c>
      <c r="C13" t="s">
        <v>1431</v>
      </c>
      <c r="E13" t="b">
        <v>0</v>
      </c>
      <c r="F13">
        <v>2470</v>
      </c>
      <c r="G13">
        <v>2387</v>
      </c>
      <c r="H13" t="s">
        <v>3</v>
      </c>
      <c r="I13" t="b" cm="1">
        <f t="array" ref="I13">isDup(B13,B14, 0.7)</f>
        <v>0</v>
      </c>
    </row>
    <row r="14" spans="1:9" ht="17" x14ac:dyDescent="0.2">
      <c r="A14" t="s">
        <v>2277</v>
      </c>
      <c r="B14" s="1" t="s">
        <v>2278</v>
      </c>
      <c r="C14" t="s">
        <v>736</v>
      </c>
      <c r="D14" s="1" t="s">
        <v>61</v>
      </c>
      <c r="E14" t="b">
        <v>0</v>
      </c>
      <c r="F14">
        <v>168</v>
      </c>
      <c r="G14">
        <v>52</v>
      </c>
      <c r="H14" t="s">
        <v>11</v>
      </c>
      <c r="I14" t="b" cm="1">
        <f t="array" ref="I14">isDup(B14,B15, 0.7)</f>
        <v>0</v>
      </c>
    </row>
    <row r="15" spans="1:9" ht="17" x14ac:dyDescent="0.2">
      <c r="A15" t="s">
        <v>3935</v>
      </c>
      <c r="B15" s="1" t="s">
        <v>3936</v>
      </c>
      <c r="C15" t="s">
        <v>736</v>
      </c>
      <c r="D15" s="1" t="s">
        <v>61</v>
      </c>
      <c r="E15" t="b">
        <v>0</v>
      </c>
      <c r="F15">
        <v>168</v>
      </c>
      <c r="G15">
        <v>52</v>
      </c>
      <c r="H15" t="s">
        <v>11</v>
      </c>
      <c r="I15" t="b" cm="1">
        <f t="array" ref="I15">isDup(B15,B16, 0.7)</f>
        <v>0</v>
      </c>
    </row>
    <row r="16" spans="1:9" ht="17" x14ac:dyDescent="0.2">
      <c r="A16" t="s">
        <v>4003</v>
      </c>
      <c r="B16" s="1" t="s">
        <v>4004</v>
      </c>
      <c r="C16" t="s">
        <v>736</v>
      </c>
      <c r="D16" s="1" t="s">
        <v>61</v>
      </c>
      <c r="E16" t="b">
        <v>0</v>
      </c>
      <c r="F16">
        <v>168</v>
      </c>
      <c r="G16">
        <v>52</v>
      </c>
      <c r="H16" t="s">
        <v>11</v>
      </c>
      <c r="I16" t="b" cm="1">
        <f t="array" ref="I16">isDup(B16,B17, 0.7)</f>
        <v>0</v>
      </c>
    </row>
    <row r="17" spans="1:9" ht="17" x14ac:dyDescent="0.2">
      <c r="A17" t="s">
        <v>2353</v>
      </c>
      <c r="B17" s="1" t="s">
        <v>2354</v>
      </c>
      <c r="C17" t="s">
        <v>736</v>
      </c>
      <c r="D17" s="1" t="s">
        <v>61</v>
      </c>
      <c r="E17" t="b">
        <v>0</v>
      </c>
      <c r="F17">
        <v>168</v>
      </c>
      <c r="G17">
        <v>52</v>
      </c>
      <c r="H17" t="s">
        <v>11</v>
      </c>
      <c r="I17" t="b" cm="1">
        <f t="array" ref="I17">isDup(B17,B18, 0.7)</f>
        <v>0</v>
      </c>
    </row>
    <row r="18" spans="1:9" ht="17" x14ac:dyDescent="0.2">
      <c r="A18" t="s">
        <v>4030</v>
      </c>
      <c r="B18" s="1" t="s">
        <v>4031</v>
      </c>
      <c r="C18" t="s">
        <v>736</v>
      </c>
      <c r="D18" s="1" t="s">
        <v>61</v>
      </c>
      <c r="E18" t="b">
        <v>0</v>
      </c>
      <c r="F18">
        <v>168</v>
      </c>
      <c r="G18">
        <v>52</v>
      </c>
      <c r="H18" t="s">
        <v>11</v>
      </c>
      <c r="I18" t="b" cm="1">
        <f t="array" ref="I18">isDup(B18,B19, 0.7)</f>
        <v>0</v>
      </c>
    </row>
    <row r="19" spans="1:9" ht="17" x14ac:dyDescent="0.2">
      <c r="A19" t="s">
        <v>6169</v>
      </c>
      <c r="B19" s="1" t="s">
        <v>6170</v>
      </c>
      <c r="C19" t="s">
        <v>748</v>
      </c>
      <c r="D19" s="1" t="s">
        <v>749</v>
      </c>
      <c r="E19" t="b">
        <v>0</v>
      </c>
      <c r="F19">
        <v>3059</v>
      </c>
      <c r="G19">
        <v>983</v>
      </c>
      <c r="H19" t="s">
        <v>11</v>
      </c>
      <c r="I19" t="b" cm="1">
        <f t="array" ref="I19">isDup(B19,B20, 0.7)</f>
        <v>1</v>
      </c>
    </row>
    <row r="20" spans="1:9" ht="17" x14ac:dyDescent="0.2">
      <c r="A20" t="s">
        <v>7202</v>
      </c>
      <c r="B20" s="1" t="s">
        <v>7203</v>
      </c>
      <c r="C20" t="s">
        <v>748</v>
      </c>
      <c r="D20" s="1" t="s">
        <v>749</v>
      </c>
      <c r="E20" t="b">
        <v>0</v>
      </c>
      <c r="F20">
        <v>3058</v>
      </c>
      <c r="G20">
        <v>983</v>
      </c>
      <c r="H20" t="s">
        <v>11</v>
      </c>
      <c r="I20" t="b" cm="1">
        <f t="array" ref="I20">isDup(B20,B21, 0.7)</f>
        <v>1</v>
      </c>
    </row>
    <row r="21" spans="1:9" ht="17" x14ac:dyDescent="0.2">
      <c r="A21" t="s">
        <v>746</v>
      </c>
      <c r="B21" s="1" t="s">
        <v>747</v>
      </c>
      <c r="C21" t="s">
        <v>748</v>
      </c>
      <c r="D21" s="1" t="s">
        <v>749</v>
      </c>
      <c r="E21" t="b">
        <v>0</v>
      </c>
      <c r="F21">
        <v>3058</v>
      </c>
      <c r="G21">
        <v>983</v>
      </c>
      <c r="H21" t="s">
        <v>11</v>
      </c>
      <c r="I21" t="b" cm="1">
        <f t="array" ref="I21">isDup(B21,B22, 0.7)</f>
        <v>0</v>
      </c>
    </row>
    <row r="22" spans="1:9" ht="17" x14ac:dyDescent="0.2">
      <c r="A22" t="s">
        <v>3971</v>
      </c>
      <c r="B22" s="1" t="s">
        <v>3972</v>
      </c>
      <c r="C22" t="s">
        <v>2533</v>
      </c>
      <c r="D22" s="1" t="s">
        <v>19</v>
      </c>
      <c r="E22" t="b">
        <v>0</v>
      </c>
      <c r="F22">
        <v>227</v>
      </c>
      <c r="G22">
        <v>454</v>
      </c>
      <c r="H22" t="s">
        <v>83</v>
      </c>
      <c r="I22" t="b" cm="1">
        <f t="array" ref="I22">isDup(B22,B23, 0.7)</f>
        <v>0</v>
      </c>
    </row>
    <row r="23" spans="1:9" ht="17" x14ac:dyDescent="0.2">
      <c r="A23" t="s">
        <v>619</v>
      </c>
      <c r="B23" s="1" t="s">
        <v>620</v>
      </c>
      <c r="C23" t="s">
        <v>391</v>
      </c>
      <c r="D23" s="1" t="s">
        <v>392</v>
      </c>
      <c r="E23" t="b">
        <v>0</v>
      </c>
      <c r="F23">
        <v>48</v>
      </c>
      <c r="G23">
        <v>230</v>
      </c>
      <c r="H23" t="s">
        <v>11</v>
      </c>
      <c r="I23" t="b" cm="1">
        <f t="array" ref="I23">isDup(B23,B24, 0.7)</f>
        <v>0</v>
      </c>
    </row>
    <row r="24" spans="1:9" ht="34" x14ac:dyDescent="0.2">
      <c r="A24" t="s">
        <v>6082</v>
      </c>
      <c r="B24" s="1" t="s">
        <v>6083</v>
      </c>
      <c r="C24" t="s">
        <v>5632</v>
      </c>
      <c r="D24" s="1" t="s">
        <v>2</v>
      </c>
      <c r="E24" t="b">
        <v>0</v>
      </c>
      <c r="F24">
        <v>87054</v>
      </c>
      <c r="G24">
        <v>83388</v>
      </c>
      <c r="H24" t="s">
        <v>11</v>
      </c>
      <c r="I24" t="b" cm="1">
        <f t="array" ref="I24">isDup(B24,B25, 0.7)</f>
        <v>0</v>
      </c>
    </row>
    <row r="25" spans="1:9" ht="34" x14ac:dyDescent="0.2">
      <c r="A25" t="s">
        <v>7033</v>
      </c>
      <c r="B25" s="1" t="s">
        <v>7034</v>
      </c>
      <c r="C25" t="s">
        <v>1858</v>
      </c>
      <c r="D25" s="1" t="s">
        <v>7035</v>
      </c>
      <c r="E25" t="b">
        <v>0</v>
      </c>
      <c r="F25">
        <v>21202</v>
      </c>
      <c r="G25">
        <v>399</v>
      </c>
      <c r="H25" t="s">
        <v>11</v>
      </c>
      <c r="I25" t="b" cm="1">
        <f t="array" ref="I25">isDup(B25,B26, 0.7)</f>
        <v>0</v>
      </c>
    </row>
    <row r="26" spans="1:9" ht="17" x14ac:dyDescent="0.2">
      <c r="A26" t="s">
        <v>2011</v>
      </c>
      <c r="B26" s="1" t="s">
        <v>2012</v>
      </c>
      <c r="C26" t="s">
        <v>1112</v>
      </c>
      <c r="D26" s="1" t="s">
        <v>2013</v>
      </c>
      <c r="E26" t="b">
        <v>0</v>
      </c>
      <c r="F26">
        <v>1605</v>
      </c>
      <c r="G26">
        <v>288</v>
      </c>
      <c r="H26" t="s">
        <v>11</v>
      </c>
      <c r="I26" t="b" cm="1">
        <f t="array" ref="I26">isDup(B26,B27, 0.7)</f>
        <v>0</v>
      </c>
    </row>
    <row r="27" spans="1:9" ht="17" x14ac:dyDescent="0.2">
      <c r="A27" t="s">
        <v>514</v>
      </c>
      <c r="B27" s="1" t="s">
        <v>515</v>
      </c>
      <c r="C27" t="s">
        <v>516</v>
      </c>
      <c r="D27" s="1" t="s">
        <v>2</v>
      </c>
      <c r="E27" t="b">
        <v>0</v>
      </c>
      <c r="F27">
        <v>833</v>
      </c>
      <c r="G27">
        <v>1</v>
      </c>
      <c r="H27" t="s">
        <v>11</v>
      </c>
      <c r="I27" t="b" cm="1">
        <f t="array" ref="I27">isDup(B27,B28, 0.7)</f>
        <v>0</v>
      </c>
    </row>
    <row r="28" spans="1:9" ht="17" x14ac:dyDescent="0.2">
      <c r="A28" t="s">
        <v>1785</v>
      </c>
      <c r="B28" s="1" t="s">
        <v>1786</v>
      </c>
      <c r="C28" t="s">
        <v>271</v>
      </c>
      <c r="D28" s="1" t="s">
        <v>2</v>
      </c>
      <c r="E28" t="b">
        <v>0</v>
      </c>
      <c r="F28">
        <v>30114</v>
      </c>
      <c r="G28">
        <v>981</v>
      </c>
      <c r="H28" t="s">
        <v>47</v>
      </c>
      <c r="I28" t="b" cm="1">
        <f t="array" ref="I28">isDup(B28,B29, 0.7)</f>
        <v>0</v>
      </c>
    </row>
    <row r="29" spans="1:9" ht="17" x14ac:dyDescent="0.2">
      <c r="A29" t="s">
        <v>1353</v>
      </c>
      <c r="B29" s="1" t="s">
        <v>1354</v>
      </c>
      <c r="C29" t="s">
        <v>1355</v>
      </c>
      <c r="D29" s="1" t="s">
        <v>1356</v>
      </c>
      <c r="E29" t="b">
        <v>0</v>
      </c>
      <c r="F29">
        <v>1394</v>
      </c>
      <c r="G29">
        <v>2271</v>
      </c>
      <c r="H29" t="s">
        <v>11</v>
      </c>
      <c r="I29" t="b" cm="1">
        <f t="array" ref="I29">isDup(B29,B30, 0.7)</f>
        <v>0</v>
      </c>
    </row>
    <row r="30" spans="1:9" ht="17" x14ac:dyDescent="0.2">
      <c r="A30" t="s">
        <v>3253</v>
      </c>
      <c r="B30" s="1" t="s">
        <v>3254</v>
      </c>
      <c r="C30" t="s">
        <v>2642</v>
      </c>
      <c r="D30" s="1" t="s">
        <v>2643</v>
      </c>
      <c r="E30" t="b">
        <v>0</v>
      </c>
      <c r="F30">
        <v>313</v>
      </c>
      <c r="G30">
        <v>182</v>
      </c>
      <c r="H30" t="s">
        <v>11</v>
      </c>
      <c r="I30" t="b" cm="1">
        <f t="array" ref="I30">isDup(B30,B31, 0.7)</f>
        <v>0</v>
      </c>
    </row>
    <row r="31" spans="1:9" ht="17" x14ac:dyDescent="0.2">
      <c r="A31" t="s">
        <v>5885</v>
      </c>
      <c r="B31" s="1" t="s">
        <v>5886</v>
      </c>
      <c r="C31" t="s">
        <v>5887</v>
      </c>
      <c r="D31" s="1" t="s">
        <v>5888</v>
      </c>
      <c r="E31" t="b">
        <v>0</v>
      </c>
      <c r="F31">
        <v>169</v>
      </c>
      <c r="G31">
        <v>80</v>
      </c>
      <c r="H31" t="s">
        <v>11</v>
      </c>
      <c r="I31" t="b" cm="1">
        <f t="array" ref="I31">isDup(B31,B32, 0.7)</f>
        <v>0</v>
      </c>
    </row>
    <row r="32" spans="1:9" ht="34" x14ac:dyDescent="0.2">
      <c r="A32" t="s">
        <v>5594</v>
      </c>
      <c r="B32" s="1" t="s">
        <v>5595</v>
      </c>
      <c r="C32" t="s">
        <v>1226</v>
      </c>
      <c r="D32" s="1" t="s">
        <v>2</v>
      </c>
      <c r="E32" t="b">
        <v>0</v>
      </c>
      <c r="F32">
        <v>40</v>
      </c>
      <c r="G32">
        <v>201</v>
      </c>
      <c r="H32" t="s">
        <v>11</v>
      </c>
      <c r="I32" t="b" cm="1">
        <f t="array" ref="I32">isDup(B32,B33, 0.7)</f>
        <v>0</v>
      </c>
    </row>
    <row r="33" spans="1:9" ht="17" x14ac:dyDescent="0.2">
      <c r="A33" t="s">
        <v>217</v>
      </c>
      <c r="B33" s="1" t="s">
        <v>218</v>
      </c>
      <c r="C33" t="s">
        <v>219</v>
      </c>
      <c r="D33" s="1" t="s">
        <v>2</v>
      </c>
      <c r="E33" t="b">
        <v>0</v>
      </c>
      <c r="F33">
        <v>20</v>
      </c>
      <c r="G33">
        <v>147</v>
      </c>
      <c r="H33" t="s">
        <v>11</v>
      </c>
      <c r="I33" t="b" cm="1">
        <f t="array" ref="I33">isDup(B33,B34, 0.7)</f>
        <v>0</v>
      </c>
    </row>
    <row r="34" spans="1:9" ht="17" x14ac:dyDescent="0.2">
      <c r="A34" t="s">
        <v>1224</v>
      </c>
      <c r="B34" s="1" t="s">
        <v>1225</v>
      </c>
      <c r="C34" t="s">
        <v>1226</v>
      </c>
      <c r="D34" s="1" t="s">
        <v>1227</v>
      </c>
      <c r="E34" t="b">
        <v>0</v>
      </c>
      <c r="F34">
        <v>425</v>
      </c>
      <c r="G34">
        <v>768</v>
      </c>
      <c r="H34" t="s">
        <v>11</v>
      </c>
      <c r="I34" t="b" cm="1">
        <f t="array" ref="I34">isDup(B34,B35, 0.7)</f>
        <v>0</v>
      </c>
    </row>
    <row r="35" spans="1:9" ht="34" x14ac:dyDescent="0.2">
      <c r="A35" t="s">
        <v>4344</v>
      </c>
      <c r="B35" s="1" t="s">
        <v>4345</v>
      </c>
      <c r="C35" t="s">
        <v>3457</v>
      </c>
      <c r="D35" s="1" t="s">
        <v>4346</v>
      </c>
      <c r="E35" t="b">
        <v>0</v>
      </c>
      <c r="F35">
        <v>3155</v>
      </c>
      <c r="G35">
        <v>372</v>
      </c>
      <c r="H35" t="s">
        <v>11</v>
      </c>
      <c r="I35" t="b" cm="1">
        <f t="array" ref="I35">isDup(B35,B36, 0.7)</f>
        <v>0</v>
      </c>
    </row>
    <row r="36" spans="1:9" ht="17" x14ac:dyDescent="0.2">
      <c r="A36" t="s">
        <v>2920</v>
      </c>
      <c r="B36" s="1" t="s">
        <v>2921</v>
      </c>
      <c r="C36" t="s">
        <v>2922</v>
      </c>
      <c r="D36" s="1" t="s">
        <v>2923</v>
      </c>
      <c r="E36" t="b">
        <v>0</v>
      </c>
      <c r="F36">
        <v>562</v>
      </c>
      <c r="G36">
        <v>288</v>
      </c>
      <c r="H36" t="s">
        <v>47</v>
      </c>
      <c r="I36" t="b" cm="1">
        <f t="array" ref="I36">isDup(B36,B37, 0.7)</f>
        <v>0</v>
      </c>
    </row>
    <row r="37" spans="1:9" ht="17" x14ac:dyDescent="0.2">
      <c r="A37" t="s">
        <v>2348</v>
      </c>
      <c r="B37" s="1" t="s">
        <v>2349</v>
      </c>
      <c r="C37" t="s">
        <v>1015</v>
      </c>
      <c r="D37" s="1" t="s">
        <v>2339</v>
      </c>
      <c r="E37" t="b">
        <v>0</v>
      </c>
      <c r="F37">
        <v>98</v>
      </c>
      <c r="G37">
        <v>134</v>
      </c>
      <c r="H37" t="s">
        <v>11</v>
      </c>
      <c r="I37" t="b" cm="1">
        <f t="array" ref="I37">isDup(B37,B38, 0.7)</f>
        <v>0</v>
      </c>
    </row>
    <row r="38" spans="1:9" ht="34" x14ac:dyDescent="0.2">
      <c r="A38" t="s">
        <v>7103</v>
      </c>
      <c r="B38" s="1" t="s">
        <v>7104</v>
      </c>
      <c r="C38" t="s">
        <v>7105</v>
      </c>
      <c r="D38" s="1" t="s">
        <v>2</v>
      </c>
      <c r="E38" t="b">
        <v>0</v>
      </c>
      <c r="F38">
        <v>614</v>
      </c>
      <c r="G38">
        <v>190</v>
      </c>
      <c r="H38" t="s">
        <v>11</v>
      </c>
      <c r="I38" t="b" cm="1">
        <f t="array" ref="I38">isDup(B38,B39, 0.7)</f>
        <v>0</v>
      </c>
    </row>
    <row r="39" spans="1:9" ht="34" x14ac:dyDescent="0.2">
      <c r="A39" t="s">
        <v>3653</v>
      </c>
      <c r="B39" s="1" t="s">
        <v>3654</v>
      </c>
      <c r="C39" t="s">
        <v>113</v>
      </c>
      <c r="D39" s="1" t="s">
        <v>114</v>
      </c>
      <c r="E39" t="b">
        <v>0</v>
      </c>
      <c r="F39">
        <v>92</v>
      </c>
      <c r="G39">
        <v>202</v>
      </c>
      <c r="H39" t="s">
        <v>11</v>
      </c>
      <c r="I39" t="b" cm="1">
        <f t="array" ref="I39">isDup(B39,B40, 0.7)</f>
        <v>0</v>
      </c>
    </row>
    <row r="40" spans="1:9" ht="17" x14ac:dyDescent="0.2">
      <c r="A40" t="s">
        <v>2055</v>
      </c>
      <c r="B40" s="1" t="s">
        <v>2056</v>
      </c>
      <c r="C40" t="s">
        <v>113</v>
      </c>
      <c r="D40" s="1" t="s">
        <v>114</v>
      </c>
      <c r="E40" t="b">
        <v>0</v>
      </c>
      <c r="F40">
        <v>93</v>
      </c>
      <c r="G40">
        <v>202</v>
      </c>
      <c r="H40" t="s">
        <v>11</v>
      </c>
      <c r="I40" t="b" cm="1">
        <f t="array" ref="I40">isDup(B40,B41, 0.7)</f>
        <v>0</v>
      </c>
    </row>
    <row r="41" spans="1:9" ht="34" x14ac:dyDescent="0.2">
      <c r="A41" t="s">
        <v>4765</v>
      </c>
      <c r="B41" s="1" t="s">
        <v>4766</v>
      </c>
      <c r="C41" t="s">
        <v>113</v>
      </c>
      <c r="D41" s="1" t="s">
        <v>114</v>
      </c>
      <c r="E41" t="b">
        <v>0</v>
      </c>
      <c r="F41">
        <v>93</v>
      </c>
      <c r="G41">
        <v>202</v>
      </c>
      <c r="H41" t="s">
        <v>11</v>
      </c>
      <c r="I41" t="b" cm="1">
        <f t="array" ref="I41">isDup(B41,B42, 0.7)</f>
        <v>0</v>
      </c>
    </row>
    <row r="42" spans="1:9" ht="34" x14ac:dyDescent="0.2">
      <c r="A42" t="s">
        <v>111</v>
      </c>
      <c r="B42" s="1" t="s">
        <v>112</v>
      </c>
      <c r="C42" t="s">
        <v>113</v>
      </c>
      <c r="D42" s="1" t="s">
        <v>114</v>
      </c>
      <c r="E42" t="b">
        <v>0</v>
      </c>
      <c r="F42">
        <v>94</v>
      </c>
      <c r="G42">
        <v>202</v>
      </c>
      <c r="H42" t="s">
        <v>11</v>
      </c>
      <c r="I42" t="b" cm="1">
        <f t="array" ref="I42">isDup(B42,B43, 0.7)</f>
        <v>0</v>
      </c>
    </row>
    <row r="43" spans="1:9" ht="34" x14ac:dyDescent="0.2">
      <c r="A43" t="s">
        <v>6863</v>
      </c>
      <c r="B43" s="1" t="s">
        <v>6864</v>
      </c>
      <c r="C43" t="s">
        <v>113</v>
      </c>
      <c r="D43" s="1" t="s">
        <v>114</v>
      </c>
      <c r="E43" t="b">
        <v>0</v>
      </c>
      <c r="F43">
        <v>95</v>
      </c>
      <c r="G43">
        <v>202</v>
      </c>
      <c r="H43" t="s">
        <v>11</v>
      </c>
      <c r="I43" t="b" cm="1">
        <f t="array" ref="I43">isDup(B43,B44, 0.7)</f>
        <v>1</v>
      </c>
    </row>
    <row r="44" spans="1:9" ht="34" x14ac:dyDescent="0.2">
      <c r="A44" t="s">
        <v>4001</v>
      </c>
      <c r="B44" s="1" t="s">
        <v>4002</v>
      </c>
      <c r="C44" t="s">
        <v>113</v>
      </c>
      <c r="D44" s="1" t="s">
        <v>114</v>
      </c>
      <c r="E44" t="b">
        <v>0</v>
      </c>
      <c r="F44">
        <v>92</v>
      </c>
      <c r="G44">
        <v>202</v>
      </c>
      <c r="H44" t="s">
        <v>11</v>
      </c>
      <c r="I44" t="b" cm="1">
        <f t="array" ref="I44">isDup(B44,B45, 0.7)</f>
        <v>1</v>
      </c>
    </row>
    <row r="45" spans="1:9" ht="34" x14ac:dyDescent="0.2">
      <c r="A45" t="s">
        <v>2444</v>
      </c>
      <c r="B45" s="1" t="s">
        <v>2445</v>
      </c>
      <c r="C45" t="s">
        <v>113</v>
      </c>
      <c r="D45" s="1" t="s">
        <v>114</v>
      </c>
      <c r="E45" t="b">
        <v>0</v>
      </c>
      <c r="F45">
        <v>93</v>
      </c>
      <c r="G45">
        <v>202</v>
      </c>
      <c r="H45" t="s">
        <v>11</v>
      </c>
      <c r="I45" t="b" cm="1">
        <f t="array" ref="I45">isDup(B45,B46, 0.7)</f>
        <v>1</v>
      </c>
    </row>
    <row r="46" spans="1:9" ht="34" x14ac:dyDescent="0.2">
      <c r="A46" t="s">
        <v>981</v>
      </c>
      <c r="B46" s="1" t="s">
        <v>982</v>
      </c>
      <c r="C46" t="s">
        <v>113</v>
      </c>
      <c r="D46" s="1" t="s">
        <v>114</v>
      </c>
      <c r="E46" t="b">
        <v>0</v>
      </c>
      <c r="F46">
        <v>93</v>
      </c>
      <c r="G46">
        <v>202</v>
      </c>
      <c r="H46" t="s">
        <v>11</v>
      </c>
      <c r="I46" t="b" cm="1">
        <f t="array" ref="I46">isDup(B46,B47, 0.7)</f>
        <v>1</v>
      </c>
    </row>
    <row r="47" spans="1:9" ht="34" x14ac:dyDescent="0.2">
      <c r="A47" t="s">
        <v>5440</v>
      </c>
      <c r="B47" s="1" t="s">
        <v>5441</v>
      </c>
      <c r="C47" t="s">
        <v>113</v>
      </c>
      <c r="D47" s="1" t="s">
        <v>114</v>
      </c>
      <c r="E47" t="b">
        <v>0</v>
      </c>
      <c r="F47">
        <v>95</v>
      </c>
      <c r="G47">
        <v>202</v>
      </c>
      <c r="H47" t="s">
        <v>11</v>
      </c>
      <c r="I47" t="b" cm="1">
        <f t="array" ref="I47">isDup(B47,B48, 0.7)</f>
        <v>0</v>
      </c>
    </row>
    <row r="48" spans="1:9" ht="34" x14ac:dyDescent="0.2">
      <c r="A48" t="s">
        <v>364</v>
      </c>
      <c r="B48" s="1" t="s">
        <v>365</v>
      </c>
      <c r="C48" t="s">
        <v>113</v>
      </c>
      <c r="D48" s="1" t="s">
        <v>114</v>
      </c>
      <c r="E48" t="b">
        <v>0</v>
      </c>
      <c r="F48">
        <v>93</v>
      </c>
      <c r="G48">
        <v>202</v>
      </c>
      <c r="H48" t="s">
        <v>11</v>
      </c>
      <c r="I48" t="b" cm="1">
        <f t="array" ref="I48">isDup(B48,B49, 0.7)</f>
        <v>0</v>
      </c>
    </row>
    <row r="49" spans="1:9" ht="34" x14ac:dyDescent="0.2">
      <c r="A49" t="s">
        <v>5121</v>
      </c>
      <c r="B49" s="1" t="s">
        <v>5122</v>
      </c>
      <c r="C49" t="s">
        <v>113</v>
      </c>
      <c r="D49" s="1" t="s">
        <v>114</v>
      </c>
      <c r="E49" t="b">
        <v>0</v>
      </c>
      <c r="F49">
        <v>94</v>
      </c>
      <c r="G49">
        <v>202</v>
      </c>
      <c r="H49" t="s">
        <v>11</v>
      </c>
      <c r="I49" t="b" cm="1">
        <f t="array" ref="I49">isDup(B49,B50, 0.7)</f>
        <v>0</v>
      </c>
    </row>
    <row r="50" spans="1:9" ht="34" x14ac:dyDescent="0.2">
      <c r="A50" t="s">
        <v>5770</v>
      </c>
      <c r="B50" s="1" t="s">
        <v>5771</v>
      </c>
      <c r="C50" t="s">
        <v>113</v>
      </c>
      <c r="D50" s="1" t="s">
        <v>114</v>
      </c>
      <c r="E50" t="b">
        <v>0</v>
      </c>
      <c r="F50">
        <v>95</v>
      </c>
      <c r="G50">
        <v>202</v>
      </c>
      <c r="H50" t="s">
        <v>11</v>
      </c>
      <c r="I50" t="b" cm="1">
        <f t="array" ref="I50">isDup(B50,B51, 0.7)</f>
        <v>0</v>
      </c>
    </row>
    <row r="51" spans="1:9" ht="17" x14ac:dyDescent="0.2">
      <c r="A51" t="s">
        <v>5776</v>
      </c>
      <c r="B51" s="1" t="s">
        <v>5777</v>
      </c>
      <c r="C51" t="s">
        <v>5778</v>
      </c>
      <c r="D51" s="1" t="s">
        <v>1736</v>
      </c>
      <c r="E51" t="b">
        <v>0</v>
      </c>
      <c r="F51">
        <v>60</v>
      </c>
      <c r="G51">
        <v>153</v>
      </c>
      <c r="H51" t="s">
        <v>11</v>
      </c>
      <c r="I51" t="b" cm="1">
        <f t="array" ref="I51">isDup(B51,B52, 0.7)</f>
        <v>0</v>
      </c>
    </row>
    <row r="52" spans="1:9" ht="17" x14ac:dyDescent="0.2">
      <c r="A52" t="s">
        <v>4489</v>
      </c>
      <c r="B52" s="1" t="s">
        <v>4490</v>
      </c>
      <c r="C52" t="s">
        <v>4491</v>
      </c>
      <c r="D52" s="1" t="s">
        <v>2</v>
      </c>
      <c r="E52" t="b">
        <v>0</v>
      </c>
      <c r="F52">
        <v>89</v>
      </c>
      <c r="G52">
        <v>60</v>
      </c>
      <c r="H52" t="s">
        <v>11</v>
      </c>
      <c r="I52" t="b" cm="1">
        <f t="array" ref="I52">isDup(B52,B53, 0.7)</f>
        <v>0</v>
      </c>
    </row>
    <row r="53" spans="1:9" ht="17" x14ac:dyDescent="0.2">
      <c r="A53" t="s">
        <v>1333</v>
      </c>
      <c r="B53" s="1" t="s">
        <v>1335</v>
      </c>
      <c r="C53" t="s">
        <v>468</v>
      </c>
      <c r="D53" s="1" t="s">
        <v>1336</v>
      </c>
      <c r="E53" t="b">
        <v>0</v>
      </c>
      <c r="F53">
        <v>3209</v>
      </c>
      <c r="G53">
        <v>461</v>
      </c>
      <c r="H53" t="s">
        <v>11</v>
      </c>
      <c r="I53" t="b" cm="1">
        <f t="array" ref="I53">isDup(B53,B54, 0.7)</f>
        <v>0</v>
      </c>
    </row>
    <row r="54" spans="1:9" ht="34" x14ac:dyDescent="0.2">
      <c r="A54" t="s">
        <v>4306</v>
      </c>
      <c r="B54" s="1" t="s">
        <v>4307</v>
      </c>
      <c r="C54" t="s">
        <v>4308</v>
      </c>
      <c r="D54" s="1" t="s">
        <v>2</v>
      </c>
      <c r="E54" t="b">
        <v>0</v>
      </c>
      <c r="F54">
        <v>337</v>
      </c>
      <c r="G54">
        <v>669</v>
      </c>
      <c r="H54" t="s">
        <v>11</v>
      </c>
      <c r="I54" t="b" cm="1">
        <f t="array" ref="I54">isDup(B54,B55, 0.7)</f>
        <v>0</v>
      </c>
    </row>
    <row r="55" spans="1:9" ht="17" x14ac:dyDescent="0.2">
      <c r="A55" t="s">
        <v>5298</v>
      </c>
      <c r="B55" s="1" t="s">
        <v>5299</v>
      </c>
      <c r="C55" t="s">
        <v>4119</v>
      </c>
      <c r="D55" s="1" t="s">
        <v>5300</v>
      </c>
      <c r="E55" t="b">
        <v>0</v>
      </c>
      <c r="F55">
        <v>198</v>
      </c>
      <c r="G55">
        <v>191</v>
      </c>
      <c r="H55" t="s">
        <v>11</v>
      </c>
      <c r="I55" t="b" cm="1">
        <f t="array" ref="I55">isDup(B55,B56, 0.7)</f>
        <v>0</v>
      </c>
    </row>
    <row r="56" spans="1:9" ht="34" x14ac:dyDescent="0.2">
      <c r="A56" t="s">
        <v>4373</v>
      </c>
      <c r="B56" s="1" t="s">
        <v>4374</v>
      </c>
      <c r="C56" t="s">
        <v>4375</v>
      </c>
      <c r="D56" s="1" t="s">
        <v>1768</v>
      </c>
      <c r="E56" t="b">
        <v>0</v>
      </c>
      <c r="F56">
        <v>1325</v>
      </c>
      <c r="G56">
        <v>971</v>
      </c>
      <c r="H56" t="s">
        <v>11</v>
      </c>
      <c r="I56" t="b" cm="1">
        <f t="array" ref="I56">isDup(B56,B57, 0.7)</f>
        <v>0</v>
      </c>
    </row>
    <row r="57" spans="1:9" ht="17" x14ac:dyDescent="0.2">
      <c r="A57" t="s">
        <v>2939</v>
      </c>
      <c r="B57" s="1" t="s">
        <v>2940</v>
      </c>
      <c r="C57" t="s">
        <v>2941</v>
      </c>
      <c r="D57" s="1" t="s">
        <v>2</v>
      </c>
      <c r="E57" t="b">
        <v>0</v>
      </c>
      <c r="F57">
        <v>7781</v>
      </c>
      <c r="G57">
        <v>1365</v>
      </c>
      <c r="H57" t="s">
        <v>11</v>
      </c>
      <c r="I57" t="b" cm="1">
        <f t="array" ref="I57">isDup(B57,B58, 0.7)</f>
        <v>1</v>
      </c>
    </row>
    <row r="58" spans="1:9" ht="17" x14ac:dyDescent="0.2">
      <c r="A58" t="s">
        <v>2959</v>
      </c>
      <c r="B58" s="1" t="s">
        <v>2960</v>
      </c>
      <c r="C58" t="s">
        <v>2941</v>
      </c>
      <c r="D58" s="1" t="s">
        <v>2</v>
      </c>
      <c r="E58" t="b">
        <v>0</v>
      </c>
      <c r="F58">
        <v>7781</v>
      </c>
      <c r="G58">
        <v>1365</v>
      </c>
      <c r="H58" t="s">
        <v>11</v>
      </c>
      <c r="I58" t="b" cm="1">
        <f t="array" ref="I58">isDup(B58,B59, 0.7)</f>
        <v>0</v>
      </c>
    </row>
    <row r="59" spans="1:9" ht="17" x14ac:dyDescent="0.2">
      <c r="A59" t="s">
        <v>5587</v>
      </c>
      <c r="B59" s="1" t="s">
        <v>5588</v>
      </c>
      <c r="C59" t="s">
        <v>4478</v>
      </c>
      <c r="D59" s="1" t="s">
        <v>5589</v>
      </c>
      <c r="E59" t="b">
        <v>0</v>
      </c>
      <c r="F59">
        <v>1650</v>
      </c>
      <c r="G59">
        <v>1570</v>
      </c>
      <c r="H59" t="s">
        <v>11</v>
      </c>
      <c r="I59" t="b" cm="1">
        <f t="array" ref="I59">isDup(B59,B60, 0.7)</f>
        <v>0</v>
      </c>
    </row>
    <row r="60" spans="1:9" ht="17" x14ac:dyDescent="0.2">
      <c r="A60" t="s">
        <v>4924</v>
      </c>
      <c r="B60" s="1" t="s">
        <v>4925</v>
      </c>
      <c r="C60" t="s">
        <v>4926</v>
      </c>
      <c r="D60" s="1" t="s">
        <v>2</v>
      </c>
      <c r="E60" t="b">
        <v>0</v>
      </c>
      <c r="F60">
        <v>1565</v>
      </c>
      <c r="G60">
        <v>130</v>
      </c>
      <c r="H60" t="s">
        <v>11</v>
      </c>
      <c r="I60" t="b" cm="1">
        <f t="array" ref="I60">isDup(B60,B61, 0.7)</f>
        <v>0</v>
      </c>
    </row>
    <row r="61" spans="1:9" ht="34" x14ac:dyDescent="0.2">
      <c r="A61" t="s">
        <v>4528</v>
      </c>
      <c r="B61" s="1" t="s">
        <v>4531</v>
      </c>
      <c r="C61" t="s">
        <v>760</v>
      </c>
      <c r="D61" s="1" t="s">
        <v>4532</v>
      </c>
      <c r="E61" t="b">
        <v>0</v>
      </c>
      <c r="F61">
        <v>123</v>
      </c>
      <c r="G61">
        <v>0</v>
      </c>
      <c r="H61" t="s">
        <v>11</v>
      </c>
      <c r="I61" t="b" cm="1">
        <f t="array" ref="I61">isDup(B61,B62, 0.7)</f>
        <v>0</v>
      </c>
    </row>
    <row r="62" spans="1:9" ht="34" x14ac:dyDescent="0.2">
      <c r="A62" t="s">
        <v>3082</v>
      </c>
      <c r="B62" s="1" t="s">
        <v>3083</v>
      </c>
      <c r="C62" t="s">
        <v>3084</v>
      </c>
      <c r="D62" s="1" t="s">
        <v>2</v>
      </c>
      <c r="E62" t="b">
        <v>0</v>
      </c>
      <c r="F62">
        <v>22</v>
      </c>
      <c r="G62">
        <v>116</v>
      </c>
      <c r="H62" t="s">
        <v>11</v>
      </c>
      <c r="I62" t="b" cm="1">
        <f t="array" ref="I62">isDup(B62,B63, 0.7)</f>
        <v>0</v>
      </c>
    </row>
    <row r="63" spans="1:9" ht="17" x14ac:dyDescent="0.2">
      <c r="A63" t="s">
        <v>4553</v>
      </c>
      <c r="B63" s="1" t="s">
        <v>4554</v>
      </c>
      <c r="C63" t="s">
        <v>4555</v>
      </c>
      <c r="D63" s="1" t="s">
        <v>4556</v>
      </c>
      <c r="E63" t="b">
        <v>0</v>
      </c>
      <c r="F63">
        <v>2058</v>
      </c>
      <c r="G63">
        <v>503</v>
      </c>
      <c r="H63" t="s">
        <v>11</v>
      </c>
      <c r="I63" t="b" cm="1">
        <f t="array" ref="I63">isDup(B63,B64, 0.7)</f>
        <v>0</v>
      </c>
    </row>
    <row r="64" spans="1:9" ht="17" x14ac:dyDescent="0.2">
      <c r="A64" t="s">
        <v>1679</v>
      </c>
      <c r="B64" s="1" t="s">
        <v>1680</v>
      </c>
      <c r="C64" t="s">
        <v>1681</v>
      </c>
      <c r="D64" s="1" t="s">
        <v>2</v>
      </c>
      <c r="E64" t="b">
        <v>0</v>
      </c>
      <c r="F64">
        <v>10</v>
      </c>
      <c r="G64">
        <v>70</v>
      </c>
      <c r="H64" t="s">
        <v>11</v>
      </c>
      <c r="I64" t="b" cm="1">
        <f t="array" ref="I64">isDup(B64,B65, 0.7)</f>
        <v>0</v>
      </c>
    </row>
    <row r="65" spans="1:9" ht="34" x14ac:dyDescent="0.2">
      <c r="A65" t="s">
        <v>656</v>
      </c>
      <c r="B65" s="1" t="s">
        <v>657</v>
      </c>
      <c r="C65" t="s">
        <v>658</v>
      </c>
      <c r="D65" s="1" t="s">
        <v>659</v>
      </c>
      <c r="E65" t="b">
        <v>0</v>
      </c>
      <c r="F65">
        <v>7064</v>
      </c>
      <c r="G65">
        <v>262</v>
      </c>
      <c r="H65" t="s">
        <v>11</v>
      </c>
      <c r="I65" t="b" cm="1">
        <f t="array" ref="I65">isDup(B65,B66, 0.7)</f>
        <v>0</v>
      </c>
    </row>
    <row r="66" spans="1:9" ht="34" x14ac:dyDescent="0.2">
      <c r="A66" t="s">
        <v>3407</v>
      </c>
      <c r="B66" s="1" t="s">
        <v>3408</v>
      </c>
      <c r="C66" t="s">
        <v>658</v>
      </c>
      <c r="D66" s="1" t="s">
        <v>659</v>
      </c>
      <c r="E66" t="b">
        <v>0</v>
      </c>
      <c r="F66">
        <v>7063</v>
      </c>
      <c r="G66">
        <v>262</v>
      </c>
      <c r="H66" t="s">
        <v>11</v>
      </c>
      <c r="I66" t="b" cm="1">
        <f t="array" ref="I66">isDup(B66,B67, 0.7)</f>
        <v>0</v>
      </c>
    </row>
    <row r="67" spans="1:9" ht="34" x14ac:dyDescent="0.2">
      <c r="A67" t="s">
        <v>1787</v>
      </c>
      <c r="B67" s="1" t="s">
        <v>1788</v>
      </c>
      <c r="C67" t="s">
        <v>658</v>
      </c>
      <c r="D67" s="1" t="s">
        <v>659</v>
      </c>
      <c r="E67" t="b">
        <v>0</v>
      </c>
      <c r="F67">
        <v>7063</v>
      </c>
      <c r="G67">
        <v>262</v>
      </c>
      <c r="H67" t="s">
        <v>11</v>
      </c>
      <c r="I67" t="b" cm="1">
        <f t="array" ref="I67">isDup(B67,B68, 0.7)</f>
        <v>0</v>
      </c>
    </row>
    <row r="68" spans="1:9" ht="34" x14ac:dyDescent="0.2">
      <c r="A68" t="s">
        <v>4237</v>
      </c>
      <c r="B68" s="1" t="s">
        <v>4238</v>
      </c>
      <c r="C68" t="s">
        <v>658</v>
      </c>
      <c r="D68" s="1" t="s">
        <v>659</v>
      </c>
      <c r="E68" t="b">
        <v>0</v>
      </c>
      <c r="F68">
        <v>7063</v>
      </c>
      <c r="G68">
        <v>262</v>
      </c>
      <c r="H68" t="s">
        <v>11</v>
      </c>
      <c r="I68" t="b" cm="1">
        <f t="array" ref="I68">isDup(B68,B69, 0.7)</f>
        <v>0</v>
      </c>
    </row>
    <row r="69" spans="1:9" ht="34" x14ac:dyDescent="0.2">
      <c r="A69" t="s">
        <v>5784</v>
      </c>
      <c r="B69" s="1" t="s">
        <v>5785</v>
      </c>
      <c r="C69" t="s">
        <v>658</v>
      </c>
      <c r="D69" s="1" t="s">
        <v>659</v>
      </c>
      <c r="E69" t="b">
        <v>0</v>
      </c>
      <c r="F69">
        <v>7063</v>
      </c>
      <c r="G69">
        <v>262</v>
      </c>
      <c r="H69" t="s">
        <v>11</v>
      </c>
      <c r="I69" t="b" cm="1">
        <f t="array" ref="I69">isDup(B69,B70, 0.7)</f>
        <v>0</v>
      </c>
    </row>
    <row r="70" spans="1:9" ht="17" x14ac:dyDescent="0.2">
      <c r="A70" t="s">
        <v>1832</v>
      </c>
      <c r="B70" s="1" t="s">
        <v>1833</v>
      </c>
      <c r="C70" t="s">
        <v>1834</v>
      </c>
      <c r="D70" s="1" t="s">
        <v>1835</v>
      </c>
      <c r="E70" t="b">
        <v>0</v>
      </c>
      <c r="F70">
        <v>1174</v>
      </c>
      <c r="G70">
        <v>917</v>
      </c>
      <c r="H70" t="s">
        <v>11</v>
      </c>
      <c r="I70" t="b" cm="1">
        <f t="array" ref="I70">isDup(B70,B71, 0.7)</f>
        <v>0</v>
      </c>
    </row>
    <row r="71" spans="1:9" ht="17" x14ac:dyDescent="0.2">
      <c r="A71" t="s">
        <v>2837</v>
      </c>
      <c r="B71" s="1" t="s">
        <v>2838</v>
      </c>
      <c r="C71" t="s">
        <v>483</v>
      </c>
      <c r="D71" s="1" t="s">
        <v>484</v>
      </c>
      <c r="E71" t="b">
        <v>0</v>
      </c>
      <c r="F71">
        <v>1899</v>
      </c>
      <c r="G71">
        <v>540</v>
      </c>
      <c r="H71" t="s">
        <v>11</v>
      </c>
      <c r="I71" t="b" cm="1">
        <f t="array" ref="I71">isDup(B71,B72, 0.7)</f>
        <v>1</v>
      </c>
    </row>
    <row r="72" spans="1:9" ht="17" x14ac:dyDescent="0.2">
      <c r="A72" t="s">
        <v>6514</v>
      </c>
      <c r="B72" s="1" t="s">
        <v>6515</v>
      </c>
      <c r="C72" t="s">
        <v>483</v>
      </c>
      <c r="D72" s="1" t="s">
        <v>484</v>
      </c>
      <c r="E72" t="b">
        <v>0</v>
      </c>
      <c r="F72">
        <v>1898</v>
      </c>
      <c r="G72">
        <v>540</v>
      </c>
      <c r="H72" t="s">
        <v>11</v>
      </c>
      <c r="I72" t="b" cm="1">
        <f t="array" ref="I72">isDup(B72,B73, 0.7)</f>
        <v>1</v>
      </c>
    </row>
    <row r="73" spans="1:9" ht="17" x14ac:dyDescent="0.2">
      <c r="A73" t="s">
        <v>2406</v>
      </c>
      <c r="B73" s="1" t="s">
        <v>2407</v>
      </c>
      <c r="C73" t="s">
        <v>483</v>
      </c>
      <c r="D73" s="1" t="s">
        <v>484</v>
      </c>
      <c r="E73" t="b">
        <v>0</v>
      </c>
      <c r="F73">
        <v>1899</v>
      </c>
      <c r="G73">
        <v>540</v>
      </c>
      <c r="H73" t="s">
        <v>11</v>
      </c>
      <c r="I73" t="b" cm="1">
        <f t="array" ref="I73">isDup(B73,B74, 0.7)</f>
        <v>1</v>
      </c>
    </row>
    <row r="74" spans="1:9" ht="17" x14ac:dyDescent="0.2">
      <c r="A74" t="s">
        <v>1963</v>
      </c>
      <c r="B74" s="1" t="s">
        <v>1964</v>
      </c>
      <c r="C74" t="s">
        <v>483</v>
      </c>
      <c r="D74" s="1" t="s">
        <v>484</v>
      </c>
      <c r="E74" t="b">
        <v>0</v>
      </c>
      <c r="F74">
        <v>1899</v>
      </c>
      <c r="G74">
        <v>540</v>
      </c>
      <c r="H74" t="s">
        <v>11</v>
      </c>
      <c r="I74" t="b" cm="1">
        <f t="array" ref="I74">isDup(B74,B75, 0.7)</f>
        <v>1</v>
      </c>
    </row>
    <row r="75" spans="1:9" ht="17" x14ac:dyDescent="0.2">
      <c r="A75" t="s">
        <v>7188</v>
      </c>
      <c r="B75" s="1" t="s">
        <v>7189</v>
      </c>
      <c r="C75" t="s">
        <v>483</v>
      </c>
      <c r="D75" s="1" t="s">
        <v>484</v>
      </c>
      <c r="E75" t="b">
        <v>0</v>
      </c>
      <c r="F75">
        <v>1896</v>
      </c>
      <c r="G75">
        <v>540</v>
      </c>
      <c r="H75" t="s">
        <v>11</v>
      </c>
      <c r="I75" t="b" cm="1">
        <f t="array" ref="I75">isDup(B75,B76, 0.7)</f>
        <v>1</v>
      </c>
    </row>
    <row r="76" spans="1:9" ht="17" x14ac:dyDescent="0.2">
      <c r="A76" t="s">
        <v>4900</v>
      </c>
      <c r="B76" s="1" t="s">
        <v>4904</v>
      </c>
      <c r="C76" t="s">
        <v>483</v>
      </c>
      <c r="D76" s="1" t="s">
        <v>484</v>
      </c>
      <c r="E76" t="b">
        <v>0</v>
      </c>
      <c r="F76">
        <v>1898</v>
      </c>
      <c r="G76">
        <v>540</v>
      </c>
      <c r="H76" t="s">
        <v>11</v>
      </c>
      <c r="I76" t="b" cm="1">
        <f t="array" ref="I76">isDup(B76,B77, 0.7)</f>
        <v>1</v>
      </c>
    </row>
    <row r="77" spans="1:9" ht="17" x14ac:dyDescent="0.2">
      <c r="A77" t="s">
        <v>845</v>
      </c>
      <c r="B77" s="1" t="s">
        <v>849</v>
      </c>
      <c r="C77" t="s">
        <v>483</v>
      </c>
      <c r="D77" s="1" t="s">
        <v>484</v>
      </c>
      <c r="E77" t="b">
        <v>0</v>
      </c>
      <c r="F77">
        <v>1899</v>
      </c>
      <c r="G77">
        <v>540</v>
      </c>
      <c r="H77" t="s">
        <v>11</v>
      </c>
      <c r="I77" t="b" cm="1">
        <f t="array" ref="I77">isDup(B77,B78, 0.7)</f>
        <v>0</v>
      </c>
    </row>
    <row r="78" spans="1:9" ht="17" x14ac:dyDescent="0.2">
      <c r="A78" t="s">
        <v>2201</v>
      </c>
      <c r="B78" s="1" t="s">
        <v>2203</v>
      </c>
      <c r="C78" t="s">
        <v>584</v>
      </c>
      <c r="D78" s="1" t="s">
        <v>2</v>
      </c>
      <c r="E78" t="b">
        <v>0</v>
      </c>
      <c r="F78">
        <v>338</v>
      </c>
      <c r="G78">
        <v>139</v>
      </c>
      <c r="H78" t="s">
        <v>11</v>
      </c>
      <c r="I78" t="b" cm="1">
        <f t="array" ref="I78">isDup(B78,B79, 0.7)</f>
        <v>0</v>
      </c>
    </row>
    <row r="79" spans="1:9" ht="17" x14ac:dyDescent="0.2">
      <c r="A79" t="s">
        <v>2752</v>
      </c>
      <c r="B79" s="1" t="s">
        <v>2753</v>
      </c>
      <c r="C79" t="s">
        <v>2754</v>
      </c>
      <c r="D79" s="1" t="s">
        <v>2</v>
      </c>
      <c r="E79" t="b">
        <v>0</v>
      </c>
      <c r="F79">
        <v>4</v>
      </c>
      <c r="G79">
        <v>41</v>
      </c>
      <c r="H79" t="s">
        <v>11</v>
      </c>
      <c r="I79" t="b" cm="1">
        <f t="array" ref="I79">isDup(B79,B80, 0.7)</f>
        <v>0</v>
      </c>
    </row>
    <row r="80" spans="1:9" ht="17" x14ac:dyDescent="0.2">
      <c r="A80" t="s">
        <v>3763</v>
      </c>
      <c r="B80" s="1" t="s">
        <v>3764</v>
      </c>
      <c r="C80" t="s">
        <v>3765</v>
      </c>
      <c r="D80" s="1" t="s">
        <v>996</v>
      </c>
      <c r="E80" t="b">
        <v>0</v>
      </c>
      <c r="F80">
        <v>2446</v>
      </c>
      <c r="G80">
        <v>208</v>
      </c>
      <c r="H80" t="s">
        <v>11</v>
      </c>
      <c r="I80" t="b" cm="1">
        <f t="array" ref="I80">isDup(B80,B81, 0.7)</f>
        <v>0</v>
      </c>
    </row>
    <row r="81" spans="1:9" ht="17" x14ac:dyDescent="0.2">
      <c r="A81" t="s">
        <v>4611</v>
      </c>
      <c r="B81" s="1" t="s">
        <v>4612</v>
      </c>
      <c r="C81" t="s">
        <v>4613</v>
      </c>
      <c r="D81" s="1" t="s">
        <v>1023</v>
      </c>
      <c r="E81" t="b">
        <v>0</v>
      </c>
      <c r="F81">
        <v>22</v>
      </c>
      <c r="G81">
        <v>59</v>
      </c>
      <c r="H81" t="s">
        <v>11</v>
      </c>
      <c r="I81" t="b" cm="1">
        <f t="array" ref="I81">isDup(B81,B82, 0.7)</f>
        <v>0</v>
      </c>
    </row>
    <row r="82" spans="1:9" ht="34" x14ac:dyDescent="0.2">
      <c r="A82" t="s">
        <v>1667</v>
      </c>
      <c r="B82" s="1" t="s">
        <v>1668</v>
      </c>
      <c r="C82" t="s">
        <v>1324</v>
      </c>
      <c r="D82" s="1" t="s">
        <v>1669</v>
      </c>
      <c r="E82" t="b">
        <v>0</v>
      </c>
      <c r="F82">
        <v>157</v>
      </c>
      <c r="G82">
        <v>114</v>
      </c>
      <c r="H82" t="s">
        <v>11</v>
      </c>
      <c r="I82" t="b" cm="1">
        <f t="array" ref="I82">isDup(B82,B83, 0.7)</f>
        <v>0</v>
      </c>
    </row>
    <row r="83" spans="1:9" ht="17" x14ac:dyDescent="0.2">
      <c r="A83" t="s">
        <v>3057</v>
      </c>
      <c r="B83" s="1" t="s">
        <v>3058</v>
      </c>
      <c r="C83" t="s">
        <v>3059</v>
      </c>
      <c r="D83" s="1" t="s">
        <v>3060</v>
      </c>
      <c r="E83" t="b">
        <v>0</v>
      </c>
      <c r="F83">
        <v>729</v>
      </c>
      <c r="G83">
        <v>284</v>
      </c>
      <c r="H83" t="s">
        <v>641</v>
      </c>
      <c r="I83" t="b" cm="1">
        <f t="array" ref="I83">isDup(B83,B84, 0.7)</f>
        <v>0</v>
      </c>
    </row>
    <row r="84" spans="1:9" ht="17" x14ac:dyDescent="0.2">
      <c r="A84" t="s">
        <v>7107</v>
      </c>
      <c r="B84" s="1" t="s">
        <v>7108</v>
      </c>
      <c r="C84" t="s">
        <v>133</v>
      </c>
      <c r="D84" s="1" t="s">
        <v>7109</v>
      </c>
      <c r="E84" t="b">
        <v>0</v>
      </c>
      <c r="F84">
        <v>15</v>
      </c>
      <c r="G84">
        <v>200</v>
      </c>
      <c r="H84" t="s">
        <v>359</v>
      </c>
      <c r="I84" t="b" cm="1">
        <f t="array" ref="I84">isDup(B84,B85, 0.7)</f>
        <v>0</v>
      </c>
    </row>
    <row r="85" spans="1:9" ht="17" x14ac:dyDescent="0.2">
      <c r="A85" t="s">
        <v>2644</v>
      </c>
      <c r="B85" s="1" t="s">
        <v>2645</v>
      </c>
      <c r="C85" t="s">
        <v>208</v>
      </c>
      <c r="D85" s="1" t="s">
        <v>2</v>
      </c>
      <c r="E85" t="b">
        <v>0</v>
      </c>
      <c r="F85">
        <v>12338</v>
      </c>
      <c r="G85">
        <v>138</v>
      </c>
      <c r="H85" t="s">
        <v>11</v>
      </c>
      <c r="I85" t="b" cm="1">
        <f t="array" ref="I85">isDup(B85,B86, 0.7)</f>
        <v>0</v>
      </c>
    </row>
    <row r="86" spans="1:9" ht="34" x14ac:dyDescent="0.2">
      <c r="A86" t="s">
        <v>7127</v>
      </c>
      <c r="B86" s="1" t="s">
        <v>7128</v>
      </c>
      <c r="C86" t="s">
        <v>5508</v>
      </c>
      <c r="D86" s="1" t="s">
        <v>2</v>
      </c>
      <c r="E86" t="b">
        <v>0</v>
      </c>
      <c r="F86">
        <v>81</v>
      </c>
      <c r="G86">
        <v>8</v>
      </c>
      <c r="H86" t="s">
        <v>11</v>
      </c>
      <c r="I86" t="b" cm="1">
        <f t="array" ref="I86">isDup(B86,B87, 0.7)</f>
        <v>0</v>
      </c>
    </row>
    <row r="87" spans="1:9" ht="17" x14ac:dyDescent="0.2">
      <c r="A87" t="s">
        <v>4202</v>
      </c>
      <c r="B87" s="1" t="s">
        <v>4203</v>
      </c>
      <c r="C87" t="s">
        <v>4154</v>
      </c>
      <c r="D87" s="1" t="s">
        <v>2</v>
      </c>
      <c r="E87" t="b">
        <v>0</v>
      </c>
      <c r="F87">
        <v>26</v>
      </c>
      <c r="G87">
        <v>50</v>
      </c>
      <c r="H87" t="s">
        <v>110</v>
      </c>
      <c r="I87" t="b" cm="1">
        <f t="array" ref="I87">isDup(B87,B88, 0.7)</f>
        <v>0</v>
      </c>
    </row>
    <row r="88" spans="1:9" ht="17" x14ac:dyDescent="0.2">
      <c r="A88" t="s">
        <v>3415</v>
      </c>
      <c r="B88" s="1" t="s">
        <v>3416</v>
      </c>
      <c r="C88" t="s">
        <v>3417</v>
      </c>
      <c r="D88" s="1" t="s">
        <v>105</v>
      </c>
      <c r="E88" t="b">
        <v>0</v>
      </c>
      <c r="F88">
        <v>308</v>
      </c>
      <c r="G88">
        <v>341</v>
      </c>
      <c r="H88" t="s">
        <v>11</v>
      </c>
      <c r="I88" t="b" cm="1">
        <f t="array" ref="I88">isDup(B88,B89, 0.7)</f>
        <v>0</v>
      </c>
    </row>
    <row r="89" spans="1:9" ht="17" x14ac:dyDescent="0.2">
      <c r="A89" t="s">
        <v>5891</v>
      </c>
      <c r="B89" s="1" t="s">
        <v>5892</v>
      </c>
      <c r="C89" t="s">
        <v>5893</v>
      </c>
      <c r="D89" s="1" t="s">
        <v>333</v>
      </c>
      <c r="E89" t="b">
        <v>0</v>
      </c>
      <c r="F89">
        <v>17232</v>
      </c>
      <c r="G89">
        <v>176</v>
      </c>
      <c r="H89" t="s">
        <v>47</v>
      </c>
      <c r="I89" t="b" cm="1">
        <f t="array" ref="I89">isDup(B89,B90, 0.7)</f>
        <v>0</v>
      </c>
    </row>
    <row r="90" spans="1:9" ht="17" x14ac:dyDescent="0.2">
      <c r="A90" t="s">
        <v>3846</v>
      </c>
      <c r="B90" s="1" t="s">
        <v>3847</v>
      </c>
      <c r="C90" t="s">
        <v>3848</v>
      </c>
      <c r="D90" s="1" t="s">
        <v>2</v>
      </c>
      <c r="E90" t="b">
        <v>0</v>
      </c>
      <c r="F90">
        <v>55</v>
      </c>
      <c r="G90">
        <v>238</v>
      </c>
      <c r="H90" t="s">
        <v>11</v>
      </c>
      <c r="I90" t="b" cm="1">
        <f t="array" ref="I90">isDup(B90,B91, 0.7)</f>
        <v>0</v>
      </c>
    </row>
    <row r="91" spans="1:9" ht="17" x14ac:dyDescent="0.2">
      <c r="A91" t="s">
        <v>77</v>
      </c>
      <c r="B91" s="1" t="s">
        <v>78</v>
      </c>
      <c r="C91" t="s">
        <v>79</v>
      </c>
      <c r="D91" s="1" t="s">
        <v>2</v>
      </c>
      <c r="E91" t="b">
        <v>0</v>
      </c>
      <c r="F91">
        <v>44</v>
      </c>
      <c r="G91">
        <v>321</v>
      </c>
      <c r="H91" t="s">
        <v>11</v>
      </c>
      <c r="I91" t="b" cm="1">
        <f t="array" ref="I91">isDup(B91,B92, 0.7)</f>
        <v>0</v>
      </c>
    </row>
    <row r="92" spans="1:9" ht="34" x14ac:dyDescent="0.2">
      <c r="A92" t="s">
        <v>2322</v>
      </c>
      <c r="B92" s="1" t="s">
        <v>2323</v>
      </c>
      <c r="C92" t="s">
        <v>2324</v>
      </c>
      <c r="D92" s="1" t="s">
        <v>2325</v>
      </c>
      <c r="E92" t="b">
        <v>0</v>
      </c>
      <c r="F92">
        <v>5933</v>
      </c>
      <c r="G92">
        <v>6027</v>
      </c>
      <c r="H92" t="s">
        <v>11</v>
      </c>
      <c r="I92" t="b" cm="1">
        <f t="array" ref="I92">isDup(B92,B93, 0.7)</f>
        <v>0</v>
      </c>
    </row>
    <row r="93" spans="1:9" ht="17" x14ac:dyDescent="0.2">
      <c r="A93" t="s">
        <v>6415</v>
      </c>
      <c r="B93" s="1" t="s">
        <v>6417</v>
      </c>
      <c r="C93" t="s">
        <v>1434</v>
      </c>
      <c r="D93" s="1" t="s">
        <v>6418</v>
      </c>
      <c r="E93" t="b">
        <v>0</v>
      </c>
      <c r="F93">
        <v>1233</v>
      </c>
      <c r="G93">
        <v>982</v>
      </c>
      <c r="H93" t="s">
        <v>1088</v>
      </c>
      <c r="I93" t="b" cm="1">
        <f t="array" ref="I93">isDup(B93,B94, 0.7)</f>
        <v>0</v>
      </c>
    </row>
    <row r="94" spans="1:9" ht="17" x14ac:dyDescent="0.2">
      <c r="A94" t="s">
        <v>5955</v>
      </c>
      <c r="B94" s="1" t="s">
        <v>5956</v>
      </c>
      <c r="C94" t="s">
        <v>4161</v>
      </c>
      <c r="D94" s="1" t="s">
        <v>5957</v>
      </c>
      <c r="E94" t="b">
        <v>0</v>
      </c>
      <c r="F94">
        <v>212</v>
      </c>
      <c r="G94">
        <v>798</v>
      </c>
      <c r="H94" t="s">
        <v>11</v>
      </c>
      <c r="I94" t="b" cm="1">
        <f t="array" ref="I94">isDup(B94,B95, 0.7)</f>
        <v>0</v>
      </c>
    </row>
    <row r="95" spans="1:9" ht="34" x14ac:dyDescent="0.2">
      <c r="A95" t="s">
        <v>6575</v>
      </c>
      <c r="B95" s="1" t="s">
        <v>6576</v>
      </c>
      <c r="C95" t="s">
        <v>82</v>
      </c>
      <c r="D95" s="1" t="s">
        <v>6577</v>
      </c>
      <c r="E95" t="b">
        <v>0</v>
      </c>
      <c r="F95">
        <v>4286</v>
      </c>
      <c r="G95">
        <v>3819</v>
      </c>
      <c r="H95" t="s">
        <v>370</v>
      </c>
      <c r="I95" t="b" cm="1">
        <f t="array" ref="I95">isDup(B95,B96, 0.7)</f>
        <v>0</v>
      </c>
    </row>
    <row r="96" spans="1:9" ht="34" x14ac:dyDescent="0.2">
      <c r="A96" t="s">
        <v>6818</v>
      </c>
      <c r="B96" s="1" t="s">
        <v>6819</v>
      </c>
      <c r="C96" t="s">
        <v>5028</v>
      </c>
      <c r="D96" s="1" t="s">
        <v>6820</v>
      </c>
      <c r="E96" t="b">
        <v>0</v>
      </c>
      <c r="F96">
        <v>380</v>
      </c>
      <c r="G96">
        <v>140</v>
      </c>
      <c r="H96" t="s">
        <v>11</v>
      </c>
      <c r="I96" t="b" cm="1">
        <f t="array" ref="I96">isDup(B96,B97, 0.7)</f>
        <v>0</v>
      </c>
    </row>
    <row r="97" spans="1:9" ht="17" x14ac:dyDescent="0.2">
      <c r="A97" t="s">
        <v>5732</v>
      </c>
      <c r="B97" s="1" t="s">
        <v>5733</v>
      </c>
      <c r="C97" t="s">
        <v>1245</v>
      </c>
      <c r="D97" s="1" t="s">
        <v>2</v>
      </c>
      <c r="E97" t="b">
        <v>0</v>
      </c>
      <c r="F97">
        <v>251</v>
      </c>
      <c r="G97">
        <v>9</v>
      </c>
      <c r="H97" t="s">
        <v>11</v>
      </c>
      <c r="I97" t="b" cm="1">
        <f t="array" ref="I97">isDup(B97,B98, 0.7)</f>
        <v>0</v>
      </c>
    </row>
    <row r="98" spans="1:9" ht="34" x14ac:dyDescent="0.2">
      <c r="A98" t="s">
        <v>3053</v>
      </c>
      <c r="B98" s="1" t="s">
        <v>3054</v>
      </c>
      <c r="C98" t="s">
        <v>1568</v>
      </c>
      <c r="D98" s="1" t="s">
        <v>2713</v>
      </c>
      <c r="E98" t="b">
        <v>0</v>
      </c>
      <c r="F98">
        <v>272</v>
      </c>
      <c r="G98">
        <v>39</v>
      </c>
      <c r="H98" t="s">
        <v>11</v>
      </c>
      <c r="I98" t="b" cm="1">
        <f t="array" ref="I98">isDup(B98,B99, 0.7)</f>
        <v>0</v>
      </c>
    </row>
    <row r="99" spans="1:9" ht="17" x14ac:dyDescent="0.2">
      <c r="A99" t="s">
        <v>427</v>
      </c>
      <c r="B99" s="1" t="s">
        <v>428</v>
      </c>
      <c r="C99" t="s">
        <v>429</v>
      </c>
      <c r="D99" s="1" t="s">
        <v>2</v>
      </c>
      <c r="E99" t="b">
        <v>0</v>
      </c>
      <c r="F99">
        <v>8</v>
      </c>
      <c r="G99">
        <v>3</v>
      </c>
      <c r="H99" t="s">
        <v>11</v>
      </c>
      <c r="I99" t="b" cm="1">
        <f t="array" ref="I99">isDup(B99,B100, 0.7)</f>
        <v>0</v>
      </c>
    </row>
    <row r="100" spans="1:9" ht="17" x14ac:dyDescent="0.2">
      <c r="A100" t="s">
        <v>1460</v>
      </c>
      <c r="B100" s="1" t="s">
        <v>1461</v>
      </c>
      <c r="C100" t="s">
        <v>1409</v>
      </c>
      <c r="D100" s="1" t="s">
        <v>2</v>
      </c>
      <c r="E100" t="b">
        <v>0</v>
      </c>
      <c r="F100">
        <v>58</v>
      </c>
      <c r="G100">
        <v>778</v>
      </c>
      <c r="H100" t="s">
        <v>1462</v>
      </c>
      <c r="I100" t="b" cm="1">
        <f t="array" ref="I100">isDup(B100,B101, 0.7)</f>
        <v>0</v>
      </c>
    </row>
    <row r="101" spans="1:9" ht="17" x14ac:dyDescent="0.2">
      <c r="A101" t="s">
        <v>4528</v>
      </c>
      <c r="B101" s="1" t="s">
        <v>4529</v>
      </c>
      <c r="C101" t="s">
        <v>4530</v>
      </c>
      <c r="D101" s="1" t="s">
        <v>2</v>
      </c>
      <c r="E101" t="b">
        <v>0</v>
      </c>
      <c r="F101">
        <v>104</v>
      </c>
      <c r="G101">
        <v>78</v>
      </c>
      <c r="H101" t="s">
        <v>370</v>
      </c>
      <c r="I101" t="b" cm="1">
        <f t="array" ref="I101">isDup(B101,B102, 0.7)</f>
        <v>0</v>
      </c>
    </row>
    <row r="102" spans="1:9" ht="34" x14ac:dyDescent="0.2">
      <c r="A102" t="s">
        <v>4968</v>
      </c>
      <c r="B102" s="1" t="s">
        <v>4969</v>
      </c>
      <c r="C102" t="s">
        <v>4970</v>
      </c>
      <c r="D102" s="1" t="s">
        <v>4971</v>
      </c>
      <c r="E102" t="b">
        <v>0</v>
      </c>
      <c r="F102">
        <v>1721</v>
      </c>
      <c r="G102">
        <v>1117</v>
      </c>
      <c r="H102" t="s">
        <v>11</v>
      </c>
      <c r="I102" t="b" cm="1">
        <f t="array" ref="I102">isDup(B102,B103, 0.7)</f>
        <v>0</v>
      </c>
    </row>
    <row r="103" spans="1:9" ht="17" x14ac:dyDescent="0.2">
      <c r="A103" t="s">
        <v>680</v>
      </c>
      <c r="B103" s="1" t="s">
        <v>681</v>
      </c>
      <c r="C103" t="s">
        <v>682</v>
      </c>
      <c r="D103" s="1" t="s">
        <v>2</v>
      </c>
      <c r="E103" t="b">
        <v>0</v>
      </c>
      <c r="F103">
        <v>4</v>
      </c>
      <c r="G103">
        <v>19</v>
      </c>
      <c r="H103" t="s">
        <v>3</v>
      </c>
      <c r="I103" t="b" cm="1">
        <f t="array" ref="I103">isDup(B103,B104, 0.7)</f>
        <v>0</v>
      </c>
    </row>
    <row r="104" spans="1:9" ht="17" x14ac:dyDescent="0.2">
      <c r="A104" t="s">
        <v>983</v>
      </c>
      <c r="B104" s="1" t="s">
        <v>984</v>
      </c>
      <c r="C104" t="s">
        <v>985</v>
      </c>
      <c r="D104" s="1" t="s">
        <v>986</v>
      </c>
      <c r="E104" t="b">
        <v>0</v>
      </c>
      <c r="F104">
        <v>4942</v>
      </c>
      <c r="G104">
        <v>4840</v>
      </c>
      <c r="H104" t="s">
        <v>110</v>
      </c>
      <c r="I104" t="b" cm="1">
        <f t="array" ref="I104">isDup(B104,B105, 0.7)</f>
        <v>1</v>
      </c>
    </row>
    <row r="105" spans="1:9" ht="17" x14ac:dyDescent="0.2">
      <c r="A105" t="s">
        <v>1116</v>
      </c>
      <c r="B105" s="1" t="s">
        <v>1117</v>
      </c>
      <c r="C105" t="s">
        <v>985</v>
      </c>
      <c r="D105" s="1" t="s">
        <v>986</v>
      </c>
      <c r="E105" t="b">
        <v>0</v>
      </c>
      <c r="F105">
        <v>4943</v>
      </c>
      <c r="G105">
        <v>4840</v>
      </c>
      <c r="H105" t="s">
        <v>110</v>
      </c>
      <c r="I105" t="b" cm="1">
        <f t="array" ref="I105">isDup(B105,B106, 0.7)</f>
        <v>1</v>
      </c>
    </row>
    <row r="106" spans="1:9" ht="17" x14ac:dyDescent="0.2">
      <c r="A106" t="s">
        <v>1769</v>
      </c>
      <c r="B106" s="1" t="s">
        <v>1770</v>
      </c>
      <c r="C106" t="s">
        <v>985</v>
      </c>
      <c r="D106" s="1" t="s">
        <v>986</v>
      </c>
      <c r="E106" t="b">
        <v>0</v>
      </c>
      <c r="F106">
        <v>4945</v>
      </c>
      <c r="G106">
        <v>4841</v>
      </c>
      <c r="H106" t="s">
        <v>110</v>
      </c>
      <c r="I106" t="b" cm="1">
        <f t="array" ref="I106">isDup(B106,B107, 0.7)</f>
        <v>1</v>
      </c>
    </row>
    <row r="107" spans="1:9" ht="17" x14ac:dyDescent="0.2">
      <c r="A107" t="s">
        <v>3182</v>
      </c>
      <c r="B107" s="1" t="s">
        <v>3183</v>
      </c>
      <c r="C107" t="s">
        <v>985</v>
      </c>
      <c r="D107" s="1" t="s">
        <v>986</v>
      </c>
      <c r="E107" t="b">
        <v>0</v>
      </c>
      <c r="F107">
        <v>4945</v>
      </c>
      <c r="G107">
        <v>4842</v>
      </c>
      <c r="H107" t="s">
        <v>110</v>
      </c>
      <c r="I107" t="b" cm="1">
        <f t="array" ref="I107">isDup(B107,B108, 0.7)</f>
        <v>0</v>
      </c>
    </row>
    <row r="108" spans="1:9" ht="17" x14ac:dyDescent="0.2">
      <c r="A108" t="s">
        <v>3818</v>
      </c>
      <c r="B108" s="1" t="s">
        <v>3819</v>
      </c>
      <c r="C108" t="s">
        <v>3584</v>
      </c>
      <c r="D108" s="1" t="s">
        <v>3820</v>
      </c>
      <c r="E108" t="b">
        <v>0</v>
      </c>
      <c r="F108">
        <v>1029</v>
      </c>
      <c r="G108">
        <v>851</v>
      </c>
      <c r="H108" t="s">
        <v>47</v>
      </c>
      <c r="I108" t="b" cm="1">
        <f t="array" ref="I108">isDup(B108,B109, 0.7)</f>
        <v>0</v>
      </c>
    </row>
    <row r="109" spans="1:9" ht="17" x14ac:dyDescent="0.2">
      <c r="A109" t="s">
        <v>573</v>
      </c>
      <c r="B109" s="1" t="s">
        <v>576</v>
      </c>
      <c r="C109" t="s">
        <v>577</v>
      </c>
      <c r="D109" s="1" t="s">
        <v>578</v>
      </c>
      <c r="E109" t="b">
        <v>0</v>
      </c>
      <c r="F109">
        <v>11598</v>
      </c>
      <c r="G109">
        <v>1531</v>
      </c>
      <c r="H109" t="s">
        <v>47</v>
      </c>
      <c r="I109" t="b" cm="1">
        <f t="array" ref="I109">isDup(B109,B110, 0.7)</f>
        <v>1</v>
      </c>
    </row>
    <row r="110" spans="1:9" ht="17" x14ac:dyDescent="0.2">
      <c r="A110" t="s">
        <v>1698</v>
      </c>
      <c r="B110" s="1" t="s">
        <v>1699</v>
      </c>
      <c r="C110" t="s">
        <v>577</v>
      </c>
      <c r="D110" s="1" t="s">
        <v>578</v>
      </c>
      <c r="E110" t="b">
        <v>0</v>
      </c>
      <c r="F110">
        <v>11598</v>
      </c>
      <c r="G110">
        <v>1531</v>
      </c>
      <c r="H110" t="s">
        <v>47</v>
      </c>
      <c r="I110" t="b" cm="1">
        <f t="array" ref="I110">isDup(B110,B111, 0.7)</f>
        <v>1</v>
      </c>
    </row>
    <row r="111" spans="1:9" ht="17" x14ac:dyDescent="0.2">
      <c r="A111" t="s">
        <v>2222</v>
      </c>
      <c r="B111" s="1" t="s">
        <v>2223</v>
      </c>
      <c r="C111" t="s">
        <v>577</v>
      </c>
      <c r="D111" s="1" t="s">
        <v>578</v>
      </c>
      <c r="E111" t="b">
        <v>0</v>
      </c>
      <c r="F111">
        <v>11598</v>
      </c>
      <c r="G111">
        <v>1532</v>
      </c>
      <c r="H111" t="s">
        <v>47</v>
      </c>
      <c r="I111" t="b" cm="1">
        <f t="array" ref="I111">isDup(B111,B112, 0.7)</f>
        <v>1</v>
      </c>
    </row>
    <row r="112" spans="1:9" ht="17" x14ac:dyDescent="0.2">
      <c r="A112" t="s">
        <v>2707</v>
      </c>
      <c r="B112" s="1" t="s">
        <v>2708</v>
      </c>
      <c r="C112" t="s">
        <v>577</v>
      </c>
      <c r="D112" s="1" t="s">
        <v>578</v>
      </c>
      <c r="E112" t="b">
        <v>0</v>
      </c>
      <c r="F112">
        <v>11596</v>
      </c>
      <c r="G112">
        <v>1532</v>
      </c>
      <c r="H112" t="s">
        <v>47</v>
      </c>
      <c r="I112" t="b" cm="1">
        <f t="array" ref="I112">isDup(B112,B113, 0.7)</f>
        <v>1</v>
      </c>
    </row>
    <row r="113" spans="1:9" ht="17" x14ac:dyDescent="0.2">
      <c r="A113" t="s">
        <v>6657</v>
      </c>
      <c r="B113" s="1" t="s">
        <v>6658</v>
      </c>
      <c r="C113" t="s">
        <v>577</v>
      </c>
      <c r="D113" s="1" t="s">
        <v>578</v>
      </c>
      <c r="E113" t="b">
        <v>0</v>
      </c>
      <c r="F113">
        <v>11598</v>
      </c>
      <c r="G113">
        <v>1533</v>
      </c>
      <c r="H113" t="s">
        <v>47</v>
      </c>
      <c r="I113" t="b" cm="1">
        <f t="array" ref="I113">isDup(B113,B114, 0.7)</f>
        <v>0</v>
      </c>
    </row>
    <row r="114" spans="1:9" ht="17" x14ac:dyDescent="0.2">
      <c r="A114" t="s">
        <v>2714</v>
      </c>
      <c r="B114" s="1" t="s">
        <v>2715</v>
      </c>
      <c r="C114" t="s">
        <v>958</v>
      </c>
      <c r="D114" s="1" t="s">
        <v>2716</v>
      </c>
      <c r="E114" t="b">
        <v>0</v>
      </c>
      <c r="F114">
        <v>87083</v>
      </c>
      <c r="G114">
        <v>386</v>
      </c>
      <c r="H114" t="s">
        <v>359</v>
      </c>
      <c r="I114" t="b" cm="1">
        <f t="array" ref="I114">isDup(B114,B115, 0.7)</f>
        <v>0</v>
      </c>
    </row>
    <row r="115" spans="1:9" ht="17" x14ac:dyDescent="0.2">
      <c r="A115" t="s">
        <v>1280</v>
      </c>
      <c r="B115" s="1" t="s">
        <v>1281</v>
      </c>
      <c r="C115" t="s">
        <v>483</v>
      </c>
      <c r="D115" s="1" t="s">
        <v>484</v>
      </c>
      <c r="E115" t="b">
        <v>0</v>
      </c>
      <c r="F115">
        <v>1899</v>
      </c>
      <c r="G115">
        <v>540</v>
      </c>
      <c r="H115" t="s">
        <v>11</v>
      </c>
      <c r="I115" t="b" cm="1">
        <f t="array" ref="I115">isDup(B115,B116, 0.7)</f>
        <v>1</v>
      </c>
    </row>
    <row r="116" spans="1:9" ht="17" x14ac:dyDescent="0.2">
      <c r="A116" t="s">
        <v>2025</v>
      </c>
      <c r="B116" s="1" t="s">
        <v>2026</v>
      </c>
      <c r="C116" t="s">
        <v>483</v>
      </c>
      <c r="D116" s="1" t="s">
        <v>484</v>
      </c>
      <c r="E116" t="b">
        <v>0</v>
      </c>
      <c r="F116">
        <v>1899</v>
      </c>
      <c r="G116">
        <v>540</v>
      </c>
      <c r="H116" t="s">
        <v>11</v>
      </c>
      <c r="I116" t="b" cm="1">
        <f t="array" ref="I116">isDup(B116,B117, 0.7)</f>
        <v>1</v>
      </c>
    </row>
    <row r="117" spans="1:9" ht="17" x14ac:dyDescent="0.2">
      <c r="A117" t="s">
        <v>6719</v>
      </c>
      <c r="B117" s="1" t="s">
        <v>6720</v>
      </c>
      <c r="C117" t="s">
        <v>483</v>
      </c>
      <c r="D117" s="1" t="s">
        <v>484</v>
      </c>
      <c r="E117" t="b">
        <v>0</v>
      </c>
      <c r="F117">
        <v>1896</v>
      </c>
      <c r="G117">
        <v>540</v>
      </c>
      <c r="H117" t="s">
        <v>11</v>
      </c>
      <c r="I117" t="b" cm="1">
        <f t="array" ref="I117">isDup(B117,B118, 0.7)</f>
        <v>0</v>
      </c>
    </row>
    <row r="118" spans="1:9" ht="17" x14ac:dyDescent="0.2">
      <c r="A118" t="s">
        <v>1246</v>
      </c>
      <c r="B118" s="1" t="s">
        <v>1247</v>
      </c>
      <c r="C118" t="s">
        <v>1</v>
      </c>
      <c r="D118" s="1" t="s">
        <v>316</v>
      </c>
      <c r="E118" t="b">
        <v>0</v>
      </c>
      <c r="F118">
        <v>75</v>
      </c>
      <c r="G118">
        <v>163</v>
      </c>
      <c r="H118" t="s">
        <v>11</v>
      </c>
      <c r="I118" t="b" cm="1">
        <f t="array" ref="I118">isDup(B118,B119, 0.7)</f>
        <v>0</v>
      </c>
    </row>
    <row r="119" spans="1:9" ht="17" x14ac:dyDescent="0.2">
      <c r="A119" t="s">
        <v>5804</v>
      </c>
      <c r="B119" s="1" t="s">
        <v>5805</v>
      </c>
      <c r="C119" t="s">
        <v>577</v>
      </c>
      <c r="D119" s="1" t="s">
        <v>578</v>
      </c>
      <c r="E119" t="b">
        <v>0</v>
      </c>
      <c r="F119">
        <v>11599</v>
      </c>
      <c r="G119">
        <v>1533</v>
      </c>
      <c r="H119" t="s">
        <v>47</v>
      </c>
      <c r="I119" t="b" cm="1">
        <f t="array" ref="I119">isDup(B119,B120, 0.7)</f>
        <v>1</v>
      </c>
    </row>
    <row r="120" spans="1:9" ht="17" x14ac:dyDescent="0.2">
      <c r="A120" t="s">
        <v>6640</v>
      </c>
      <c r="B120" s="1" t="s">
        <v>6641</v>
      </c>
      <c r="C120" t="s">
        <v>577</v>
      </c>
      <c r="D120" s="1" t="s">
        <v>578</v>
      </c>
      <c r="E120" t="b">
        <v>0</v>
      </c>
      <c r="F120">
        <v>11598</v>
      </c>
      <c r="G120">
        <v>1533</v>
      </c>
      <c r="H120" t="s">
        <v>47</v>
      </c>
      <c r="I120" t="b" cm="1">
        <f t="array" ref="I120">isDup(B120,B121, 0.7)</f>
        <v>1</v>
      </c>
    </row>
    <row r="121" spans="1:9" ht="17" x14ac:dyDescent="0.2">
      <c r="A121" t="s">
        <v>5442</v>
      </c>
      <c r="B121" s="1" t="s">
        <v>5443</v>
      </c>
      <c r="C121" t="s">
        <v>577</v>
      </c>
      <c r="D121" s="1" t="s">
        <v>578</v>
      </c>
      <c r="E121" t="b">
        <v>0</v>
      </c>
      <c r="F121">
        <v>11599</v>
      </c>
      <c r="G121">
        <v>1534</v>
      </c>
      <c r="H121" t="s">
        <v>47</v>
      </c>
      <c r="I121" t="b" cm="1">
        <f t="array" ref="I121">isDup(B121,B122, 0.7)</f>
        <v>0</v>
      </c>
    </row>
    <row r="122" spans="1:9" ht="17" x14ac:dyDescent="0.2">
      <c r="A122" t="s">
        <v>6258</v>
      </c>
      <c r="B122" s="1" t="s">
        <v>6259</v>
      </c>
      <c r="C122" t="s">
        <v>2850</v>
      </c>
      <c r="D122" s="1" t="s">
        <v>6260</v>
      </c>
      <c r="E122" t="b">
        <v>0</v>
      </c>
      <c r="F122">
        <v>81</v>
      </c>
      <c r="G122">
        <v>256</v>
      </c>
      <c r="H122" t="s">
        <v>11</v>
      </c>
      <c r="I122" t="b" cm="1">
        <f t="array" ref="I122">isDup(B122,B123, 0.7)</f>
        <v>0</v>
      </c>
    </row>
    <row r="123" spans="1:9" ht="17" x14ac:dyDescent="0.2">
      <c r="A123" t="s">
        <v>2045</v>
      </c>
      <c r="B123" s="1" t="s">
        <v>2046</v>
      </c>
      <c r="C123" t="s">
        <v>1987</v>
      </c>
      <c r="D123" s="1" t="s">
        <v>2047</v>
      </c>
      <c r="E123" t="b">
        <v>0</v>
      </c>
      <c r="F123">
        <v>387</v>
      </c>
      <c r="G123">
        <v>187</v>
      </c>
      <c r="H123" t="s">
        <v>11</v>
      </c>
      <c r="I123" t="b" cm="1">
        <f t="array" ref="I123">isDup(B123,B124, 0.7)</f>
        <v>0</v>
      </c>
    </row>
    <row r="124" spans="1:9" ht="17" x14ac:dyDescent="0.2">
      <c r="A124" t="s">
        <v>2194</v>
      </c>
      <c r="B124" s="1" t="s">
        <v>2195</v>
      </c>
      <c r="C124" t="s">
        <v>2196</v>
      </c>
      <c r="D124" s="1" t="s">
        <v>2197</v>
      </c>
      <c r="E124" t="b">
        <v>0</v>
      </c>
      <c r="F124">
        <v>5</v>
      </c>
      <c r="G124">
        <v>46</v>
      </c>
      <c r="H124" t="s">
        <v>11</v>
      </c>
      <c r="I124" t="b" cm="1">
        <f t="array" ref="I124">isDup(B124,B125, 0.7)</f>
        <v>0</v>
      </c>
    </row>
    <row r="125" spans="1:9" ht="34" x14ac:dyDescent="0.2">
      <c r="A125" t="s">
        <v>2823</v>
      </c>
      <c r="B125" s="1" t="s">
        <v>2824</v>
      </c>
      <c r="C125" t="s">
        <v>2825</v>
      </c>
      <c r="E125" t="b">
        <v>0</v>
      </c>
      <c r="F125">
        <v>38</v>
      </c>
      <c r="G125">
        <v>262</v>
      </c>
      <c r="H125" t="s">
        <v>11</v>
      </c>
      <c r="I125" t="b" cm="1">
        <f t="array" ref="I125">isDup(B125,B126, 0.7)</f>
        <v>0</v>
      </c>
    </row>
    <row r="126" spans="1:9" ht="34" x14ac:dyDescent="0.2">
      <c r="A126" t="s">
        <v>1035</v>
      </c>
      <c r="B126" s="1" t="s">
        <v>1036</v>
      </c>
      <c r="C126" t="s">
        <v>1037</v>
      </c>
      <c r="D126" s="1" t="s">
        <v>1038</v>
      </c>
      <c r="E126" t="b">
        <v>0</v>
      </c>
      <c r="F126">
        <v>235</v>
      </c>
      <c r="G126">
        <v>259</v>
      </c>
      <c r="H126" t="s">
        <v>11</v>
      </c>
      <c r="I126" t="b" cm="1">
        <f t="array" ref="I126">isDup(B126,B127, 0.7)</f>
        <v>0</v>
      </c>
    </row>
    <row r="127" spans="1:9" ht="34" x14ac:dyDescent="0.2">
      <c r="A127" t="s">
        <v>5237</v>
      </c>
      <c r="B127" s="1" t="s">
        <v>5238</v>
      </c>
      <c r="C127" t="s">
        <v>3886</v>
      </c>
      <c r="D127" s="1" t="s">
        <v>2</v>
      </c>
      <c r="E127" t="b">
        <v>0</v>
      </c>
      <c r="F127">
        <v>102</v>
      </c>
      <c r="G127">
        <v>136</v>
      </c>
      <c r="H127" t="s">
        <v>11</v>
      </c>
      <c r="I127" t="b" cm="1">
        <f t="array" ref="I127">isDup(B127,B128, 0.7)</f>
        <v>0</v>
      </c>
    </row>
    <row r="128" spans="1:9" ht="34" x14ac:dyDescent="0.2">
      <c r="A128" t="s">
        <v>4838</v>
      </c>
      <c r="B128" s="1" t="s">
        <v>4839</v>
      </c>
      <c r="C128" t="s">
        <v>4840</v>
      </c>
      <c r="D128" s="1" t="s">
        <v>316</v>
      </c>
      <c r="E128" t="b">
        <v>0</v>
      </c>
      <c r="F128">
        <v>15958</v>
      </c>
      <c r="G128">
        <v>14067</v>
      </c>
      <c r="H128" t="s">
        <v>11</v>
      </c>
      <c r="I128" t="b" cm="1">
        <f t="array" ref="I128">isDup(B128,B129, 0.7)</f>
        <v>0</v>
      </c>
    </row>
    <row r="129" spans="1:9" ht="17" x14ac:dyDescent="0.2">
      <c r="A129" t="s">
        <v>5224</v>
      </c>
      <c r="B129" s="1" t="s">
        <v>5225</v>
      </c>
      <c r="C129" t="s">
        <v>226</v>
      </c>
      <c r="D129" s="1" t="s">
        <v>5226</v>
      </c>
      <c r="E129" t="b">
        <v>0</v>
      </c>
      <c r="F129">
        <v>163</v>
      </c>
      <c r="G129">
        <v>382</v>
      </c>
      <c r="H129" t="s">
        <v>11</v>
      </c>
      <c r="I129" t="b" cm="1">
        <f t="array" ref="I129">isDup(B129,B130, 0.7)</f>
        <v>0</v>
      </c>
    </row>
    <row r="130" spans="1:9" ht="17" x14ac:dyDescent="0.2">
      <c r="A130" t="s">
        <v>5301</v>
      </c>
      <c r="B130" s="1" t="s">
        <v>5302</v>
      </c>
      <c r="C130" t="s">
        <v>2259</v>
      </c>
      <c r="D130" s="1" t="s">
        <v>2</v>
      </c>
      <c r="E130" t="b">
        <v>0</v>
      </c>
      <c r="F130">
        <v>12</v>
      </c>
      <c r="G130">
        <v>161</v>
      </c>
      <c r="H130" t="s">
        <v>47</v>
      </c>
      <c r="I130" t="b" cm="1">
        <f t="array" ref="I130">isDup(B130,B131, 0.7)</f>
        <v>0</v>
      </c>
    </row>
    <row r="131" spans="1:9" ht="17" x14ac:dyDescent="0.2">
      <c r="A131" t="s">
        <v>2181</v>
      </c>
      <c r="B131" s="1" t="s">
        <v>2182</v>
      </c>
      <c r="C131" t="s">
        <v>2183</v>
      </c>
      <c r="D131" s="1" t="s">
        <v>2184</v>
      </c>
      <c r="E131" t="b">
        <v>0</v>
      </c>
      <c r="F131">
        <v>1792</v>
      </c>
      <c r="G131">
        <v>1251</v>
      </c>
      <c r="H131" t="s">
        <v>11</v>
      </c>
      <c r="I131" t="b" cm="1">
        <f t="array" ref="I131">isDup(B131,B132, 0.7)</f>
        <v>0</v>
      </c>
    </row>
    <row r="132" spans="1:9" ht="17" x14ac:dyDescent="0.2">
      <c r="A132" t="s">
        <v>2816</v>
      </c>
      <c r="B132" s="1" t="s">
        <v>2817</v>
      </c>
      <c r="C132" t="s">
        <v>607</v>
      </c>
      <c r="D132" s="1" t="s">
        <v>1073</v>
      </c>
      <c r="E132" t="b">
        <v>0</v>
      </c>
      <c r="F132">
        <v>4</v>
      </c>
      <c r="G132">
        <v>107</v>
      </c>
      <c r="H132" t="s">
        <v>641</v>
      </c>
      <c r="I132" t="b" cm="1">
        <f t="array" ref="I132">isDup(B132,B133, 0.7)</f>
        <v>0</v>
      </c>
    </row>
    <row r="133" spans="1:9" ht="17" x14ac:dyDescent="0.2">
      <c r="A133" t="s">
        <v>660</v>
      </c>
      <c r="B133" s="1" t="s">
        <v>661</v>
      </c>
      <c r="C133" t="s">
        <v>575</v>
      </c>
      <c r="D133" s="1" t="s">
        <v>2</v>
      </c>
      <c r="E133" t="b">
        <v>0</v>
      </c>
      <c r="F133">
        <v>5570</v>
      </c>
      <c r="G133">
        <v>906</v>
      </c>
      <c r="H133" t="s">
        <v>11</v>
      </c>
      <c r="I133" t="b" cm="1">
        <f t="array" ref="I133">isDup(B133,B134, 0.7)</f>
        <v>0</v>
      </c>
    </row>
    <row r="134" spans="1:9" ht="34" x14ac:dyDescent="0.2">
      <c r="A134" t="s">
        <v>5172</v>
      </c>
      <c r="B134" s="1" t="s">
        <v>5173</v>
      </c>
      <c r="C134" t="s">
        <v>5174</v>
      </c>
      <c r="D134" s="1" t="s">
        <v>95</v>
      </c>
      <c r="E134" t="b">
        <v>0</v>
      </c>
      <c r="F134">
        <v>88</v>
      </c>
      <c r="G134">
        <v>9</v>
      </c>
      <c r="H134" t="s">
        <v>11</v>
      </c>
      <c r="I134" t="b" cm="1">
        <f t="array" ref="I134">isDup(B134,B135, 0.7)</f>
        <v>0</v>
      </c>
    </row>
    <row r="135" spans="1:9" ht="17" x14ac:dyDescent="0.2">
      <c r="A135" t="s">
        <v>1513</v>
      </c>
      <c r="B135" s="1" t="s">
        <v>1514</v>
      </c>
      <c r="C135" t="s">
        <v>1515</v>
      </c>
      <c r="D135" s="1" t="s">
        <v>2</v>
      </c>
      <c r="E135" t="b">
        <v>0</v>
      </c>
      <c r="F135">
        <v>114</v>
      </c>
      <c r="G135">
        <v>433</v>
      </c>
      <c r="H135" t="s">
        <v>11</v>
      </c>
      <c r="I135" t="b" cm="1">
        <f t="array" ref="I135">isDup(B135,B136, 0.7)</f>
        <v>0</v>
      </c>
    </row>
    <row r="136" spans="1:9" ht="17" x14ac:dyDescent="0.2">
      <c r="A136" t="s">
        <v>5774</v>
      </c>
      <c r="B136" s="1" t="s">
        <v>5775</v>
      </c>
      <c r="C136" t="s">
        <v>4778</v>
      </c>
      <c r="D136" s="1" t="s">
        <v>2</v>
      </c>
      <c r="E136" t="b">
        <v>0</v>
      </c>
      <c r="F136">
        <v>113</v>
      </c>
      <c r="G136">
        <v>317</v>
      </c>
      <c r="H136" t="s">
        <v>11</v>
      </c>
      <c r="I136" t="b" cm="1">
        <f t="array" ref="I136">isDup(B136,B137, 0.7)</f>
        <v>0</v>
      </c>
    </row>
    <row r="137" spans="1:9" ht="17" x14ac:dyDescent="0.2">
      <c r="A137" t="s">
        <v>4274</v>
      </c>
      <c r="B137" s="1" t="s">
        <v>4275</v>
      </c>
      <c r="C137" t="s">
        <v>1987</v>
      </c>
      <c r="D137" s="1" t="s">
        <v>2</v>
      </c>
      <c r="E137" t="b">
        <v>0</v>
      </c>
      <c r="F137">
        <v>30</v>
      </c>
      <c r="G137">
        <v>11</v>
      </c>
      <c r="H137" t="s">
        <v>11</v>
      </c>
      <c r="I137" t="b" cm="1">
        <f t="array" ref="I137">isDup(B137,B138, 0.7)</f>
        <v>0</v>
      </c>
    </row>
    <row r="138" spans="1:9" ht="17" x14ac:dyDescent="0.2">
      <c r="A138" t="s">
        <v>4386</v>
      </c>
      <c r="B138" s="1" t="s">
        <v>4387</v>
      </c>
      <c r="C138" t="s">
        <v>167</v>
      </c>
      <c r="D138" s="1" t="s">
        <v>4388</v>
      </c>
      <c r="E138" t="b">
        <v>0</v>
      </c>
      <c r="F138">
        <v>980</v>
      </c>
      <c r="G138">
        <v>640</v>
      </c>
      <c r="H138" t="s">
        <v>11</v>
      </c>
      <c r="I138" t="b" cm="1">
        <f t="array" ref="I138">isDup(B138,B139, 0.7)</f>
        <v>0</v>
      </c>
    </row>
    <row r="139" spans="1:9" ht="34" x14ac:dyDescent="0.2">
      <c r="A139" t="s">
        <v>2233</v>
      </c>
      <c r="B139" s="1" t="s">
        <v>2234</v>
      </c>
      <c r="C139" t="s">
        <v>2235</v>
      </c>
      <c r="D139" s="1" t="s">
        <v>2236</v>
      </c>
      <c r="E139" t="b">
        <v>0</v>
      </c>
      <c r="F139">
        <v>511</v>
      </c>
      <c r="G139">
        <v>342</v>
      </c>
      <c r="H139" t="s">
        <v>11</v>
      </c>
      <c r="I139" t="b" cm="1">
        <f t="array" ref="I139">isDup(B139,B140, 0.7)</f>
        <v>0</v>
      </c>
    </row>
    <row r="140" spans="1:9" ht="34" x14ac:dyDescent="0.2">
      <c r="A140" t="s">
        <v>2253</v>
      </c>
      <c r="B140" s="1" t="s">
        <v>2254</v>
      </c>
      <c r="C140" t="s">
        <v>2255</v>
      </c>
      <c r="D140" s="1" t="s">
        <v>2256</v>
      </c>
      <c r="E140" t="b">
        <v>0</v>
      </c>
      <c r="F140">
        <v>397</v>
      </c>
      <c r="G140">
        <v>369</v>
      </c>
      <c r="H140" t="s">
        <v>11</v>
      </c>
      <c r="I140" t="b" cm="1">
        <f t="array" ref="I140">isDup(B140,B141, 0.7)</f>
        <v>0</v>
      </c>
    </row>
    <row r="141" spans="1:9" ht="17" x14ac:dyDescent="0.2">
      <c r="A141" t="s">
        <v>1191</v>
      </c>
      <c r="B141" s="1" t="s">
        <v>1192</v>
      </c>
      <c r="C141" t="s">
        <v>1193</v>
      </c>
      <c r="D141" s="1" t="s">
        <v>1194</v>
      </c>
      <c r="E141" t="b">
        <v>0</v>
      </c>
      <c r="F141">
        <v>41</v>
      </c>
      <c r="G141">
        <v>122</v>
      </c>
      <c r="H141" t="s">
        <v>11</v>
      </c>
      <c r="I141" t="b" cm="1">
        <f t="array" ref="I141">isDup(B141,B142, 0.7)</f>
        <v>0</v>
      </c>
    </row>
    <row r="142" spans="1:9" ht="17" x14ac:dyDescent="0.2">
      <c r="A142" t="s">
        <v>4978</v>
      </c>
      <c r="B142" s="1" t="s">
        <v>4979</v>
      </c>
      <c r="C142" t="s">
        <v>4980</v>
      </c>
      <c r="D142" s="1" t="s">
        <v>2</v>
      </c>
      <c r="E142" t="b">
        <v>0</v>
      </c>
      <c r="F142">
        <v>14</v>
      </c>
      <c r="G142">
        <v>15</v>
      </c>
      <c r="H142" t="s">
        <v>11</v>
      </c>
      <c r="I142" t="b" cm="1">
        <f t="array" ref="I142">isDup(B142,B143, 0.7)</f>
        <v>1</v>
      </c>
    </row>
    <row r="143" spans="1:9" ht="17" x14ac:dyDescent="0.2">
      <c r="A143" t="s">
        <v>5619</v>
      </c>
      <c r="B143" s="1" t="s">
        <v>5620</v>
      </c>
      <c r="C143" t="s">
        <v>4980</v>
      </c>
      <c r="D143" s="1" t="s">
        <v>2</v>
      </c>
      <c r="E143" t="b">
        <v>0</v>
      </c>
      <c r="F143">
        <v>14</v>
      </c>
      <c r="G143">
        <v>15</v>
      </c>
      <c r="H143" t="s">
        <v>11</v>
      </c>
      <c r="I143" t="b" cm="1">
        <f t="array" ref="I143">isDup(B143,B144, 0.7)</f>
        <v>0</v>
      </c>
    </row>
    <row r="144" spans="1:9" ht="17" x14ac:dyDescent="0.2">
      <c r="A144" t="s">
        <v>3627</v>
      </c>
      <c r="B144" s="1" t="s">
        <v>3628</v>
      </c>
      <c r="C144" t="s">
        <v>1254</v>
      </c>
      <c r="D144" s="1" t="s">
        <v>61</v>
      </c>
      <c r="E144" t="b">
        <v>0</v>
      </c>
      <c r="F144">
        <v>36</v>
      </c>
      <c r="G144">
        <v>0</v>
      </c>
      <c r="H144" t="s">
        <v>11</v>
      </c>
      <c r="I144" t="b" cm="1">
        <f t="array" ref="I144">isDup(B144,B145, 0.7)</f>
        <v>0</v>
      </c>
    </row>
    <row r="145" spans="1:9" ht="17" x14ac:dyDescent="0.2">
      <c r="A145" t="s">
        <v>6430</v>
      </c>
      <c r="B145" s="1" t="s">
        <v>6431</v>
      </c>
      <c r="C145" t="s">
        <v>3671</v>
      </c>
      <c r="D145" s="1" t="s">
        <v>2</v>
      </c>
      <c r="E145" t="b">
        <v>0</v>
      </c>
      <c r="F145">
        <v>306</v>
      </c>
      <c r="G145">
        <v>580</v>
      </c>
      <c r="H145" t="s">
        <v>11</v>
      </c>
      <c r="I145" t="b" cm="1">
        <f t="array" ref="I145">isDup(B145,B146, 0.7)</f>
        <v>0</v>
      </c>
    </row>
    <row r="146" spans="1:9" ht="17" x14ac:dyDescent="0.2">
      <c r="A146" t="s">
        <v>1925</v>
      </c>
      <c r="B146" s="1" t="s">
        <v>1926</v>
      </c>
      <c r="C146" t="s">
        <v>26</v>
      </c>
      <c r="D146" s="1" t="s">
        <v>2</v>
      </c>
      <c r="E146" t="b">
        <v>0</v>
      </c>
      <c r="F146">
        <v>1</v>
      </c>
      <c r="G146">
        <v>92</v>
      </c>
      <c r="H146" t="s">
        <v>11</v>
      </c>
      <c r="I146" t="b" cm="1">
        <f t="array" ref="I146">isDup(B146,B147, 0.7)</f>
        <v>0</v>
      </c>
    </row>
    <row r="147" spans="1:9" ht="34" x14ac:dyDescent="0.2">
      <c r="A147" t="s">
        <v>5427</v>
      </c>
      <c r="B147" s="1" t="s">
        <v>5428</v>
      </c>
      <c r="C147" t="s">
        <v>181</v>
      </c>
      <c r="D147" s="1" t="s">
        <v>5429</v>
      </c>
      <c r="E147" t="b">
        <v>0</v>
      </c>
      <c r="F147">
        <v>37</v>
      </c>
      <c r="G147">
        <v>347</v>
      </c>
      <c r="H147" t="s">
        <v>641</v>
      </c>
      <c r="I147" t="b" cm="1">
        <f t="array" ref="I147">isDup(B147,B148, 0.7)</f>
        <v>0</v>
      </c>
    </row>
    <row r="148" spans="1:9" ht="17" x14ac:dyDescent="0.2">
      <c r="A148" t="s">
        <v>4084</v>
      </c>
      <c r="B148" s="1" t="s">
        <v>4085</v>
      </c>
      <c r="C148" t="s">
        <v>729</v>
      </c>
      <c r="D148" s="1" t="s">
        <v>2</v>
      </c>
      <c r="E148" t="b">
        <v>0</v>
      </c>
      <c r="F148">
        <v>14</v>
      </c>
      <c r="G148">
        <v>47</v>
      </c>
      <c r="H148" t="s">
        <v>11</v>
      </c>
      <c r="I148" t="b" cm="1">
        <f t="array" ref="I148">isDup(B148,B149, 0.7)</f>
        <v>0</v>
      </c>
    </row>
    <row r="149" spans="1:9" ht="34" x14ac:dyDescent="0.2">
      <c r="A149" t="s">
        <v>3871</v>
      </c>
      <c r="B149" s="1" t="s">
        <v>3872</v>
      </c>
      <c r="C149" t="s">
        <v>545</v>
      </c>
      <c r="D149" s="1" t="s">
        <v>3873</v>
      </c>
      <c r="E149" t="b">
        <v>0</v>
      </c>
      <c r="F149">
        <v>226</v>
      </c>
      <c r="G149">
        <v>3</v>
      </c>
      <c r="H149" t="s">
        <v>11</v>
      </c>
      <c r="I149" t="b" cm="1">
        <f t="array" ref="I149">isDup(B149,B150, 0.7)</f>
        <v>0</v>
      </c>
    </row>
    <row r="150" spans="1:9" ht="17" x14ac:dyDescent="0.2">
      <c r="A150" t="s">
        <v>5655</v>
      </c>
      <c r="B150" s="1" t="s">
        <v>5657</v>
      </c>
      <c r="C150" t="s">
        <v>1226</v>
      </c>
      <c r="D150" s="1" t="s">
        <v>1227</v>
      </c>
      <c r="E150" t="b">
        <v>0</v>
      </c>
      <c r="F150">
        <v>427</v>
      </c>
      <c r="G150">
        <v>768</v>
      </c>
      <c r="H150" t="s">
        <v>11</v>
      </c>
      <c r="I150" t="b" cm="1">
        <f t="array" ref="I150">isDup(B150,B151, 0.7)</f>
        <v>0</v>
      </c>
    </row>
    <row r="151" spans="1:9" ht="17" x14ac:dyDescent="0.2">
      <c r="A151" t="s">
        <v>1432</v>
      </c>
      <c r="B151" s="1" t="s">
        <v>1433</v>
      </c>
      <c r="C151" t="s">
        <v>1434</v>
      </c>
      <c r="D151" s="1" t="s">
        <v>1435</v>
      </c>
      <c r="E151" t="b">
        <v>0</v>
      </c>
      <c r="F151">
        <v>11</v>
      </c>
      <c r="G151">
        <v>182</v>
      </c>
      <c r="H151" t="s">
        <v>11</v>
      </c>
      <c r="I151" t="b" cm="1">
        <f t="array" ref="I151">isDup(B151,B152, 0.7)</f>
        <v>0</v>
      </c>
    </row>
    <row r="152" spans="1:9" ht="17" x14ac:dyDescent="0.2">
      <c r="A152" t="s">
        <v>4</v>
      </c>
      <c r="B152" s="1" t="s">
        <v>5</v>
      </c>
      <c r="C152" t="s">
        <v>6</v>
      </c>
      <c r="D152" s="1" t="s">
        <v>7</v>
      </c>
      <c r="E152" t="b">
        <v>0</v>
      </c>
      <c r="F152">
        <v>113</v>
      </c>
      <c r="G152">
        <v>110</v>
      </c>
      <c r="H152" t="s">
        <v>3</v>
      </c>
      <c r="I152" t="b" cm="1">
        <f t="array" ref="I152">isDup(B152,B153, 0.7)</f>
        <v>0</v>
      </c>
    </row>
    <row r="153" spans="1:9" ht="34" x14ac:dyDescent="0.2">
      <c r="A153" t="s">
        <v>1080</v>
      </c>
      <c r="B153" s="1" t="s">
        <v>1081</v>
      </c>
      <c r="C153" t="s">
        <v>1082</v>
      </c>
      <c r="D153" s="1" t="s">
        <v>1083</v>
      </c>
      <c r="E153" t="b">
        <v>0</v>
      </c>
      <c r="F153">
        <v>0</v>
      </c>
      <c r="G153">
        <v>31</v>
      </c>
      <c r="H153" t="s">
        <v>11</v>
      </c>
      <c r="I153" t="b" cm="1">
        <f t="array" ref="I153">isDup(B153,B154, 0.7)</f>
        <v>0</v>
      </c>
    </row>
    <row r="154" spans="1:9" ht="34" x14ac:dyDescent="0.2">
      <c r="A154" t="s">
        <v>2005</v>
      </c>
      <c r="B154" s="1" t="s">
        <v>2006</v>
      </c>
      <c r="C154" t="s">
        <v>2007</v>
      </c>
      <c r="D154" s="1" t="s">
        <v>2008</v>
      </c>
      <c r="E154" t="b">
        <v>0</v>
      </c>
      <c r="F154">
        <v>188</v>
      </c>
      <c r="G154">
        <v>541</v>
      </c>
      <c r="H154" t="s">
        <v>11</v>
      </c>
      <c r="I154" t="b" cm="1">
        <f t="array" ref="I154">isDup(B154,B155, 0.7)</f>
        <v>0</v>
      </c>
    </row>
    <row r="155" spans="1:9" ht="17" x14ac:dyDescent="0.2">
      <c r="A155" t="s">
        <v>1985</v>
      </c>
      <c r="B155" s="1" t="s">
        <v>1986</v>
      </c>
      <c r="C155" t="s">
        <v>1987</v>
      </c>
      <c r="D155" s="1" t="s">
        <v>2</v>
      </c>
      <c r="E155" t="b">
        <v>0</v>
      </c>
      <c r="F155">
        <v>30</v>
      </c>
      <c r="G155">
        <v>11</v>
      </c>
      <c r="H155" t="s">
        <v>11</v>
      </c>
      <c r="I155" t="b" cm="1">
        <f t="array" ref="I155">isDup(B155,B156, 0.7)</f>
        <v>0</v>
      </c>
    </row>
    <row r="156" spans="1:9" ht="17" x14ac:dyDescent="0.2">
      <c r="A156" t="s">
        <v>5795</v>
      </c>
      <c r="B156" s="1" t="s">
        <v>5796</v>
      </c>
      <c r="C156" t="s">
        <v>1812</v>
      </c>
      <c r="D156" s="1" t="s">
        <v>2</v>
      </c>
      <c r="E156" t="b">
        <v>0</v>
      </c>
      <c r="F156">
        <v>722</v>
      </c>
      <c r="G156">
        <v>758</v>
      </c>
      <c r="H156" t="s">
        <v>11</v>
      </c>
      <c r="I156" t="b" cm="1">
        <f t="array" ref="I156">isDup(B156,B157, 0.7)</f>
        <v>0</v>
      </c>
    </row>
    <row r="157" spans="1:9" ht="17" x14ac:dyDescent="0.2">
      <c r="A157" t="s">
        <v>3363</v>
      </c>
      <c r="B157" s="1" t="s">
        <v>3364</v>
      </c>
      <c r="C157" t="s">
        <v>3365</v>
      </c>
      <c r="D157" s="1" t="s">
        <v>3366</v>
      </c>
      <c r="E157" t="b">
        <v>0</v>
      </c>
      <c r="F157">
        <v>43</v>
      </c>
      <c r="G157">
        <v>38</v>
      </c>
      <c r="H157" t="s">
        <v>11</v>
      </c>
      <c r="I157" t="b" cm="1">
        <f t="array" ref="I157">isDup(B157,B158, 0.7)</f>
        <v>0</v>
      </c>
    </row>
    <row r="158" spans="1:9" ht="34" x14ac:dyDescent="0.2">
      <c r="A158" t="s">
        <v>2617</v>
      </c>
      <c r="B158" s="1" t="s">
        <v>2618</v>
      </c>
      <c r="C158" t="s">
        <v>2619</v>
      </c>
      <c r="D158" s="1" t="s">
        <v>2620</v>
      </c>
      <c r="E158" t="b">
        <v>0</v>
      </c>
      <c r="F158">
        <v>3032</v>
      </c>
      <c r="G158">
        <v>939</v>
      </c>
      <c r="H158" t="s">
        <v>11</v>
      </c>
      <c r="I158" t="b" cm="1">
        <f t="array" ref="I158">isDup(B158,B159, 0.7)</f>
        <v>0</v>
      </c>
    </row>
    <row r="159" spans="1:9" ht="34" x14ac:dyDescent="0.2">
      <c r="A159" t="s">
        <v>3719</v>
      </c>
      <c r="B159" s="1" t="s">
        <v>3720</v>
      </c>
      <c r="C159" t="s">
        <v>3721</v>
      </c>
      <c r="D159" s="1" t="s">
        <v>3722</v>
      </c>
      <c r="E159" t="b">
        <v>0</v>
      </c>
      <c r="F159">
        <v>704</v>
      </c>
      <c r="G159">
        <v>525</v>
      </c>
      <c r="H159" t="s">
        <v>110</v>
      </c>
      <c r="I159" t="b" cm="1">
        <f t="array" ref="I159">isDup(B159,B160, 0.7)</f>
        <v>0</v>
      </c>
    </row>
    <row r="160" spans="1:9" ht="17" x14ac:dyDescent="0.2">
      <c r="A160" t="s">
        <v>1027</v>
      </c>
      <c r="B160" s="1" t="s">
        <v>1028</v>
      </c>
      <c r="C160" t="s">
        <v>1029</v>
      </c>
      <c r="D160" s="1" t="s">
        <v>2</v>
      </c>
      <c r="E160" t="b">
        <v>0</v>
      </c>
      <c r="F160">
        <v>59</v>
      </c>
      <c r="G160">
        <v>40</v>
      </c>
      <c r="H160" t="s">
        <v>11</v>
      </c>
      <c r="I160" t="b" cm="1">
        <f t="array" ref="I160">isDup(B160,B161, 0.7)</f>
        <v>0</v>
      </c>
    </row>
    <row r="161" spans="1:9" ht="17" x14ac:dyDescent="0.2">
      <c r="A161" t="s">
        <v>5762</v>
      </c>
      <c r="B161" s="1" t="s">
        <v>5763</v>
      </c>
      <c r="C161" t="s">
        <v>3333</v>
      </c>
      <c r="D161" s="1" t="s">
        <v>2561</v>
      </c>
      <c r="E161" t="b">
        <v>0</v>
      </c>
      <c r="F161">
        <v>2205</v>
      </c>
      <c r="G161">
        <v>1080</v>
      </c>
      <c r="H161" t="s">
        <v>11</v>
      </c>
      <c r="I161" t="b" cm="1">
        <f t="array" ref="I161">isDup(B161,B162, 0.7)</f>
        <v>0</v>
      </c>
    </row>
    <row r="162" spans="1:9" ht="34" x14ac:dyDescent="0.2">
      <c r="A162" t="s">
        <v>1472</v>
      </c>
      <c r="B162" s="1" t="s">
        <v>1473</v>
      </c>
      <c r="C162" t="s">
        <v>1474</v>
      </c>
      <c r="D162" s="1" t="s">
        <v>2</v>
      </c>
      <c r="E162" t="b">
        <v>0</v>
      </c>
      <c r="F162">
        <v>14</v>
      </c>
      <c r="G162">
        <v>175</v>
      </c>
      <c r="H162" t="s">
        <v>11</v>
      </c>
      <c r="I162" t="b" cm="1">
        <f t="array" ref="I162">isDup(B162,B163, 0.7)</f>
        <v>0</v>
      </c>
    </row>
    <row r="163" spans="1:9" ht="34" x14ac:dyDescent="0.2">
      <c r="A163" t="s">
        <v>4862</v>
      </c>
      <c r="B163" s="1" t="s">
        <v>4863</v>
      </c>
      <c r="C163" t="s">
        <v>3160</v>
      </c>
      <c r="D163" s="1" t="s">
        <v>2</v>
      </c>
      <c r="E163" t="b">
        <v>0</v>
      </c>
      <c r="F163">
        <v>39</v>
      </c>
      <c r="G163">
        <v>256</v>
      </c>
      <c r="H163" t="s">
        <v>11</v>
      </c>
      <c r="I163" t="b" cm="1">
        <f t="array" ref="I163">isDup(B163,B164, 0.7)</f>
        <v>0</v>
      </c>
    </row>
    <row r="164" spans="1:9" ht="34" x14ac:dyDescent="0.2">
      <c r="A164" t="s">
        <v>5099</v>
      </c>
      <c r="B164" s="1" t="s">
        <v>5100</v>
      </c>
      <c r="C164" t="s">
        <v>5101</v>
      </c>
      <c r="D164" s="1" t="s">
        <v>5102</v>
      </c>
      <c r="E164" t="b">
        <v>0</v>
      </c>
      <c r="F164">
        <v>40</v>
      </c>
      <c r="G164">
        <v>101</v>
      </c>
      <c r="H164" t="s">
        <v>11</v>
      </c>
      <c r="I164" t="b" cm="1">
        <f t="array" ref="I164">isDup(B164,B165, 0.7)</f>
        <v>0</v>
      </c>
    </row>
    <row r="165" spans="1:9" ht="17" x14ac:dyDescent="0.2">
      <c r="A165" t="s">
        <v>507</v>
      </c>
      <c r="B165" s="1" t="s">
        <v>508</v>
      </c>
      <c r="C165" t="s">
        <v>509</v>
      </c>
      <c r="D165" s="1" t="s">
        <v>510</v>
      </c>
      <c r="E165" t="b">
        <v>0</v>
      </c>
      <c r="F165">
        <v>586</v>
      </c>
      <c r="G165">
        <v>483</v>
      </c>
      <c r="H165" t="s">
        <v>11</v>
      </c>
      <c r="I165" t="b" cm="1">
        <f t="array" ref="I165">isDup(B165,B166, 0.7)</f>
        <v>0</v>
      </c>
    </row>
    <row r="166" spans="1:9" ht="34" x14ac:dyDescent="0.2">
      <c r="A166" t="s">
        <v>2894</v>
      </c>
      <c r="B166" s="1" t="s">
        <v>2895</v>
      </c>
      <c r="C166" t="s">
        <v>2896</v>
      </c>
      <c r="D166" s="1" t="s">
        <v>2897</v>
      </c>
      <c r="E166" t="b">
        <v>0</v>
      </c>
      <c r="F166">
        <v>218</v>
      </c>
      <c r="G166">
        <v>551</v>
      </c>
      <c r="H166" t="s">
        <v>11</v>
      </c>
      <c r="I166" t="b" cm="1">
        <f t="array" ref="I166">isDup(B166,B167, 0.7)</f>
        <v>0</v>
      </c>
    </row>
    <row r="167" spans="1:9" ht="34" x14ac:dyDescent="0.2">
      <c r="A167" t="s">
        <v>5598</v>
      </c>
      <c r="B167" s="1" t="s">
        <v>5599</v>
      </c>
      <c r="C167" t="s">
        <v>181</v>
      </c>
      <c r="D167" s="1" t="s">
        <v>664</v>
      </c>
      <c r="E167" t="b">
        <v>1</v>
      </c>
      <c r="F167">
        <v>46484</v>
      </c>
      <c r="G167">
        <v>2125</v>
      </c>
      <c r="H167" t="s">
        <v>11</v>
      </c>
      <c r="I167" t="b" cm="1">
        <f t="array" ref="I167">isDup(B167,B168, 0.7)</f>
        <v>0</v>
      </c>
    </row>
    <row r="168" spans="1:9" ht="17" x14ac:dyDescent="0.2">
      <c r="A168" t="s">
        <v>1733</v>
      </c>
      <c r="B168" s="1" t="s">
        <v>1734</v>
      </c>
      <c r="C168" t="s">
        <v>1735</v>
      </c>
      <c r="D168" s="1" t="s">
        <v>1736</v>
      </c>
      <c r="E168" t="b">
        <v>0</v>
      </c>
      <c r="F168">
        <v>74</v>
      </c>
      <c r="G168">
        <v>398</v>
      </c>
      <c r="H168" t="s">
        <v>11</v>
      </c>
      <c r="I168" t="b" cm="1">
        <f t="array" ref="I168">isDup(B168,B169, 0.7)</f>
        <v>0</v>
      </c>
    </row>
    <row r="169" spans="1:9" ht="34" x14ac:dyDescent="0.2">
      <c r="A169" t="s">
        <v>4502</v>
      </c>
      <c r="B169" s="1" t="s">
        <v>4503</v>
      </c>
      <c r="C169" t="s">
        <v>4504</v>
      </c>
      <c r="D169" s="1" t="s">
        <v>829</v>
      </c>
      <c r="E169" t="b">
        <v>0</v>
      </c>
      <c r="F169">
        <v>579</v>
      </c>
      <c r="G169">
        <v>940</v>
      </c>
      <c r="H169" t="s">
        <v>11</v>
      </c>
      <c r="I169" t="b" cm="1">
        <f t="array" ref="I169">isDup(B169,B170, 0.7)</f>
        <v>0</v>
      </c>
    </row>
    <row r="170" spans="1:9" ht="34" x14ac:dyDescent="0.2">
      <c r="A170" t="s">
        <v>752</v>
      </c>
      <c r="B170" s="1" t="s">
        <v>753</v>
      </c>
      <c r="C170" t="s">
        <v>754</v>
      </c>
      <c r="D170" s="1" t="s">
        <v>755</v>
      </c>
      <c r="E170" t="b">
        <v>0</v>
      </c>
      <c r="F170">
        <v>87</v>
      </c>
      <c r="G170">
        <v>51</v>
      </c>
      <c r="H170" t="s">
        <v>11</v>
      </c>
      <c r="I170" t="b" cm="1">
        <f t="array" ref="I170">isDup(B170,B171, 0.7)</f>
        <v>0</v>
      </c>
    </row>
    <row r="171" spans="1:9" ht="17" x14ac:dyDescent="0.2">
      <c r="A171" t="s">
        <v>1660</v>
      </c>
      <c r="B171" s="1" t="s">
        <v>1661</v>
      </c>
      <c r="C171" t="s">
        <v>1065</v>
      </c>
      <c r="D171" s="1" t="s">
        <v>1662</v>
      </c>
      <c r="E171" t="b">
        <v>0</v>
      </c>
      <c r="F171">
        <v>1224</v>
      </c>
      <c r="G171">
        <v>99</v>
      </c>
      <c r="H171" t="s">
        <v>11</v>
      </c>
      <c r="I171" t="b" cm="1">
        <f t="array" ref="I171">isDup(B171,B172, 0.7)</f>
        <v>0</v>
      </c>
    </row>
    <row r="172" spans="1:9" ht="17" x14ac:dyDescent="0.2">
      <c r="A172" t="s">
        <v>5337</v>
      </c>
      <c r="B172" s="1" t="s">
        <v>5338</v>
      </c>
      <c r="C172" t="s">
        <v>3671</v>
      </c>
      <c r="D172" s="1" t="s">
        <v>5339</v>
      </c>
      <c r="E172" t="b">
        <v>0</v>
      </c>
      <c r="F172">
        <v>8530</v>
      </c>
      <c r="G172">
        <v>3284</v>
      </c>
      <c r="H172" t="s">
        <v>11</v>
      </c>
      <c r="I172" t="b" cm="1">
        <f t="array" ref="I172">isDup(B172,B173, 0.7)</f>
        <v>0</v>
      </c>
    </row>
    <row r="173" spans="1:9" ht="17" x14ac:dyDescent="0.2">
      <c r="A173" t="s">
        <v>5192</v>
      </c>
      <c r="B173" s="1" t="s">
        <v>5193</v>
      </c>
      <c r="C173" t="s">
        <v>3244</v>
      </c>
      <c r="D173" s="1" t="s">
        <v>4101</v>
      </c>
      <c r="E173" t="b">
        <v>0</v>
      </c>
      <c r="F173">
        <v>555</v>
      </c>
      <c r="G173">
        <v>327</v>
      </c>
      <c r="H173" t="s">
        <v>11</v>
      </c>
      <c r="I173" t="b" cm="1">
        <f t="array" ref="I173">isDup(B173,B174, 0.7)</f>
        <v>0</v>
      </c>
    </row>
    <row r="174" spans="1:9" ht="34" x14ac:dyDescent="0.2">
      <c r="A174" t="s">
        <v>6895</v>
      </c>
      <c r="B174" s="1" t="s">
        <v>6896</v>
      </c>
      <c r="C174" t="s">
        <v>6404</v>
      </c>
      <c r="D174" s="1" t="s">
        <v>2</v>
      </c>
      <c r="E174" t="b">
        <v>0</v>
      </c>
      <c r="F174">
        <v>11</v>
      </c>
      <c r="G174">
        <v>425</v>
      </c>
      <c r="H174" t="s">
        <v>11</v>
      </c>
      <c r="I174" t="b" cm="1">
        <f t="array" ref="I174">isDup(B174,B175, 0.7)</f>
        <v>0</v>
      </c>
    </row>
    <row r="175" spans="1:9" ht="17" x14ac:dyDescent="0.2">
      <c r="A175" t="s">
        <v>6636</v>
      </c>
      <c r="B175" s="1" t="s">
        <v>6637</v>
      </c>
      <c r="C175" t="s">
        <v>45</v>
      </c>
      <c r="D175" s="1" t="s">
        <v>2</v>
      </c>
      <c r="E175" t="b">
        <v>0</v>
      </c>
      <c r="F175">
        <v>23</v>
      </c>
      <c r="G175">
        <v>47</v>
      </c>
      <c r="H175" t="s">
        <v>11</v>
      </c>
      <c r="I175" t="b" cm="1">
        <f t="array" ref="I175">isDup(B175,B176, 0.7)</f>
        <v>0</v>
      </c>
    </row>
    <row r="176" spans="1:9" ht="34" x14ac:dyDescent="0.2">
      <c r="A176" t="s">
        <v>4222</v>
      </c>
      <c r="B176" s="1" t="s">
        <v>4223</v>
      </c>
      <c r="C176" t="s">
        <v>1687</v>
      </c>
      <c r="D176" s="1" t="s">
        <v>2</v>
      </c>
      <c r="E176" t="b">
        <v>0</v>
      </c>
      <c r="F176">
        <v>201</v>
      </c>
      <c r="G176">
        <v>687</v>
      </c>
      <c r="H176" t="s">
        <v>31</v>
      </c>
      <c r="I176" t="b" cm="1">
        <f t="array" ref="I176">isDup(B176,B177, 0.7)</f>
        <v>0</v>
      </c>
    </row>
    <row r="177" spans="1:9" ht="17" x14ac:dyDescent="0.2">
      <c r="A177" t="s">
        <v>1516</v>
      </c>
      <c r="B177" s="1" t="s">
        <v>1517</v>
      </c>
      <c r="C177" t="s">
        <v>1518</v>
      </c>
      <c r="D177" s="1" t="s">
        <v>2</v>
      </c>
      <c r="E177" t="b">
        <v>0</v>
      </c>
      <c r="F177">
        <v>763</v>
      </c>
      <c r="G177">
        <v>30</v>
      </c>
      <c r="H177" t="s">
        <v>11</v>
      </c>
      <c r="I177" t="b" cm="1">
        <f t="array" ref="I177">isDup(B177,B178, 0.7)</f>
        <v>0</v>
      </c>
    </row>
    <row r="178" spans="1:9" ht="17" x14ac:dyDescent="0.2">
      <c r="A178" t="s">
        <v>2868</v>
      </c>
      <c r="B178" s="1" t="s">
        <v>2869</v>
      </c>
      <c r="C178" t="s">
        <v>319</v>
      </c>
      <c r="D178" s="1" t="s">
        <v>2870</v>
      </c>
      <c r="E178" t="b">
        <v>0</v>
      </c>
      <c r="F178">
        <v>248</v>
      </c>
      <c r="G178">
        <v>689</v>
      </c>
      <c r="H178" t="s">
        <v>11</v>
      </c>
      <c r="I178" t="b" cm="1">
        <f t="array" ref="I178">isDup(B178,B179, 0.7)</f>
        <v>0</v>
      </c>
    </row>
    <row r="179" spans="1:9" ht="17" x14ac:dyDescent="0.2">
      <c r="A179" t="s">
        <v>5712</v>
      </c>
      <c r="B179" s="1" t="s">
        <v>5713</v>
      </c>
      <c r="C179" t="s">
        <v>649</v>
      </c>
      <c r="D179" s="1" t="s">
        <v>2</v>
      </c>
      <c r="E179" t="b">
        <v>0</v>
      </c>
      <c r="F179">
        <v>38</v>
      </c>
      <c r="G179">
        <v>14</v>
      </c>
      <c r="H179" t="s">
        <v>31</v>
      </c>
      <c r="I179" t="b" cm="1">
        <f t="array" ref="I179">isDup(B179,B180, 0.7)</f>
        <v>0</v>
      </c>
    </row>
    <row r="180" spans="1:9" ht="34" x14ac:dyDescent="0.2">
      <c r="A180" t="s">
        <v>4878</v>
      </c>
      <c r="B180" s="1" t="s">
        <v>4879</v>
      </c>
      <c r="C180" t="s">
        <v>3160</v>
      </c>
      <c r="D180" s="1" t="s">
        <v>3161</v>
      </c>
      <c r="E180" t="b">
        <v>0</v>
      </c>
      <c r="F180">
        <v>67</v>
      </c>
      <c r="G180">
        <v>96</v>
      </c>
      <c r="H180" t="s">
        <v>11</v>
      </c>
      <c r="I180" t="b" cm="1">
        <f t="array" ref="I180">isDup(B180,B181, 0.7)</f>
        <v>0</v>
      </c>
    </row>
    <row r="181" spans="1:9" ht="17" x14ac:dyDescent="0.2">
      <c r="A181" t="s">
        <v>6807</v>
      </c>
      <c r="B181" s="1" t="s">
        <v>6808</v>
      </c>
      <c r="C181" t="s">
        <v>995</v>
      </c>
      <c r="D181" s="1" t="s">
        <v>2</v>
      </c>
      <c r="E181" t="b">
        <v>0</v>
      </c>
      <c r="F181">
        <v>162</v>
      </c>
      <c r="G181">
        <v>516</v>
      </c>
      <c r="H181" t="s">
        <v>11</v>
      </c>
      <c r="I181" t="b" cm="1">
        <f t="array" ref="I181">isDup(B181,B182, 0.7)</f>
        <v>0</v>
      </c>
    </row>
    <row r="182" spans="1:9" ht="34" x14ac:dyDescent="0.2">
      <c r="A182" t="s">
        <v>758</v>
      </c>
      <c r="B182" s="1" t="s">
        <v>759</v>
      </c>
      <c r="C182" t="s">
        <v>760</v>
      </c>
      <c r="D182" s="1" t="s">
        <v>2</v>
      </c>
      <c r="E182" t="b">
        <v>0</v>
      </c>
      <c r="F182">
        <v>142</v>
      </c>
      <c r="G182">
        <v>133</v>
      </c>
      <c r="H182" t="s">
        <v>641</v>
      </c>
      <c r="I182" t="b" cm="1">
        <f t="array" ref="I182">isDup(B182,B183, 0.7)</f>
        <v>0</v>
      </c>
    </row>
    <row r="183" spans="1:9" ht="17" x14ac:dyDescent="0.2">
      <c r="A183" t="s">
        <v>2490</v>
      </c>
      <c r="B183" s="1" t="s">
        <v>2491</v>
      </c>
      <c r="C183" t="s">
        <v>584</v>
      </c>
      <c r="D183" s="1" t="s">
        <v>2483</v>
      </c>
      <c r="E183" t="b">
        <v>0</v>
      </c>
      <c r="F183">
        <v>894</v>
      </c>
      <c r="G183">
        <v>1968</v>
      </c>
      <c r="H183" t="s">
        <v>11</v>
      </c>
      <c r="I183" t="b" cm="1">
        <f t="array" ref="I183">isDup(B183,B184, 0.7)</f>
        <v>0</v>
      </c>
    </row>
    <row r="184" spans="1:9" ht="17" x14ac:dyDescent="0.2">
      <c r="A184" t="s">
        <v>6625</v>
      </c>
      <c r="B184" s="1" t="s">
        <v>6626</v>
      </c>
      <c r="C184" t="s">
        <v>587</v>
      </c>
      <c r="D184" s="1" t="s">
        <v>6627</v>
      </c>
      <c r="E184" t="b">
        <v>0</v>
      </c>
      <c r="F184">
        <v>492</v>
      </c>
      <c r="G184">
        <v>153</v>
      </c>
      <c r="H184" t="s">
        <v>11</v>
      </c>
      <c r="I184" t="b" cm="1">
        <f t="array" ref="I184">isDup(B184,B185, 0.7)</f>
        <v>0</v>
      </c>
    </row>
    <row r="185" spans="1:9" ht="17" x14ac:dyDescent="0.2">
      <c r="A185" t="s">
        <v>123</v>
      </c>
      <c r="B185" s="1" t="s">
        <v>124</v>
      </c>
      <c r="C185" t="s">
        <v>125</v>
      </c>
      <c r="D185" s="1" t="s">
        <v>126</v>
      </c>
      <c r="E185" t="b">
        <v>0</v>
      </c>
      <c r="F185">
        <v>40</v>
      </c>
      <c r="G185">
        <v>145</v>
      </c>
      <c r="H185" t="s">
        <v>11</v>
      </c>
      <c r="I185" t="b" cm="1">
        <f t="array" ref="I185">isDup(B185,B186, 0.7)</f>
        <v>0</v>
      </c>
    </row>
    <row r="186" spans="1:9" ht="34" x14ac:dyDescent="0.2">
      <c r="A186" t="s">
        <v>1051</v>
      </c>
      <c r="B186" s="1" t="s">
        <v>1052</v>
      </c>
      <c r="C186" t="s">
        <v>1053</v>
      </c>
      <c r="D186" s="1" t="s">
        <v>2</v>
      </c>
      <c r="E186" t="b">
        <v>0</v>
      </c>
      <c r="F186">
        <v>2</v>
      </c>
      <c r="G186">
        <v>23</v>
      </c>
      <c r="H186" t="s">
        <v>11</v>
      </c>
      <c r="I186" t="b" cm="1">
        <f t="array" ref="I186">isDup(B186,B187, 0.7)</f>
        <v>0</v>
      </c>
    </row>
    <row r="187" spans="1:9" ht="34" x14ac:dyDescent="0.2">
      <c r="A187" t="s">
        <v>6177</v>
      </c>
      <c r="B187" s="1" t="s">
        <v>6178</v>
      </c>
      <c r="C187" t="s">
        <v>2533</v>
      </c>
      <c r="D187" s="1" t="s">
        <v>2276</v>
      </c>
      <c r="E187" t="b">
        <v>0</v>
      </c>
      <c r="F187">
        <v>272</v>
      </c>
      <c r="G187">
        <v>475</v>
      </c>
      <c r="H187" t="s">
        <v>11</v>
      </c>
      <c r="I187" t="b" cm="1">
        <f t="array" ref="I187">isDup(B187,B188, 0.7)</f>
        <v>0</v>
      </c>
    </row>
    <row r="188" spans="1:9" ht="17" x14ac:dyDescent="0.2">
      <c r="A188" t="s">
        <v>5745</v>
      </c>
      <c r="B188" s="1" t="s">
        <v>5746</v>
      </c>
      <c r="C188" t="s">
        <v>894</v>
      </c>
      <c r="D188" s="1" t="s">
        <v>2</v>
      </c>
      <c r="E188" t="b">
        <v>0</v>
      </c>
      <c r="F188">
        <v>81108</v>
      </c>
      <c r="G188">
        <v>872</v>
      </c>
      <c r="H188" t="s">
        <v>11</v>
      </c>
      <c r="I188" t="b" cm="1">
        <f t="array" ref="I188">isDup(B188,B189, 0.7)</f>
        <v>0</v>
      </c>
    </row>
    <row r="189" spans="1:9" ht="17" x14ac:dyDescent="0.2">
      <c r="A189" t="s">
        <v>997</v>
      </c>
      <c r="B189" s="1" t="s">
        <v>998</v>
      </c>
      <c r="C189" t="s">
        <v>406</v>
      </c>
      <c r="D189" s="1" t="s">
        <v>999</v>
      </c>
      <c r="E189" t="b">
        <v>0</v>
      </c>
      <c r="F189">
        <v>489</v>
      </c>
      <c r="G189">
        <v>528</v>
      </c>
      <c r="H189" t="s">
        <v>11</v>
      </c>
      <c r="I189" t="b" cm="1">
        <f t="array" ref="I189">isDup(B189,B190, 0.7)</f>
        <v>0</v>
      </c>
    </row>
    <row r="190" spans="1:9" ht="34" x14ac:dyDescent="0.2">
      <c r="A190" t="s">
        <v>5259</v>
      </c>
      <c r="B190" s="1" t="s">
        <v>5260</v>
      </c>
      <c r="C190" t="s">
        <v>5261</v>
      </c>
      <c r="D190" s="1" t="s">
        <v>562</v>
      </c>
      <c r="E190" t="b">
        <v>0</v>
      </c>
      <c r="F190">
        <v>6</v>
      </c>
      <c r="G190">
        <v>172</v>
      </c>
      <c r="H190" t="s">
        <v>11</v>
      </c>
      <c r="I190" t="b" cm="1">
        <f t="array" ref="I190">isDup(B190,B191, 0.7)</f>
        <v>0</v>
      </c>
    </row>
    <row r="191" spans="1:9" ht="17" x14ac:dyDescent="0.2">
      <c r="A191" t="s">
        <v>5545</v>
      </c>
      <c r="B191" s="1" t="s">
        <v>5546</v>
      </c>
      <c r="C191" t="s">
        <v>908</v>
      </c>
      <c r="D191" s="1" t="s">
        <v>5547</v>
      </c>
      <c r="E191" t="b">
        <v>0</v>
      </c>
      <c r="F191">
        <v>177</v>
      </c>
      <c r="G191">
        <v>284</v>
      </c>
      <c r="H191" t="s">
        <v>11</v>
      </c>
      <c r="I191" t="b" cm="1">
        <f t="array" ref="I191">isDup(B191,B192, 0.7)</f>
        <v>0</v>
      </c>
    </row>
    <row r="192" spans="1:9" ht="34" x14ac:dyDescent="0.2">
      <c r="A192" t="s">
        <v>6900</v>
      </c>
      <c r="B192" s="1" t="s">
        <v>6901</v>
      </c>
      <c r="C192" t="s">
        <v>4963</v>
      </c>
      <c r="D192" s="1" t="s">
        <v>6902</v>
      </c>
      <c r="E192" t="b">
        <v>0</v>
      </c>
      <c r="F192">
        <v>2835</v>
      </c>
      <c r="G192">
        <v>3547</v>
      </c>
      <c r="H192" t="s">
        <v>11</v>
      </c>
      <c r="I192" t="b" cm="1">
        <f t="array" ref="I192">isDup(B192,B193, 0.7)</f>
        <v>0</v>
      </c>
    </row>
    <row r="193" spans="1:9" ht="17" x14ac:dyDescent="0.2">
      <c r="A193" t="s">
        <v>647</v>
      </c>
      <c r="B193" s="1" t="s">
        <v>648</v>
      </c>
      <c r="C193" t="s">
        <v>649</v>
      </c>
      <c r="D193" s="1" t="s">
        <v>2</v>
      </c>
      <c r="E193" t="b">
        <v>0</v>
      </c>
      <c r="F193">
        <v>37</v>
      </c>
      <c r="G193">
        <v>14</v>
      </c>
      <c r="H193" t="s">
        <v>31</v>
      </c>
      <c r="I193" t="b" cm="1">
        <f t="array" ref="I193">isDup(B193,B194, 0.7)</f>
        <v>0</v>
      </c>
    </row>
    <row r="194" spans="1:9" ht="17" x14ac:dyDescent="0.2">
      <c r="A194" t="s">
        <v>6100</v>
      </c>
      <c r="B194" s="1" t="s">
        <v>6101</v>
      </c>
      <c r="C194" t="s">
        <v>3345</v>
      </c>
      <c r="D194" s="1" t="s">
        <v>6102</v>
      </c>
      <c r="E194" t="b">
        <v>0</v>
      </c>
      <c r="F194">
        <v>20</v>
      </c>
      <c r="G194">
        <v>63</v>
      </c>
      <c r="H194" t="s">
        <v>11</v>
      </c>
      <c r="I194" t="b" cm="1">
        <f t="array" ref="I194">isDup(B194,B195, 0.7)</f>
        <v>0</v>
      </c>
    </row>
    <row r="195" spans="1:9" ht="34" x14ac:dyDescent="0.2">
      <c r="A195" t="s">
        <v>6307</v>
      </c>
      <c r="B195" s="1" t="s">
        <v>6308</v>
      </c>
      <c r="C195" t="s">
        <v>82</v>
      </c>
      <c r="D195" s="1" t="s">
        <v>2</v>
      </c>
      <c r="E195" t="b">
        <v>0</v>
      </c>
      <c r="F195">
        <v>766</v>
      </c>
      <c r="G195">
        <v>823</v>
      </c>
      <c r="H195" t="s">
        <v>11</v>
      </c>
      <c r="I195" t="b" cm="1">
        <f t="array" ref="I195">isDup(B195,B196, 0.7)</f>
        <v>0</v>
      </c>
    </row>
    <row r="196" spans="1:9" ht="17" x14ac:dyDescent="0.2">
      <c r="A196" t="s">
        <v>163</v>
      </c>
      <c r="B196" s="1" t="s">
        <v>164</v>
      </c>
      <c r="C196" t="s">
        <v>157</v>
      </c>
      <c r="D196" s="1" t="s">
        <v>158</v>
      </c>
      <c r="E196" t="b">
        <v>0</v>
      </c>
      <c r="F196">
        <v>134</v>
      </c>
      <c r="G196">
        <v>57</v>
      </c>
      <c r="H196" t="s">
        <v>11</v>
      </c>
      <c r="I196" t="b" cm="1">
        <f t="array" ref="I196">isDup(B196,B197, 0.7)</f>
        <v>0</v>
      </c>
    </row>
    <row r="197" spans="1:9" ht="17" x14ac:dyDescent="0.2">
      <c r="A197" t="s">
        <v>1493</v>
      </c>
      <c r="B197" s="1" t="s">
        <v>1494</v>
      </c>
      <c r="C197" t="s">
        <v>1495</v>
      </c>
      <c r="D197" s="1" t="s">
        <v>1496</v>
      </c>
      <c r="E197" t="b">
        <v>0</v>
      </c>
      <c r="F197">
        <v>654</v>
      </c>
      <c r="G197">
        <v>162</v>
      </c>
      <c r="H197" t="s">
        <v>11</v>
      </c>
      <c r="I197" t="b" cm="1">
        <f t="array" ref="I197">isDup(B197,B198, 0.7)</f>
        <v>0</v>
      </c>
    </row>
    <row r="198" spans="1:9" ht="17" x14ac:dyDescent="0.2">
      <c r="A198" t="s">
        <v>2204</v>
      </c>
      <c r="B198" s="1" t="s">
        <v>2205</v>
      </c>
      <c r="C198" t="s">
        <v>935</v>
      </c>
      <c r="D198" s="1" t="s">
        <v>168</v>
      </c>
      <c r="E198" t="b">
        <v>0</v>
      </c>
      <c r="F198">
        <v>596</v>
      </c>
      <c r="G198">
        <v>1244</v>
      </c>
      <c r="H198" t="s">
        <v>11</v>
      </c>
      <c r="I198" t="b" cm="1">
        <f t="array" ref="I198">isDup(B198,B199, 0.7)</f>
        <v>0</v>
      </c>
    </row>
    <row r="199" spans="1:9" ht="17" x14ac:dyDescent="0.2">
      <c r="A199" t="s">
        <v>6538</v>
      </c>
      <c r="B199" s="1" t="s">
        <v>6539</v>
      </c>
      <c r="C199" t="s">
        <v>1866</v>
      </c>
      <c r="D199" s="1" t="s">
        <v>6540</v>
      </c>
      <c r="E199" t="b">
        <v>0</v>
      </c>
      <c r="F199">
        <v>23</v>
      </c>
      <c r="G199">
        <v>18</v>
      </c>
      <c r="H199" t="s">
        <v>110</v>
      </c>
      <c r="I199" t="b" cm="1">
        <f t="array" ref="I199">isDup(B199,B200, 0.7)</f>
        <v>0</v>
      </c>
    </row>
    <row r="200" spans="1:9" ht="17" x14ac:dyDescent="0.2">
      <c r="A200" t="s">
        <v>277</v>
      </c>
      <c r="B200" s="1" t="s">
        <v>278</v>
      </c>
      <c r="C200" t="s">
        <v>279</v>
      </c>
      <c r="D200" s="1" t="s">
        <v>2</v>
      </c>
      <c r="E200" t="b">
        <v>0</v>
      </c>
      <c r="F200">
        <v>189</v>
      </c>
      <c r="G200">
        <v>91</v>
      </c>
      <c r="H200" t="s">
        <v>11</v>
      </c>
      <c r="I200" t="b" cm="1">
        <f t="array" ref="I200">isDup(B200,B201, 0.7)</f>
        <v>0</v>
      </c>
    </row>
    <row r="201" spans="1:9" ht="34" x14ac:dyDescent="0.2">
      <c r="A201" t="s">
        <v>6266</v>
      </c>
      <c r="B201" s="1" t="s">
        <v>6268</v>
      </c>
      <c r="C201" t="s">
        <v>6227</v>
      </c>
      <c r="D201" s="1" t="s">
        <v>2</v>
      </c>
      <c r="E201" t="b">
        <v>0</v>
      </c>
      <c r="F201">
        <v>8</v>
      </c>
      <c r="G201">
        <v>230</v>
      </c>
      <c r="H201" t="s">
        <v>11</v>
      </c>
      <c r="I201" t="b" cm="1">
        <f t="array" ref="I201">isDup(B201,B202, 0.7)</f>
        <v>0</v>
      </c>
    </row>
    <row r="202" spans="1:9" ht="17" x14ac:dyDescent="0.2">
      <c r="A202" t="s">
        <v>4769</v>
      </c>
      <c r="B202" s="1" t="s">
        <v>4770</v>
      </c>
      <c r="C202" t="s">
        <v>2749</v>
      </c>
      <c r="D202" s="1" t="s">
        <v>1264</v>
      </c>
      <c r="E202" t="b">
        <v>0</v>
      </c>
      <c r="F202">
        <v>0</v>
      </c>
      <c r="G202">
        <v>33</v>
      </c>
      <c r="H202" t="s">
        <v>359</v>
      </c>
      <c r="I202" t="b" cm="1">
        <f t="array" ref="I202">isDup(B202,B203, 0.7)</f>
        <v>0</v>
      </c>
    </row>
    <row r="203" spans="1:9" ht="34" x14ac:dyDescent="0.2">
      <c r="A203" t="s">
        <v>43</v>
      </c>
      <c r="B203" s="1" t="s">
        <v>44</v>
      </c>
      <c r="C203" t="s">
        <v>45</v>
      </c>
      <c r="D203" s="1" t="s">
        <v>46</v>
      </c>
      <c r="E203" t="b">
        <v>0</v>
      </c>
      <c r="F203">
        <v>1373</v>
      </c>
      <c r="G203">
        <v>312</v>
      </c>
      <c r="H203" t="s">
        <v>47</v>
      </c>
      <c r="I203" t="b" cm="1">
        <f t="array" ref="I203">isDup(B203,B204, 0.7)</f>
        <v>0</v>
      </c>
    </row>
    <row r="204" spans="1:9" ht="17" x14ac:dyDescent="0.2">
      <c r="A204" t="s">
        <v>5127</v>
      </c>
      <c r="B204" s="1" t="s">
        <v>5128</v>
      </c>
      <c r="C204" t="s">
        <v>219</v>
      </c>
      <c r="D204" s="1" t="s">
        <v>2</v>
      </c>
      <c r="E204" t="b">
        <v>0</v>
      </c>
      <c r="F204">
        <v>9</v>
      </c>
      <c r="G204">
        <v>41</v>
      </c>
      <c r="H204" t="s">
        <v>11</v>
      </c>
      <c r="I204" t="b" cm="1">
        <f t="array" ref="I204">isDup(B204,B205, 0.7)</f>
        <v>0</v>
      </c>
    </row>
    <row r="205" spans="1:9" ht="34" x14ac:dyDescent="0.2">
      <c r="A205" t="s">
        <v>7129</v>
      </c>
      <c r="B205" s="1" t="s">
        <v>7130</v>
      </c>
      <c r="C205" t="s">
        <v>7131</v>
      </c>
      <c r="D205" s="1" t="s">
        <v>7132</v>
      </c>
      <c r="E205" t="b">
        <v>0</v>
      </c>
      <c r="F205">
        <v>726</v>
      </c>
      <c r="G205">
        <v>715</v>
      </c>
      <c r="H205" t="s">
        <v>11</v>
      </c>
      <c r="I205" t="b" cm="1">
        <f t="array" ref="I205">isDup(B205,B206, 0.7)</f>
        <v>0</v>
      </c>
    </row>
    <row r="206" spans="1:9" ht="17" x14ac:dyDescent="0.2">
      <c r="A206" t="s">
        <v>1633</v>
      </c>
      <c r="B206" s="1" t="s">
        <v>1634</v>
      </c>
      <c r="C206" t="s">
        <v>1635</v>
      </c>
      <c r="D206" s="1" t="s">
        <v>1636</v>
      </c>
      <c r="E206" t="b">
        <v>0</v>
      </c>
      <c r="F206">
        <v>85</v>
      </c>
      <c r="G206">
        <v>113</v>
      </c>
      <c r="H206" t="s">
        <v>11</v>
      </c>
      <c r="I206" t="b" cm="1">
        <f t="array" ref="I206">isDup(B206,B207, 0.7)</f>
        <v>0</v>
      </c>
    </row>
    <row r="207" spans="1:9" ht="17" x14ac:dyDescent="0.2">
      <c r="A207" t="s">
        <v>69</v>
      </c>
      <c r="B207" s="1" t="s">
        <v>70</v>
      </c>
      <c r="C207" t="s">
        <v>71</v>
      </c>
      <c r="D207" s="1" t="s">
        <v>72</v>
      </c>
      <c r="E207" t="b">
        <v>0</v>
      </c>
      <c r="F207">
        <v>24</v>
      </c>
      <c r="G207">
        <v>118</v>
      </c>
      <c r="H207" t="s">
        <v>73</v>
      </c>
      <c r="I207" t="b" cm="1">
        <f t="array" ref="I207">isDup(B207,B208, 0.7)</f>
        <v>0</v>
      </c>
    </row>
    <row r="208" spans="1:9" ht="34" x14ac:dyDescent="0.2">
      <c r="A208" t="s">
        <v>5709</v>
      </c>
      <c r="B208" s="1" t="s">
        <v>5710</v>
      </c>
      <c r="C208" t="s">
        <v>1324</v>
      </c>
      <c r="D208" s="1" t="s">
        <v>5711</v>
      </c>
      <c r="E208" t="b">
        <v>0</v>
      </c>
      <c r="F208">
        <v>48</v>
      </c>
      <c r="G208">
        <v>122</v>
      </c>
      <c r="H208" t="s">
        <v>11</v>
      </c>
      <c r="I208" t="b" cm="1">
        <f t="array" ref="I208">isDup(B208,B209, 0.7)</f>
        <v>0</v>
      </c>
    </row>
    <row r="209" spans="1:9" ht="17" x14ac:dyDescent="0.2">
      <c r="A209" t="s">
        <v>2198</v>
      </c>
      <c r="B209" s="1" t="s">
        <v>2199</v>
      </c>
      <c r="C209" t="s">
        <v>2200</v>
      </c>
      <c r="D209" s="1" t="s">
        <v>2</v>
      </c>
      <c r="E209" t="b">
        <v>0</v>
      </c>
      <c r="F209">
        <v>2620</v>
      </c>
      <c r="G209">
        <v>3041</v>
      </c>
      <c r="H209" t="s">
        <v>3</v>
      </c>
      <c r="I209" t="b" cm="1">
        <f t="array" ref="I209">isDup(B209,B210, 0.7)</f>
        <v>0</v>
      </c>
    </row>
    <row r="210" spans="1:9" ht="17" x14ac:dyDescent="0.2">
      <c r="A210" t="s">
        <v>1344</v>
      </c>
      <c r="B210" s="1" t="s">
        <v>1345</v>
      </c>
      <c r="C210" t="s">
        <v>891</v>
      </c>
      <c r="D210" s="1" t="s">
        <v>2</v>
      </c>
      <c r="E210" t="b">
        <v>0</v>
      </c>
      <c r="F210">
        <v>1565</v>
      </c>
      <c r="G210">
        <v>5001</v>
      </c>
      <c r="H210" t="s">
        <v>11</v>
      </c>
      <c r="I210" t="b" cm="1">
        <f t="array" ref="I210">isDup(B210,B211, 0.7)</f>
        <v>0</v>
      </c>
    </row>
    <row r="211" spans="1:9" ht="17" x14ac:dyDescent="0.2">
      <c r="A211" t="s">
        <v>1318</v>
      </c>
      <c r="B211" s="1" t="s">
        <v>1319</v>
      </c>
      <c r="C211" t="s">
        <v>1320</v>
      </c>
      <c r="D211" s="1" t="s">
        <v>1321</v>
      </c>
      <c r="E211" t="b">
        <v>0</v>
      </c>
      <c r="F211">
        <v>25</v>
      </c>
      <c r="G211">
        <v>191</v>
      </c>
      <c r="H211" t="s">
        <v>73</v>
      </c>
      <c r="I211" t="b" cm="1">
        <f t="array" ref="I211">isDup(B211,B212, 0.7)</f>
        <v>0</v>
      </c>
    </row>
    <row r="212" spans="1:9" ht="34" x14ac:dyDescent="0.2">
      <c r="A212" t="s">
        <v>3010</v>
      </c>
      <c r="B212" s="1" t="s">
        <v>3011</v>
      </c>
      <c r="C212" t="s">
        <v>1095</v>
      </c>
      <c r="D212" s="1" t="s">
        <v>3012</v>
      </c>
      <c r="E212" t="b">
        <v>0</v>
      </c>
      <c r="F212">
        <v>2766</v>
      </c>
      <c r="G212">
        <v>3889</v>
      </c>
      <c r="H212" t="s">
        <v>11</v>
      </c>
      <c r="I212" t="b" cm="1">
        <f t="array" ref="I212">isDup(B212,B213, 0.7)</f>
        <v>0</v>
      </c>
    </row>
    <row r="213" spans="1:9" ht="17" x14ac:dyDescent="0.2">
      <c r="A213" t="s">
        <v>6748</v>
      </c>
      <c r="B213" s="1" t="s">
        <v>6749</v>
      </c>
      <c r="C213" t="s">
        <v>3365</v>
      </c>
      <c r="D213" s="1" t="s">
        <v>3366</v>
      </c>
      <c r="E213" t="b">
        <v>0</v>
      </c>
      <c r="F213">
        <v>43</v>
      </c>
      <c r="G213">
        <v>38</v>
      </c>
      <c r="H213" t="s">
        <v>11</v>
      </c>
      <c r="I213" t="b" cm="1">
        <f t="array" ref="I213">isDup(B213,B214, 0.7)</f>
        <v>0</v>
      </c>
    </row>
    <row r="214" spans="1:9" ht="34" x14ac:dyDescent="0.2">
      <c r="A214" t="s">
        <v>4520</v>
      </c>
      <c r="B214" s="1" t="s">
        <v>4521</v>
      </c>
      <c r="C214" t="s">
        <v>992</v>
      </c>
      <c r="D214" s="1" t="s">
        <v>2</v>
      </c>
      <c r="E214" t="b">
        <v>0</v>
      </c>
      <c r="F214">
        <v>73</v>
      </c>
      <c r="G214">
        <v>419</v>
      </c>
      <c r="H214" t="s">
        <v>11</v>
      </c>
      <c r="I214" t="b" cm="1">
        <f t="array" ref="I214">isDup(B214,B215, 0.7)</f>
        <v>0</v>
      </c>
    </row>
    <row r="215" spans="1:9" ht="17" x14ac:dyDescent="0.2">
      <c r="A215" t="s">
        <v>5555</v>
      </c>
      <c r="B215" s="1" t="s">
        <v>5556</v>
      </c>
      <c r="C215" t="s">
        <v>5557</v>
      </c>
      <c r="D215" s="1" t="s">
        <v>2</v>
      </c>
      <c r="E215" t="b">
        <v>0</v>
      </c>
      <c r="F215">
        <v>49</v>
      </c>
      <c r="G215">
        <v>161</v>
      </c>
      <c r="H215" t="s">
        <v>11</v>
      </c>
      <c r="I215" t="b" cm="1">
        <f t="array" ref="I215">isDup(B215,B216, 0.7)</f>
        <v>0</v>
      </c>
    </row>
    <row r="216" spans="1:9" ht="34" x14ac:dyDescent="0.2">
      <c r="A216" t="s">
        <v>4638</v>
      </c>
      <c r="B216" s="1" t="s">
        <v>4639</v>
      </c>
      <c r="C216" t="s">
        <v>136</v>
      </c>
      <c r="D216" s="1" t="s">
        <v>4640</v>
      </c>
      <c r="E216" t="b">
        <v>0</v>
      </c>
      <c r="F216">
        <v>1256</v>
      </c>
      <c r="G216">
        <v>376</v>
      </c>
      <c r="H216" t="s">
        <v>11</v>
      </c>
      <c r="I216" t="b" cm="1">
        <f t="array" ref="I216">isDup(B216,B217, 0.7)</f>
        <v>0</v>
      </c>
    </row>
    <row r="217" spans="1:9" ht="17" x14ac:dyDescent="0.2">
      <c r="A217" t="s">
        <v>4140</v>
      </c>
      <c r="B217" s="1" t="s">
        <v>4141</v>
      </c>
      <c r="C217" t="s">
        <v>4142</v>
      </c>
      <c r="D217" s="1" t="s">
        <v>4143</v>
      </c>
      <c r="E217" t="b">
        <v>0</v>
      </c>
      <c r="F217">
        <v>106</v>
      </c>
      <c r="G217">
        <v>330</v>
      </c>
      <c r="H217" t="s">
        <v>11</v>
      </c>
      <c r="I217" t="b" cm="1">
        <f t="array" ref="I217">isDup(B217,B218, 0.7)</f>
        <v>0</v>
      </c>
    </row>
    <row r="218" spans="1:9" ht="17" x14ac:dyDescent="0.2">
      <c r="A218" t="s">
        <v>6670</v>
      </c>
      <c r="B218" s="1" t="s">
        <v>6671</v>
      </c>
      <c r="C218" t="s">
        <v>189</v>
      </c>
      <c r="D218" s="1" t="s">
        <v>190</v>
      </c>
      <c r="E218" t="b">
        <v>0</v>
      </c>
      <c r="F218">
        <v>1181</v>
      </c>
      <c r="G218">
        <v>767</v>
      </c>
      <c r="H218" t="s">
        <v>11</v>
      </c>
      <c r="I218" t="b" cm="1">
        <f t="array" ref="I218">isDup(B218,B219, 0.7)</f>
        <v>0</v>
      </c>
    </row>
    <row r="219" spans="1:9" ht="17" x14ac:dyDescent="0.2">
      <c r="A219" t="s">
        <v>5042</v>
      </c>
      <c r="B219" s="1" t="s">
        <v>5043</v>
      </c>
      <c r="C219" t="s">
        <v>726</v>
      </c>
      <c r="D219" s="1" t="s">
        <v>5044</v>
      </c>
      <c r="E219" t="b">
        <v>0</v>
      </c>
      <c r="F219">
        <v>590</v>
      </c>
      <c r="G219">
        <v>1051</v>
      </c>
      <c r="H219" t="s">
        <v>11</v>
      </c>
      <c r="I219" t="b" cm="1">
        <f t="array" ref="I219">isDup(B219,B220, 0.7)</f>
        <v>0</v>
      </c>
    </row>
    <row r="220" spans="1:9" ht="34" x14ac:dyDescent="0.2">
      <c r="A220" t="s">
        <v>5506</v>
      </c>
      <c r="B220" s="1" t="s">
        <v>5507</v>
      </c>
      <c r="C220" t="s">
        <v>5508</v>
      </c>
      <c r="D220" s="1" t="s">
        <v>2</v>
      </c>
      <c r="E220" t="b">
        <v>0</v>
      </c>
      <c r="F220">
        <v>7</v>
      </c>
      <c r="G220">
        <v>56</v>
      </c>
      <c r="H220" t="s">
        <v>11</v>
      </c>
      <c r="I220" t="b" cm="1">
        <f t="array" ref="I220">isDup(B220,B221, 0.7)</f>
        <v>0</v>
      </c>
    </row>
    <row r="221" spans="1:9" ht="17" x14ac:dyDescent="0.2">
      <c r="A221" t="s">
        <v>2585</v>
      </c>
      <c r="B221" s="1" t="s">
        <v>2586</v>
      </c>
      <c r="C221" t="s">
        <v>1086</v>
      </c>
      <c r="D221" s="1" t="s">
        <v>2272</v>
      </c>
      <c r="E221" t="b">
        <v>0</v>
      </c>
      <c r="F221">
        <v>54</v>
      </c>
      <c r="G221">
        <v>150</v>
      </c>
      <c r="H221" t="s">
        <v>11</v>
      </c>
      <c r="I221" t="b" cm="1">
        <f t="array" ref="I221">isDup(B221,B222, 0.7)</f>
        <v>0</v>
      </c>
    </row>
    <row r="222" spans="1:9" ht="17" x14ac:dyDescent="0.2">
      <c r="A222" t="s">
        <v>3647</v>
      </c>
      <c r="B222" s="1" t="s">
        <v>3648</v>
      </c>
      <c r="C222" t="s">
        <v>880</v>
      </c>
      <c r="D222" s="1" t="s">
        <v>105</v>
      </c>
      <c r="E222" t="b">
        <v>0</v>
      </c>
      <c r="F222">
        <v>774</v>
      </c>
      <c r="G222">
        <v>626</v>
      </c>
      <c r="H222" t="s">
        <v>11</v>
      </c>
      <c r="I222" t="b" cm="1">
        <f t="array" ref="I222">isDup(B222,B223, 0.7)</f>
        <v>0</v>
      </c>
    </row>
    <row r="223" spans="1:9" ht="17" x14ac:dyDescent="0.2">
      <c r="A223" t="s">
        <v>6250</v>
      </c>
      <c r="B223" s="1" t="s">
        <v>6251</v>
      </c>
      <c r="C223" t="s">
        <v>5808</v>
      </c>
      <c r="D223" s="1" t="s">
        <v>2</v>
      </c>
      <c r="E223" t="b">
        <v>0</v>
      </c>
      <c r="F223">
        <v>19</v>
      </c>
      <c r="G223">
        <v>60</v>
      </c>
      <c r="H223" t="s">
        <v>11</v>
      </c>
      <c r="I223" t="b" cm="1">
        <f t="array" ref="I223">isDup(B223,B224, 0.7)</f>
        <v>0</v>
      </c>
    </row>
    <row r="224" spans="1:9" ht="34" x14ac:dyDescent="0.2">
      <c r="A224" t="s">
        <v>2709</v>
      </c>
      <c r="B224" s="1" t="s">
        <v>2710</v>
      </c>
      <c r="C224" t="s">
        <v>319</v>
      </c>
      <c r="D224" s="1" t="s">
        <v>2</v>
      </c>
      <c r="E224" t="b">
        <v>0</v>
      </c>
      <c r="F224">
        <v>160</v>
      </c>
      <c r="G224">
        <v>980</v>
      </c>
      <c r="H224" t="s">
        <v>11</v>
      </c>
      <c r="I224" t="b" cm="1">
        <f t="array" ref="I224">isDup(B224,B225, 0.7)</f>
        <v>0</v>
      </c>
    </row>
    <row r="225" spans="1:9" ht="17" x14ac:dyDescent="0.2">
      <c r="A225" t="s">
        <v>5630</v>
      </c>
      <c r="B225" s="1" t="s">
        <v>5631</v>
      </c>
      <c r="C225" t="s">
        <v>5632</v>
      </c>
      <c r="D225" s="1" t="s">
        <v>5633</v>
      </c>
      <c r="E225" t="b">
        <v>0</v>
      </c>
      <c r="F225">
        <v>110</v>
      </c>
      <c r="G225">
        <v>170</v>
      </c>
      <c r="H225" t="s">
        <v>11</v>
      </c>
      <c r="I225" t="b" cm="1">
        <f t="array" ref="I225">isDup(B225,B226, 0.7)</f>
        <v>0</v>
      </c>
    </row>
    <row r="226" spans="1:9" ht="34" x14ac:dyDescent="0.2">
      <c r="A226" t="s">
        <v>5382</v>
      </c>
      <c r="B226" s="1" t="s">
        <v>5383</v>
      </c>
      <c r="C226" t="s">
        <v>1987</v>
      </c>
      <c r="D226" s="1" t="s">
        <v>2</v>
      </c>
      <c r="E226" t="b">
        <v>0</v>
      </c>
      <c r="F226">
        <v>474</v>
      </c>
      <c r="G226">
        <v>913</v>
      </c>
      <c r="H226" t="s">
        <v>11</v>
      </c>
      <c r="I226" t="b" cm="1">
        <f t="array" ref="I226">isDup(B226,B227, 0.7)</f>
        <v>0</v>
      </c>
    </row>
    <row r="227" spans="1:9" ht="34" x14ac:dyDescent="0.2">
      <c r="A227" t="s">
        <v>1828</v>
      </c>
      <c r="B227" s="1" t="s">
        <v>1829</v>
      </c>
      <c r="C227" t="s">
        <v>1031</v>
      </c>
      <c r="D227" s="1" t="s">
        <v>2</v>
      </c>
      <c r="E227" t="b">
        <v>0</v>
      </c>
      <c r="F227">
        <v>24</v>
      </c>
      <c r="G227">
        <v>41</v>
      </c>
      <c r="H227" t="s">
        <v>11</v>
      </c>
      <c r="I227" t="b" cm="1">
        <f t="array" ref="I227">isDup(B227,B228, 0.7)</f>
        <v>0</v>
      </c>
    </row>
    <row r="228" spans="1:9" ht="34" x14ac:dyDescent="0.2">
      <c r="A228" t="s">
        <v>3660</v>
      </c>
      <c r="B228" s="1" t="s">
        <v>3661</v>
      </c>
      <c r="C228" t="s">
        <v>1005</v>
      </c>
      <c r="D228" s="1" t="s">
        <v>2</v>
      </c>
      <c r="E228" t="b">
        <v>0</v>
      </c>
      <c r="F228">
        <v>594</v>
      </c>
      <c r="G228">
        <v>236</v>
      </c>
      <c r="H228" t="s">
        <v>11</v>
      </c>
      <c r="I228" t="b" cm="1">
        <f t="array" ref="I228">isDup(B228,B229, 0.7)</f>
        <v>0</v>
      </c>
    </row>
    <row r="229" spans="1:9" ht="34" x14ac:dyDescent="0.2">
      <c r="A229" t="s">
        <v>2773</v>
      </c>
      <c r="B229" s="1" t="s">
        <v>2774</v>
      </c>
      <c r="C229" t="s">
        <v>938</v>
      </c>
      <c r="D229" s="1" t="s">
        <v>2775</v>
      </c>
      <c r="E229" t="b">
        <v>0</v>
      </c>
      <c r="F229">
        <v>1210</v>
      </c>
      <c r="G229">
        <v>2424</v>
      </c>
      <c r="H229" t="s">
        <v>11</v>
      </c>
      <c r="I229" t="b" cm="1">
        <f t="array" ref="I229">isDup(B229,B230, 0.7)</f>
        <v>0</v>
      </c>
    </row>
    <row r="230" spans="1:9" ht="17" x14ac:dyDescent="0.2">
      <c r="A230" t="s">
        <v>3486</v>
      </c>
      <c r="B230" s="1" t="s">
        <v>3487</v>
      </c>
      <c r="C230" t="s">
        <v>490</v>
      </c>
      <c r="D230" s="1" t="s">
        <v>2</v>
      </c>
      <c r="E230" t="b">
        <v>0</v>
      </c>
      <c r="F230">
        <v>10901</v>
      </c>
      <c r="G230">
        <v>566</v>
      </c>
      <c r="H230" t="s">
        <v>11</v>
      </c>
      <c r="I230" t="b" cm="1">
        <f t="array" ref="I230">isDup(B230,B231, 0.7)</f>
        <v>0</v>
      </c>
    </row>
    <row r="231" spans="1:9" ht="34" x14ac:dyDescent="0.2">
      <c r="A231" t="s">
        <v>4457</v>
      </c>
      <c r="B231" s="1" t="s">
        <v>4458</v>
      </c>
      <c r="C231" t="s">
        <v>4459</v>
      </c>
      <c r="D231" s="1" t="s">
        <v>4460</v>
      </c>
      <c r="E231" t="b">
        <v>0</v>
      </c>
      <c r="F231">
        <v>17</v>
      </c>
      <c r="G231">
        <v>109</v>
      </c>
      <c r="H231" t="s">
        <v>11</v>
      </c>
      <c r="I231" t="b" cm="1">
        <f t="array" ref="I231">isDup(B231,B232, 0.7)</f>
        <v>0</v>
      </c>
    </row>
    <row r="232" spans="1:9" ht="17" x14ac:dyDescent="0.2">
      <c r="A232" t="s">
        <v>1601</v>
      </c>
      <c r="B232" s="1" t="s">
        <v>1602</v>
      </c>
      <c r="C232" t="s">
        <v>234</v>
      </c>
      <c r="D232" s="1" t="s">
        <v>2</v>
      </c>
      <c r="E232" t="b">
        <v>0</v>
      </c>
      <c r="F232">
        <v>4336</v>
      </c>
      <c r="G232">
        <v>3251</v>
      </c>
      <c r="H232" t="s">
        <v>3</v>
      </c>
      <c r="I232" t="b" cm="1">
        <f t="array" ref="I232">isDup(B232,B233, 0.7)</f>
        <v>0</v>
      </c>
    </row>
    <row r="233" spans="1:9" ht="17" x14ac:dyDescent="0.2">
      <c r="A233" t="s">
        <v>7081</v>
      </c>
      <c r="B233" s="1" t="s">
        <v>7082</v>
      </c>
      <c r="C233" t="s">
        <v>29</v>
      </c>
      <c r="D233" s="1" t="s">
        <v>2</v>
      </c>
      <c r="E233" t="b">
        <v>0</v>
      </c>
      <c r="F233">
        <v>48</v>
      </c>
      <c r="G233">
        <v>85</v>
      </c>
      <c r="H233" t="s">
        <v>3</v>
      </c>
      <c r="I233" t="b" cm="1">
        <f t="array" ref="I233">isDup(B233,B234, 0.7)</f>
        <v>1</v>
      </c>
    </row>
    <row r="234" spans="1:9" ht="17" x14ac:dyDescent="0.2">
      <c r="A234" t="s">
        <v>1224</v>
      </c>
      <c r="B234" s="1" t="s">
        <v>1228</v>
      </c>
      <c r="C234" t="s">
        <v>1226</v>
      </c>
      <c r="D234" s="1" t="s">
        <v>1227</v>
      </c>
      <c r="E234" t="b">
        <v>0</v>
      </c>
      <c r="F234">
        <v>425</v>
      </c>
      <c r="G234">
        <v>768</v>
      </c>
      <c r="H234" t="s">
        <v>11</v>
      </c>
      <c r="I234" t="b" cm="1">
        <f t="array" ref="I234">isDup(B234,B235, 0.7)</f>
        <v>0</v>
      </c>
    </row>
    <row r="235" spans="1:9" ht="17" x14ac:dyDescent="0.2">
      <c r="A235" t="s">
        <v>5950</v>
      </c>
      <c r="B235" s="1" t="s">
        <v>5951</v>
      </c>
      <c r="C235" t="s">
        <v>5952</v>
      </c>
      <c r="D235" s="1" t="s">
        <v>562</v>
      </c>
      <c r="E235" t="b">
        <v>0</v>
      </c>
      <c r="F235">
        <v>38</v>
      </c>
      <c r="G235">
        <v>23</v>
      </c>
      <c r="H235" t="s">
        <v>11</v>
      </c>
      <c r="I235" t="b" cm="1">
        <f t="array" ref="I235">isDup(B235,B236, 0.7)</f>
        <v>0</v>
      </c>
    </row>
    <row r="236" spans="1:9" ht="34" x14ac:dyDescent="0.2">
      <c r="A236" t="s">
        <v>3378</v>
      </c>
      <c r="B236" s="1" t="s">
        <v>3379</v>
      </c>
      <c r="C236" t="s">
        <v>3380</v>
      </c>
      <c r="D236" s="1" t="s">
        <v>3381</v>
      </c>
      <c r="E236" t="b">
        <v>0</v>
      </c>
      <c r="F236">
        <v>22</v>
      </c>
      <c r="G236">
        <v>35</v>
      </c>
      <c r="H236" t="s">
        <v>11</v>
      </c>
      <c r="I236" t="b" cm="1">
        <f t="array" ref="I236">isDup(B236,B237, 0.7)</f>
        <v>0</v>
      </c>
    </row>
    <row r="237" spans="1:9" ht="17" x14ac:dyDescent="0.2">
      <c r="A237" t="s">
        <v>6364</v>
      </c>
      <c r="B237" s="1" t="s">
        <v>6365</v>
      </c>
      <c r="C237" t="s">
        <v>2112</v>
      </c>
      <c r="D237" s="1" t="s">
        <v>2</v>
      </c>
      <c r="E237" t="b">
        <v>0</v>
      </c>
      <c r="F237">
        <v>11</v>
      </c>
      <c r="G237">
        <v>144</v>
      </c>
      <c r="H237" t="s">
        <v>11</v>
      </c>
      <c r="I237" t="b" cm="1">
        <f t="array" ref="I237">isDup(B237,B238, 0.7)</f>
        <v>0</v>
      </c>
    </row>
    <row r="238" spans="1:9" ht="34" x14ac:dyDescent="0.2">
      <c r="A238" t="s">
        <v>3894</v>
      </c>
      <c r="B238" s="1" t="s">
        <v>3895</v>
      </c>
      <c r="C238" t="s">
        <v>3457</v>
      </c>
      <c r="D238" s="1" t="s">
        <v>3896</v>
      </c>
      <c r="E238" t="b">
        <v>0</v>
      </c>
      <c r="F238">
        <v>32</v>
      </c>
      <c r="G238">
        <v>174</v>
      </c>
      <c r="H238" t="s">
        <v>641</v>
      </c>
      <c r="I238" t="b" cm="1">
        <f t="array" ref="I238">isDup(B238,B239, 0.7)</f>
        <v>0</v>
      </c>
    </row>
    <row r="239" spans="1:9" ht="17" x14ac:dyDescent="0.2">
      <c r="A239" t="s">
        <v>6885</v>
      </c>
      <c r="B239" s="1" t="s">
        <v>6886</v>
      </c>
      <c r="C239" t="s">
        <v>1434</v>
      </c>
      <c r="D239" s="1" t="s">
        <v>1978</v>
      </c>
      <c r="E239" t="b">
        <v>0</v>
      </c>
      <c r="F239">
        <v>635</v>
      </c>
      <c r="G239">
        <v>3924</v>
      </c>
      <c r="H239" t="s">
        <v>641</v>
      </c>
      <c r="I239" t="b" cm="1">
        <f t="array" ref="I239">isDup(B239,B240, 0.7)</f>
        <v>0</v>
      </c>
    </row>
    <row r="240" spans="1:9" ht="34" x14ac:dyDescent="0.2">
      <c r="A240" t="s">
        <v>3128</v>
      </c>
      <c r="B240" s="1" t="s">
        <v>3129</v>
      </c>
      <c r="C240" t="s">
        <v>94</v>
      </c>
      <c r="D240" s="1" t="s">
        <v>3130</v>
      </c>
      <c r="E240" t="b">
        <v>0</v>
      </c>
      <c r="F240">
        <v>107</v>
      </c>
      <c r="G240">
        <v>218</v>
      </c>
      <c r="H240" t="s">
        <v>11</v>
      </c>
      <c r="I240" t="b" cm="1">
        <f t="array" ref="I240">isDup(B240,B241, 0.7)</f>
        <v>0</v>
      </c>
    </row>
    <row r="241" spans="1:9" ht="34" x14ac:dyDescent="0.2">
      <c r="A241" t="s">
        <v>2103</v>
      </c>
      <c r="B241" s="1" t="s">
        <v>2104</v>
      </c>
      <c r="C241" t="s">
        <v>2105</v>
      </c>
      <c r="D241" s="1" t="s">
        <v>2106</v>
      </c>
      <c r="E241" t="b">
        <v>0</v>
      </c>
      <c r="F241">
        <v>3</v>
      </c>
      <c r="G241">
        <v>17</v>
      </c>
      <c r="H241" t="s">
        <v>11</v>
      </c>
      <c r="I241" t="b" cm="1">
        <f t="array" ref="I241">isDup(B241,B242, 0.7)</f>
        <v>0</v>
      </c>
    </row>
    <row r="242" spans="1:9" ht="17" x14ac:dyDescent="0.2">
      <c r="A242" t="s">
        <v>2243</v>
      </c>
      <c r="B242" s="1" t="s">
        <v>2244</v>
      </c>
      <c r="C242" t="s">
        <v>2245</v>
      </c>
      <c r="D242" s="1" t="s">
        <v>2</v>
      </c>
      <c r="E242" t="b">
        <v>0</v>
      </c>
      <c r="F242">
        <v>37</v>
      </c>
      <c r="G242">
        <v>78</v>
      </c>
      <c r="H242" t="s">
        <v>11</v>
      </c>
      <c r="I242" t="b" cm="1">
        <f t="array" ref="I242">isDup(B242,B243, 0.7)</f>
        <v>0</v>
      </c>
    </row>
    <row r="243" spans="1:9" ht="17" x14ac:dyDescent="0.2">
      <c r="A243" t="s">
        <v>6823</v>
      </c>
      <c r="B243" s="1" t="s">
        <v>6824</v>
      </c>
      <c r="C243" t="s">
        <v>3659</v>
      </c>
      <c r="D243" s="1" t="s">
        <v>61</v>
      </c>
      <c r="E243" t="b">
        <v>0</v>
      </c>
      <c r="F243">
        <v>13712</v>
      </c>
      <c r="G243">
        <v>1730</v>
      </c>
      <c r="H243" t="s">
        <v>11</v>
      </c>
      <c r="I243" t="b" cm="1">
        <f t="array" ref="I243">isDup(B243,B244, 0.7)</f>
        <v>0</v>
      </c>
    </row>
    <row r="244" spans="1:9" ht="17" x14ac:dyDescent="0.2">
      <c r="A244" t="s">
        <v>5896</v>
      </c>
      <c r="B244" s="1" t="s">
        <v>5897</v>
      </c>
      <c r="C244" t="s">
        <v>2090</v>
      </c>
      <c r="D244" s="1" t="s">
        <v>5898</v>
      </c>
      <c r="E244" t="b">
        <v>0</v>
      </c>
      <c r="F244">
        <v>107</v>
      </c>
      <c r="G244">
        <v>54</v>
      </c>
      <c r="H244" t="s">
        <v>11</v>
      </c>
      <c r="I244" t="b" cm="1">
        <f t="array" ref="I244">isDup(B244,B245, 0.7)</f>
        <v>0</v>
      </c>
    </row>
    <row r="245" spans="1:9" ht="17" x14ac:dyDescent="0.2">
      <c r="A245" t="s">
        <v>415</v>
      </c>
      <c r="B245" s="1" t="s">
        <v>416</v>
      </c>
      <c r="C245" t="s">
        <v>417</v>
      </c>
      <c r="D245" s="1" t="s">
        <v>418</v>
      </c>
      <c r="E245" t="b">
        <v>0</v>
      </c>
      <c r="F245">
        <v>663</v>
      </c>
      <c r="G245">
        <v>879</v>
      </c>
      <c r="H245" t="s">
        <v>11</v>
      </c>
      <c r="I245" t="b" cm="1">
        <f t="array" ref="I245">isDup(B245,B246, 0.7)</f>
        <v>0</v>
      </c>
    </row>
    <row r="246" spans="1:9" ht="17" x14ac:dyDescent="0.2">
      <c r="A246" t="s">
        <v>3884</v>
      </c>
      <c r="B246" s="1" t="s">
        <v>3885</v>
      </c>
      <c r="C246" t="s">
        <v>3886</v>
      </c>
      <c r="D246" s="1" t="s">
        <v>3887</v>
      </c>
      <c r="E246" t="b">
        <v>0</v>
      </c>
      <c r="F246">
        <v>4001</v>
      </c>
      <c r="G246">
        <v>755</v>
      </c>
      <c r="H246" t="s">
        <v>11</v>
      </c>
      <c r="I246" t="b" cm="1">
        <f t="array" ref="I246">isDup(B246,B247, 0.7)</f>
        <v>0</v>
      </c>
    </row>
    <row r="247" spans="1:9" ht="34" x14ac:dyDescent="0.2">
      <c r="A247" t="s">
        <v>4078</v>
      </c>
      <c r="B247" s="1" t="s">
        <v>4079</v>
      </c>
      <c r="C247" t="s">
        <v>802</v>
      </c>
      <c r="D247" s="1" t="s">
        <v>2</v>
      </c>
      <c r="E247" t="b">
        <v>0</v>
      </c>
      <c r="F247">
        <v>7</v>
      </c>
      <c r="G247">
        <v>25</v>
      </c>
      <c r="H247" t="s">
        <v>11</v>
      </c>
      <c r="I247" t="b" cm="1">
        <f t="array" ref="I247">isDup(B247,B248, 0.7)</f>
        <v>0</v>
      </c>
    </row>
    <row r="248" spans="1:9" ht="17" x14ac:dyDescent="0.2">
      <c r="A248" t="s">
        <v>4181</v>
      </c>
      <c r="B248" s="1" t="s">
        <v>4182</v>
      </c>
      <c r="C248" t="s">
        <v>4183</v>
      </c>
      <c r="D248" s="1" t="s">
        <v>4184</v>
      </c>
      <c r="E248" t="b">
        <v>1</v>
      </c>
      <c r="F248">
        <v>26870</v>
      </c>
      <c r="G248">
        <v>2617</v>
      </c>
      <c r="H248" t="s">
        <v>11</v>
      </c>
      <c r="I248" t="b" cm="1">
        <f t="array" ref="I248">isDup(B248,B249, 0.7)</f>
        <v>0</v>
      </c>
    </row>
    <row r="249" spans="1:9" ht="34" x14ac:dyDescent="0.2">
      <c r="A249" t="s">
        <v>3134</v>
      </c>
      <c r="B249" s="1" t="s">
        <v>3135</v>
      </c>
      <c r="C249" t="s">
        <v>3136</v>
      </c>
      <c r="D249" s="1" t="s">
        <v>3137</v>
      </c>
      <c r="E249" t="b">
        <v>0</v>
      </c>
      <c r="F249">
        <v>230</v>
      </c>
      <c r="G249">
        <v>518</v>
      </c>
      <c r="H249" t="s">
        <v>11</v>
      </c>
      <c r="I249" t="b" cm="1">
        <f t="array" ref="I249">isDup(B249,B250, 0.7)</f>
        <v>0</v>
      </c>
    </row>
    <row r="250" spans="1:9" ht="17" x14ac:dyDescent="0.2">
      <c r="A250" t="s">
        <v>909</v>
      </c>
      <c r="B250" s="1" t="s">
        <v>910</v>
      </c>
      <c r="C250" t="s">
        <v>911</v>
      </c>
      <c r="D250" s="1" t="s">
        <v>2</v>
      </c>
      <c r="E250" t="b">
        <v>0</v>
      </c>
      <c r="F250">
        <v>30</v>
      </c>
      <c r="G250">
        <v>23</v>
      </c>
      <c r="H250" t="s">
        <v>11</v>
      </c>
      <c r="I250" t="b" cm="1">
        <f t="array" ref="I250">isDup(B250,B251, 0.7)</f>
        <v>0</v>
      </c>
    </row>
    <row r="251" spans="1:9" ht="17" x14ac:dyDescent="0.2">
      <c r="A251" t="s">
        <v>2741</v>
      </c>
      <c r="B251" s="1" t="s">
        <v>2742</v>
      </c>
      <c r="C251" t="s">
        <v>2743</v>
      </c>
      <c r="D251" s="1" t="s">
        <v>2</v>
      </c>
      <c r="E251" t="b">
        <v>0</v>
      </c>
      <c r="F251">
        <v>344</v>
      </c>
      <c r="G251">
        <v>232</v>
      </c>
      <c r="H251" t="s">
        <v>11</v>
      </c>
      <c r="I251" t="b" cm="1">
        <f t="array" ref="I251">isDup(B251,B252, 0.7)</f>
        <v>0</v>
      </c>
    </row>
    <row r="252" spans="1:9" ht="17" x14ac:dyDescent="0.2">
      <c r="A252" t="s">
        <v>2017</v>
      </c>
      <c r="B252" s="1" t="s">
        <v>2018</v>
      </c>
      <c r="C252" t="s">
        <v>319</v>
      </c>
      <c r="D252" s="1" t="s">
        <v>2019</v>
      </c>
      <c r="E252" t="b">
        <v>0</v>
      </c>
      <c r="F252">
        <v>1003</v>
      </c>
      <c r="G252">
        <v>147</v>
      </c>
      <c r="H252" t="s">
        <v>11</v>
      </c>
      <c r="I252" t="b" cm="1">
        <f t="array" ref="I252">isDup(B252,B253, 0.7)</f>
        <v>0</v>
      </c>
    </row>
    <row r="253" spans="1:9" ht="17" x14ac:dyDescent="0.2">
      <c r="A253" t="s">
        <v>2264</v>
      </c>
      <c r="B253" s="1" t="s">
        <v>2265</v>
      </c>
      <c r="C253" t="s">
        <v>1313</v>
      </c>
      <c r="D253" s="1" t="s">
        <v>2</v>
      </c>
      <c r="E253" t="b">
        <v>0</v>
      </c>
      <c r="F253">
        <v>24</v>
      </c>
      <c r="G253">
        <v>16</v>
      </c>
      <c r="H253" t="s">
        <v>11</v>
      </c>
      <c r="I253" t="b" cm="1">
        <f t="array" ref="I253">isDup(B253,B254, 0.7)</f>
        <v>0</v>
      </c>
    </row>
    <row r="254" spans="1:9" ht="34" x14ac:dyDescent="0.2">
      <c r="A254" t="s">
        <v>5867</v>
      </c>
      <c r="B254" s="1" t="s">
        <v>5868</v>
      </c>
      <c r="C254" t="s">
        <v>1943</v>
      </c>
      <c r="D254" s="1" t="s">
        <v>5869</v>
      </c>
      <c r="E254" t="b">
        <v>0</v>
      </c>
      <c r="F254">
        <v>393</v>
      </c>
      <c r="G254">
        <v>401</v>
      </c>
      <c r="H254" t="s">
        <v>11</v>
      </c>
      <c r="I254" t="b" cm="1">
        <f t="array" ref="I254">isDup(B254,B255, 0.7)</f>
        <v>0</v>
      </c>
    </row>
    <row r="255" spans="1:9" ht="17" x14ac:dyDescent="0.2">
      <c r="A255" t="s">
        <v>2862</v>
      </c>
      <c r="B255" s="1" t="s">
        <v>2863</v>
      </c>
      <c r="C255" t="s">
        <v>671</v>
      </c>
      <c r="D255" s="1" t="s">
        <v>2864</v>
      </c>
      <c r="E255" t="b">
        <v>0</v>
      </c>
      <c r="F255">
        <v>327</v>
      </c>
      <c r="G255">
        <v>594</v>
      </c>
      <c r="H255" t="s">
        <v>11</v>
      </c>
      <c r="I255" t="b" cm="1">
        <f t="array" ref="I255">isDup(B255,B256, 0.7)</f>
        <v>0</v>
      </c>
    </row>
    <row r="256" spans="1:9" ht="34" x14ac:dyDescent="0.2">
      <c r="A256" t="s">
        <v>901</v>
      </c>
      <c r="B256" s="1" t="s">
        <v>902</v>
      </c>
      <c r="C256" t="s">
        <v>903</v>
      </c>
      <c r="D256" s="1" t="s">
        <v>2</v>
      </c>
      <c r="E256" t="b">
        <v>0</v>
      </c>
      <c r="F256">
        <v>4071</v>
      </c>
      <c r="G256">
        <v>423</v>
      </c>
      <c r="H256" t="s">
        <v>11</v>
      </c>
      <c r="I256" t="b" cm="1">
        <f t="array" ref="I256">isDup(B256,B257, 0.7)</f>
        <v>0</v>
      </c>
    </row>
    <row r="257" spans="1:9" ht="34" x14ac:dyDescent="0.2">
      <c r="A257" t="s">
        <v>5359</v>
      </c>
      <c r="B257" s="1" t="s">
        <v>5360</v>
      </c>
      <c r="C257" t="s">
        <v>944</v>
      </c>
      <c r="D257" s="1" t="s">
        <v>2</v>
      </c>
      <c r="E257" t="b">
        <v>0</v>
      </c>
      <c r="F257">
        <v>42</v>
      </c>
      <c r="G257">
        <v>82</v>
      </c>
      <c r="H257" t="s">
        <v>73</v>
      </c>
      <c r="I257" t="b" cm="1">
        <f t="array" ref="I257">isDup(B257,B258, 0.7)</f>
        <v>0</v>
      </c>
    </row>
    <row r="258" spans="1:9" ht="17" x14ac:dyDescent="0.2">
      <c r="A258" t="s">
        <v>4693</v>
      </c>
      <c r="B258" s="1" t="s">
        <v>4694</v>
      </c>
      <c r="C258" t="s">
        <v>4695</v>
      </c>
      <c r="D258" s="1" t="s">
        <v>4696</v>
      </c>
      <c r="E258" t="b">
        <v>0</v>
      </c>
      <c r="F258">
        <v>25</v>
      </c>
      <c r="G258">
        <v>73</v>
      </c>
      <c r="H258" t="s">
        <v>11</v>
      </c>
      <c r="I258" t="b" cm="1">
        <f t="array" ref="I258">isDup(B258,B259, 0.7)</f>
        <v>0</v>
      </c>
    </row>
    <row r="259" spans="1:9" ht="17" x14ac:dyDescent="0.2">
      <c r="A259" t="s">
        <v>1871</v>
      </c>
      <c r="B259" s="1" t="s">
        <v>1872</v>
      </c>
      <c r="C259" t="s">
        <v>1873</v>
      </c>
      <c r="D259" s="1" t="s">
        <v>2</v>
      </c>
      <c r="E259" t="b">
        <v>0</v>
      </c>
      <c r="F259">
        <v>664</v>
      </c>
      <c r="G259">
        <v>897</v>
      </c>
      <c r="H259" t="s">
        <v>11</v>
      </c>
      <c r="I259" t="b" cm="1">
        <f t="array" ref="I259">isDup(B259,B260, 0.7)</f>
        <v>0</v>
      </c>
    </row>
    <row r="260" spans="1:9" ht="17" x14ac:dyDescent="0.2">
      <c r="A260" t="s">
        <v>3897</v>
      </c>
      <c r="B260" s="1" t="s">
        <v>3898</v>
      </c>
      <c r="C260" t="s">
        <v>2098</v>
      </c>
      <c r="D260" s="1" t="s">
        <v>980</v>
      </c>
      <c r="E260" t="b">
        <v>0</v>
      </c>
      <c r="F260">
        <v>266</v>
      </c>
      <c r="G260">
        <v>621</v>
      </c>
      <c r="H260" t="s">
        <v>11</v>
      </c>
      <c r="I260" t="b" cm="1">
        <f t="array" ref="I260">isDup(B260,B261, 0.7)</f>
        <v>0</v>
      </c>
    </row>
    <row r="261" spans="1:9" ht="17" x14ac:dyDescent="0.2">
      <c r="A261" t="s">
        <v>3184</v>
      </c>
      <c r="B261" s="1" t="s">
        <v>3185</v>
      </c>
      <c r="C261" t="s">
        <v>3186</v>
      </c>
      <c r="D261" s="1" t="s">
        <v>2</v>
      </c>
      <c r="E261" t="b">
        <v>0</v>
      </c>
      <c r="F261">
        <v>307</v>
      </c>
      <c r="G261">
        <v>849</v>
      </c>
      <c r="H261" t="s">
        <v>11</v>
      </c>
      <c r="I261" t="b" cm="1">
        <f t="array" ref="I261">isDup(B261,B262, 0.7)</f>
        <v>0</v>
      </c>
    </row>
    <row r="262" spans="1:9" ht="17" x14ac:dyDescent="0.2">
      <c r="A262" t="s">
        <v>1046</v>
      </c>
      <c r="B262" s="1" t="s">
        <v>1047</v>
      </c>
      <c r="C262" t="s">
        <v>1048</v>
      </c>
      <c r="D262" s="1" t="s">
        <v>2</v>
      </c>
      <c r="E262" t="b">
        <v>0</v>
      </c>
      <c r="F262">
        <v>38</v>
      </c>
      <c r="G262">
        <v>106</v>
      </c>
      <c r="H262" t="s">
        <v>11</v>
      </c>
      <c r="I262" t="b" cm="1">
        <f t="array" ref="I262">isDup(B262,B263, 0.7)</f>
        <v>0</v>
      </c>
    </row>
    <row r="263" spans="1:9" ht="34" x14ac:dyDescent="0.2">
      <c r="A263" t="s">
        <v>5012</v>
      </c>
      <c r="B263" s="1" t="s">
        <v>5013</v>
      </c>
      <c r="C263" t="s">
        <v>1808</v>
      </c>
      <c r="D263" s="1" t="s">
        <v>5014</v>
      </c>
      <c r="E263" t="b">
        <v>0</v>
      </c>
      <c r="F263">
        <v>498</v>
      </c>
      <c r="G263">
        <v>2922</v>
      </c>
      <c r="H263" t="s">
        <v>11</v>
      </c>
      <c r="I263" t="b" cm="1">
        <f t="array" ref="I263">isDup(B263,B264, 0.7)</f>
        <v>0</v>
      </c>
    </row>
    <row r="264" spans="1:9" ht="34" x14ac:dyDescent="0.2">
      <c r="A264" t="s">
        <v>2423</v>
      </c>
      <c r="B264" s="1" t="s">
        <v>2424</v>
      </c>
      <c r="C264" t="s">
        <v>2425</v>
      </c>
      <c r="D264" s="1" t="s">
        <v>2426</v>
      </c>
      <c r="E264" t="b">
        <v>0</v>
      </c>
      <c r="F264">
        <v>16</v>
      </c>
      <c r="G264">
        <v>57</v>
      </c>
      <c r="H264" t="s">
        <v>11</v>
      </c>
      <c r="I264" t="b" cm="1">
        <f t="array" ref="I264">isDup(B264,B265, 0.7)</f>
        <v>0</v>
      </c>
    </row>
    <row r="265" spans="1:9" ht="34" x14ac:dyDescent="0.2">
      <c r="A265" t="s">
        <v>4568</v>
      </c>
      <c r="B265" s="1" t="s">
        <v>4569</v>
      </c>
      <c r="C265" t="s">
        <v>726</v>
      </c>
      <c r="D265" s="1" t="s">
        <v>2</v>
      </c>
      <c r="E265" t="b">
        <v>0</v>
      </c>
      <c r="F265">
        <v>49</v>
      </c>
      <c r="G265">
        <v>146</v>
      </c>
      <c r="H265" t="s">
        <v>11</v>
      </c>
      <c r="I265" t="b" cm="1">
        <f t="array" ref="I265">isDup(B265,B266, 0.7)</f>
        <v>0</v>
      </c>
    </row>
    <row r="266" spans="1:9" ht="34" x14ac:dyDescent="0.2">
      <c r="A266" t="s">
        <v>4905</v>
      </c>
      <c r="B266" s="1" t="s">
        <v>4906</v>
      </c>
      <c r="C266" t="s">
        <v>4907</v>
      </c>
      <c r="D266" s="1" t="s">
        <v>4908</v>
      </c>
      <c r="E266" t="b">
        <v>0</v>
      </c>
      <c r="F266">
        <v>1000</v>
      </c>
      <c r="G266">
        <v>1394</v>
      </c>
      <c r="H266" t="s">
        <v>11</v>
      </c>
      <c r="I266" t="b" cm="1">
        <f t="array" ref="I266">isDup(B266,B267, 0.7)</f>
        <v>0</v>
      </c>
    </row>
    <row r="267" spans="1:9" ht="17" x14ac:dyDescent="0.2">
      <c r="A267" t="s">
        <v>171</v>
      </c>
      <c r="B267" s="1" t="s">
        <v>172</v>
      </c>
      <c r="C267" t="s">
        <v>173</v>
      </c>
      <c r="D267" s="1" t="s">
        <v>174</v>
      </c>
      <c r="E267" t="b">
        <v>0</v>
      </c>
      <c r="F267">
        <v>44</v>
      </c>
      <c r="G267">
        <v>163</v>
      </c>
      <c r="H267" t="s">
        <v>11</v>
      </c>
      <c r="I267" t="b" cm="1">
        <f t="array" ref="I267">isDup(B267,B268, 0.7)</f>
        <v>0</v>
      </c>
    </row>
    <row r="268" spans="1:9" ht="17" x14ac:dyDescent="0.2">
      <c r="A268" t="s">
        <v>3801</v>
      </c>
      <c r="B268" s="1" t="s">
        <v>3802</v>
      </c>
      <c r="C268" t="s">
        <v>1091</v>
      </c>
      <c r="D268" s="1" t="s">
        <v>1343</v>
      </c>
      <c r="E268" t="b">
        <v>0</v>
      </c>
      <c r="F268">
        <v>148</v>
      </c>
      <c r="G268">
        <v>814</v>
      </c>
      <c r="H268" t="s">
        <v>11</v>
      </c>
      <c r="I268" t="b" cm="1">
        <f t="array" ref="I268">isDup(B268,B269, 0.7)</f>
        <v>0</v>
      </c>
    </row>
    <row r="269" spans="1:9" ht="17" x14ac:dyDescent="0.2">
      <c r="A269" t="s">
        <v>326</v>
      </c>
      <c r="B269" s="1" t="s">
        <v>327</v>
      </c>
      <c r="C269" t="s">
        <v>328</v>
      </c>
      <c r="D269" s="1" t="s">
        <v>329</v>
      </c>
      <c r="E269" t="b">
        <v>0</v>
      </c>
      <c r="F269">
        <v>5053</v>
      </c>
      <c r="G269">
        <v>958</v>
      </c>
      <c r="H269" t="s">
        <v>47</v>
      </c>
      <c r="I269" t="b" cm="1">
        <f t="array" ref="I269">isDup(B269,B270, 0.7)</f>
        <v>0</v>
      </c>
    </row>
    <row r="270" spans="1:9" ht="17" x14ac:dyDescent="0.2">
      <c r="A270" t="s">
        <v>809</v>
      </c>
      <c r="B270" s="1" t="s">
        <v>810</v>
      </c>
      <c r="C270" t="s">
        <v>811</v>
      </c>
      <c r="D270" s="1" t="s">
        <v>2</v>
      </c>
      <c r="E270" t="b">
        <v>0</v>
      </c>
      <c r="F270">
        <v>919</v>
      </c>
      <c r="G270">
        <v>354</v>
      </c>
      <c r="H270" t="s">
        <v>11</v>
      </c>
      <c r="I270" t="b" cm="1">
        <f t="array" ref="I270">isDup(B270,B271, 0.7)</f>
        <v>0</v>
      </c>
    </row>
    <row r="271" spans="1:9" ht="34" x14ac:dyDescent="0.2">
      <c r="A271" t="s">
        <v>3743</v>
      </c>
      <c r="B271" s="1" t="s">
        <v>3744</v>
      </c>
      <c r="C271" t="s">
        <v>3711</v>
      </c>
      <c r="D271" s="1" t="s">
        <v>2</v>
      </c>
      <c r="E271" t="b">
        <v>0</v>
      </c>
      <c r="F271">
        <v>25</v>
      </c>
      <c r="G271">
        <v>20</v>
      </c>
      <c r="H271" t="s">
        <v>11</v>
      </c>
      <c r="I271" t="b" cm="1">
        <f t="array" ref="I271">isDup(B271,B272, 0.7)</f>
        <v>0</v>
      </c>
    </row>
    <row r="272" spans="1:9" ht="17" x14ac:dyDescent="0.2">
      <c r="A272" t="s">
        <v>6489</v>
      </c>
      <c r="B272" s="1" t="s">
        <v>6490</v>
      </c>
      <c r="C272" t="s">
        <v>6491</v>
      </c>
      <c r="D272" s="1" t="s">
        <v>2</v>
      </c>
      <c r="E272" t="b">
        <v>0</v>
      </c>
      <c r="F272">
        <v>1</v>
      </c>
      <c r="G272">
        <v>21</v>
      </c>
      <c r="H272" t="s">
        <v>11</v>
      </c>
      <c r="I272" t="b" cm="1">
        <f t="array" ref="I272">isDup(B272,B273, 0.7)</f>
        <v>0</v>
      </c>
    </row>
    <row r="273" spans="1:9" ht="17" x14ac:dyDescent="0.2">
      <c r="A273" t="s">
        <v>1176</v>
      </c>
      <c r="B273" s="1" t="s">
        <v>1178</v>
      </c>
      <c r="C273" t="s">
        <v>557</v>
      </c>
      <c r="D273" s="1" t="s">
        <v>558</v>
      </c>
      <c r="E273" t="b">
        <v>0</v>
      </c>
      <c r="F273">
        <v>386</v>
      </c>
      <c r="G273">
        <v>72</v>
      </c>
      <c r="H273" t="s">
        <v>11</v>
      </c>
      <c r="I273" t="b" cm="1">
        <f t="array" ref="I273">isDup(B273,B274, 0.7)</f>
        <v>1</v>
      </c>
    </row>
    <row r="274" spans="1:9" ht="17" x14ac:dyDescent="0.2">
      <c r="A274" t="s">
        <v>555</v>
      </c>
      <c r="B274" s="1" t="s">
        <v>556</v>
      </c>
      <c r="C274" t="s">
        <v>557</v>
      </c>
      <c r="D274" s="1" t="s">
        <v>558</v>
      </c>
      <c r="E274" t="b">
        <v>0</v>
      </c>
      <c r="F274">
        <v>386</v>
      </c>
      <c r="G274">
        <v>72</v>
      </c>
      <c r="H274" t="s">
        <v>11</v>
      </c>
      <c r="I274" t="b" cm="1">
        <f t="array" ref="I274">isDup(B274,B275, 0.7)</f>
        <v>1</v>
      </c>
    </row>
    <row r="275" spans="1:9" ht="17" x14ac:dyDescent="0.2">
      <c r="A275" t="s">
        <v>4968</v>
      </c>
      <c r="B275" s="1" t="s">
        <v>4975</v>
      </c>
      <c r="C275" t="s">
        <v>557</v>
      </c>
      <c r="D275" s="1" t="s">
        <v>558</v>
      </c>
      <c r="E275" t="b">
        <v>0</v>
      </c>
      <c r="F275">
        <v>385</v>
      </c>
      <c r="G275">
        <v>72</v>
      </c>
      <c r="H275" t="s">
        <v>11</v>
      </c>
      <c r="I275" t="b" cm="1">
        <f t="array" ref="I275">isDup(B275,B276, 0.7)</f>
        <v>1</v>
      </c>
    </row>
    <row r="276" spans="1:9" ht="17" x14ac:dyDescent="0.2">
      <c r="A276" t="s">
        <v>3493</v>
      </c>
      <c r="B276" s="1" t="s">
        <v>3495</v>
      </c>
      <c r="C276" t="s">
        <v>557</v>
      </c>
      <c r="D276" s="1" t="s">
        <v>558</v>
      </c>
      <c r="E276" t="b">
        <v>0</v>
      </c>
      <c r="F276">
        <v>385</v>
      </c>
      <c r="G276">
        <v>72</v>
      </c>
      <c r="H276" t="s">
        <v>11</v>
      </c>
      <c r="I276" t="b" cm="1">
        <f t="array" ref="I276">isDup(B276,B277, 0.7)</f>
        <v>1</v>
      </c>
    </row>
    <row r="277" spans="1:9" ht="17" x14ac:dyDescent="0.2">
      <c r="A277" t="s">
        <v>1913</v>
      </c>
      <c r="B277" s="1" t="s">
        <v>1914</v>
      </c>
      <c r="C277" t="s">
        <v>557</v>
      </c>
      <c r="D277" s="1" t="s">
        <v>558</v>
      </c>
      <c r="E277" t="b">
        <v>0</v>
      </c>
      <c r="F277">
        <v>385</v>
      </c>
      <c r="G277">
        <v>72</v>
      </c>
      <c r="H277" t="s">
        <v>11</v>
      </c>
      <c r="I277" t="b" cm="1">
        <f t="array" ref="I277">isDup(B277,B278, 0.7)</f>
        <v>1</v>
      </c>
    </row>
    <row r="278" spans="1:9" ht="17" x14ac:dyDescent="0.2">
      <c r="A278" t="s">
        <v>7047</v>
      </c>
      <c r="B278" s="1" t="s">
        <v>7048</v>
      </c>
      <c r="C278" t="s">
        <v>557</v>
      </c>
      <c r="D278" s="1" t="s">
        <v>558</v>
      </c>
      <c r="E278" t="b">
        <v>0</v>
      </c>
      <c r="F278">
        <v>385</v>
      </c>
      <c r="G278">
        <v>72</v>
      </c>
      <c r="H278" t="s">
        <v>11</v>
      </c>
      <c r="I278" t="b" cm="1">
        <f t="array" ref="I278">isDup(B278,B279, 0.7)</f>
        <v>1</v>
      </c>
    </row>
    <row r="279" spans="1:9" ht="17" x14ac:dyDescent="0.2">
      <c r="A279" t="s">
        <v>4255</v>
      </c>
      <c r="B279" s="1" t="s">
        <v>4257</v>
      </c>
      <c r="C279" t="s">
        <v>557</v>
      </c>
      <c r="D279" s="1" t="s">
        <v>558</v>
      </c>
      <c r="E279" t="b">
        <v>0</v>
      </c>
      <c r="F279">
        <v>385</v>
      </c>
      <c r="G279">
        <v>72</v>
      </c>
      <c r="H279" t="s">
        <v>11</v>
      </c>
      <c r="I279" t="b" cm="1">
        <f t="array" ref="I279">isDup(B279,B280, 0.7)</f>
        <v>1</v>
      </c>
    </row>
    <row r="280" spans="1:9" ht="17" x14ac:dyDescent="0.2">
      <c r="A280" t="s">
        <v>6420</v>
      </c>
      <c r="B280" s="1" t="s">
        <v>6421</v>
      </c>
      <c r="C280" t="s">
        <v>557</v>
      </c>
      <c r="D280" s="1" t="s">
        <v>558</v>
      </c>
      <c r="E280" t="b">
        <v>0</v>
      </c>
      <c r="F280">
        <v>385</v>
      </c>
      <c r="G280">
        <v>72</v>
      </c>
      <c r="H280" t="s">
        <v>11</v>
      </c>
      <c r="I280" t="b" cm="1">
        <f t="array" ref="I280">isDup(B280,B281, 0.7)</f>
        <v>1</v>
      </c>
    </row>
    <row r="281" spans="1:9" ht="17" x14ac:dyDescent="0.2">
      <c r="A281" t="s">
        <v>2666</v>
      </c>
      <c r="B281" s="1" t="s">
        <v>2669</v>
      </c>
      <c r="C281" t="s">
        <v>557</v>
      </c>
      <c r="D281" s="1" t="s">
        <v>558</v>
      </c>
      <c r="E281" t="b">
        <v>0</v>
      </c>
      <c r="F281">
        <v>385</v>
      </c>
      <c r="G281">
        <v>72</v>
      </c>
      <c r="H281" t="s">
        <v>11</v>
      </c>
      <c r="I281" t="b" cm="1">
        <f t="array" ref="I281">isDup(B281,B282, 0.7)</f>
        <v>1</v>
      </c>
    </row>
    <row r="282" spans="1:9" ht="17" x14ac:dyDescent="0.2">
      <c r="A282" t="s">
        <v>5607</v>
      </c>
      <c r="B282" s="1" t="s">
        <v>5609</v>
      </c>
      <c r="C282" t="s">
        <v>557</v>
      </c>
      <c r="D282" s="1" t="s">
        <v>558</v>
      </c>
      <c r="E282" t="b">
        <v>0</v>
      </c>
      <c r="F282">
        <v>385</v>
      </c>
      <c r="G282">
        <v>72</v>
      </c>
      <c r="H282" t="s">
        <v>11</v>
      </c>
      <c r="I282" t="b" cm="1">
        <f t="array" ref="I282">isDup(B282,B283, 0.7)</f>
        <v>0</v>
      </c>
    </row>
    <row r="283" spans="1:9" ht="17" x14ac:dyDescent="0.2">
      <c r="A283" t="s">
        <v>2624</v>
      </c>
      <c r="B283" s="1" t="s">
        <v>2625</v>
      </c>
      <c r="C283" t="s">
        <v>880</v>
      </c>
      <c r="D283" s="1" t="s">
        <v>2</v>
      </c>
      <c r="E283" t="b">
        <v>0</v>
      </c>
      <c r="F283">
        <v>14552</v>
      </c>
      <c r="G283">
        <v>552</v>
      </c>
      <c r="H283" t="s">
        <v>11</v>
      </c>
      <c r="I283" t="b" cm="1">
        <f t="array" ref="I283">isDup(B283,B284, 0.7)</f>
        <v>0</v>
      </c>
    </row>
    <row r="284" spans="1:9" ht="17" x14ac:dyDescent="0.2">
      <c r="A284" t="s">
        <v>1623</v>
      </c>
      <c r="B284" s="1" t="s">
        <v>1624</v>
      </c>
      <c r="C284" t="s">
        <v>289</v>
      </c>
      <c r="D284" s="1" t="s">
        <v>2</v>
      </c>
      <c r="E284" t="b">
        <v>0</v>
      </c>
      <c r="F284">
        <v>19</v>
      </c>
      <c r="G284">
        <v>28</v>
      </c>
      <c r="H284" t="s">
        <v>11</v>
      </c>
      <c r="I284" t="b" cm="1">
        <f t="array" ref="I284">isDup(B284,B285, 0.7)</f>
        <v>0</v>
      </c>
    </row>
    <row r="285" spans="1:9" ht="34" x14ac:dyDescent="0.2">
      <c r="A285" t="s">
        <v>776</v>
      </c>
      <c r="B285" s="1" t="s">
        <v>777</v>
      </c>
      <c r="C285" t="s">
        <v>708</v>
      </c>
      <c r="D285" s="1" t="s">
        <v>2</v>
      </c>
      <c r="E285" t="b">
        <v>0</v>
      </c>
      <c r="F285">
        <v>316</v>
      </c>
      <c r="G285">
        <v>201</v>
      </c>
      <c r="H285" t="s">
        <v>11</v>
      </c>
      <c r="I285" t="b" cm="1">
        <f t="array" ref="I285">isDup(B285,B286, 0.7)</f>
        <v>0</v>
      </c>
    </row>
    <row r="286" spans="1:9" ht="17" x14ac:dyDescent="0.2">
      <c r="A286" t="s">
        <v>2965</v>
      </c>
      <c r="B286" s="1" t="s">
        <v>2966</v>
      </c>
      <c r="C286" t="s">
        <v>1838</v>
      </c>
      <c r="D286" s="1" t="s">
        <v>2967</v>
      </c>
      <c r="E286" t="b">
        <v>0</v>
      </c>
      <c r="F286">
        <v>554</v>
      </c>
      <c r="G286">
        <v>445</v>
      </c>
      <c r="H286" t="s">
        <v>11</v>
      </c>
      <c r="I286" t="b" cm="1">
        <f t="array" ref="I286">isDup(B286,B287, 0.7)</f>
        <v>0</v>
      </c>
    </row>
    <row r="287" spans="1:9" ht="34" x14ac:dyDescent="0.2">
      <c r="A287" t="s">
        <v>5103</v>
      </c>
      <c r="B287" s="1" t="s">
        <v>5104</v>
      </c>
      <c r="C287" t="s">
        <v>5105</v>
      </c>
      <c r="D287" s="1" t="s">
        <v>2</v>
      </c>
      <c r="E287" t="b">
        <v>0</v>
      </c>
      <c r="F287">
        <v>2544</v>
      </c>
      <c r="G287">
        <v>150</v>
      </c>
      <c r="H287" t="s">
        <v>11</v>
      </c>
      <c r="I287" t="b" cm="1">
        <f t="array" ref="I287">isDup(B287,B288, 0.7)</f>
        <v>0</v>
      </c>
    </row>
    <row r="288" spans="1:9" ht="17" x14ac:dyDescent="0.2">
      <c r="A288" t="s">
        <v>6877</v>
      </c>
      <c r="B288" s="1" t="s">
        <v>6878</v>
      </c>
      <c r="C288" t="s">
        <v>446</v>
      </c>
      <c r="D288" s="1" t="s">
        <v>3422</v>
      </c>
      <c r="E288" t="b">
        <v>0</v>
      </c>
      <c r="F288">
        <v>160</v>
      </c>
      <c r="G288">
        <v>171</v>
      </c>
      <c r="H288" t="s">
        <v>11</v>
      </c>
      <c r="I288" t="b" cm="1">
        <f t="array" ref="I288">isDup(B288,B289, 0.7)</f>
        <v>0</v>
      </c>
    </row>
    <row r="289" spans="1:9" ht="17" x14ac:dyDescent="0.2">
      <c r="A289" t="s">
        <v>6685</v>
      </c>
      <c r="B289" s="1" t="s">
        <v>6686</v>
      </c>
      <c r="C289" t="s">
        <v>1355</v>
      </c>
      <c r="D289" s="1" t="s">
        <v>1336</v>
      </c>
      <c r="E289" t="b">
        <v>0</v>
      </c>
      <c r="F289">
        <v>17</v>
      </c>
      <c r="G289">
        <v>112</v>
      </c>
      <c r="H289" t="s">
        <v>11</v>
      </c>
      <c r="I289" t="b" cm="1">
        <f t="array" ref="I289">isDup(B289,B290, 0.7)</f>
        <v>0</v>
      </c>
    </row>
    <row r="290" spans="1:9" ht="34" x14ac:dyDescent="0.2">
      <c r="A290" t="s">
        <v>5889</v>
      </c>
      <c r="B290" s="1" t="s">
        <v>5890</v>
      </c>
      <c r="C290" t="s">
        <v>193</v>
      </c>
      <c r="D290" s="1" t="s">
        <v>1736</v>
      </c>
      <c r="E290" t="b">
        <v>0</v>
      </c>
      <c r="F290">
        <v>66</v>
      </c>
      <c r="G290">
        <v>149</v>
      </c>
      <c r="H290" t="s">
        <v>11</v>
      </c>
      <c r="I290" t="b" cm="1">
        <f t="array" ref="I290">isDup(B290,B291, 0.7)</f>
        <v>0</v>
      </c>
    </row>
    <row r="291" spans="1:9" ht="17" x14ac:dyDescent="0.2">
      <c r="A291" t="s">
        <v>4235</v>
      </c>
      <c r="B291" s="1" t="s">
        <v>4236</v>
      </c>
      <c r="C291" t="s">
        <v>3072</v>
      </c>
      <c r="D291" s="1" t="s">
        <v>2</v>
      </c>
      <c r="E291" t="b">
        <v>0</v>
      </c>
      <c r="F291">
        <v>5</v>
      </c>
      <c r="G291">
        <v>45</v>
      </c>
      <c r="H291" t="s">
        <v>641</v>
      </c>
      <c r="I291" t="b" cm="1">
        <f t="array" ref="I291">isDup(B291,B292, 0.7)</f>
        <v>0</v>
      </c>
    </row>
    <row r="292" spans="1:9" ht="17" x14ac:dyDescent="0.2">
      <c r="A292" t="s">
        <v>6715</v>
      </c>
      <c r="B292" s="1" t="s">
        <v>6716</v>
      </c>
      <c r="C292" t="s">
        <v>6697</v>
      </c>
      <c r="D292" s="1" t="s">
        <v>534</v>
      </c>
      <c r="E292" t="b">
        <v>0</v>
      </c>
      <c r="F292">
        <v>86</v>
      </c>
      <c r="G292">
        <v>93</v>
      </c>
      <c r="H292" t="s">
        <v>11</v>
      </c>
      <c r="I292" t="b" cm="1">
        <f t="array" ref="I292">isDup(B292,B293, 0.7)</f>
        <v>0</v>
      </c>
    </row>
    <row r="293" spans="1:9" ht="17" x14ac:dyDescent="0.2">
      <c r="A293" t="s">
        <v>6016</v>
      </c>
      <c r="B293" s="1" t="s">
        <v>6017</v>
      </c>
      <c r="C293" t="s">
        <v>6018</v>
      </c>
      <c r="D293" s="1" t="s">
        <v>2</v>
      </c>
      <c r="E293" t="b">
        <v>0</v>
      </c>
      <c r="F293">
        <v>2</v>
      </c>
      <c r="G293">
        <v>20</v>
      </c>
      <c r="H293" t="s">
        <v>11</v>
      </c>
      <c r="I293" t="b" cm="1">
        <f t="array" ref="I293">isDup(B293,B294, 0.7)</f>
        <v>0</v>
      </c>
    </row>
    <row r="294" spans="1:9" ht="34" x14ac:dyDescent="0.2">
      <c r="A294" t="s">
        <v>497</v>
      </c>
      <c r="B294" s="1" t="s">
        <v>498</v>
      </c>
      <c r="C294" t="s">
        <v>336</v>
      </c>
      <c r="D294" s="1" t="s">
        <v>337</v>
      </c>
      <c r="E294" t="b">
        <v>0</v>
      </c>
      <c r="F294">
        <v>127</v>
      </c>
      <c r="G294">
        <v>452</v>
      </c>
      <c r="H294" t="s">
        <v>338</v>
      </c>
      <c r="I294" t="b" cm="1">
        <f t="array" ref="I294">isDup(B294,B295, 0.7)</f>
        <v>0</v>
      </c>
    </row>
    <row r="295" spans="1:9" ht="34" x14ac:dyDescent="0.2">
      <c r="A295" t="s">
        <v>4514</v>
      </c>
      <c r="B295" s="1" t="s">
        <v>4515</v>
      </c>
      <c r="C295" t="s">
        <v>4516</v>
      </c>
      <c r="D295" s="1" t="s">
        <v>4517</v>
      </c>
      <c r="E295" t="b">
        <v>0</v>
      </c>
      <c r="F295">
        <v>4041</v>
      </c>
      <c r="G295">
        <v>155</v>
      </c>
      <c r="H295" t="s">
        <v>11</v>
      </c>
      <c r="I295" t="b" cm="1">
        <f t="array" ref="I295">isDup(B295,B296, 0.7)</f>
        <v>0</v>
      </c>
    </row>
    <row r="296" spans="1:9" ht="34" x14ac:dyDescent="0.2">
      <c r="A296" t="s">
        <v>334</v>
      </c>
      <c r="B296" s="1" t="s">
        <v>335</v>
      </c>
      <c r="C296" t="s">
        <v>336</v>
      </c>
      <c r="D296" s="1" t="s">
        <v>337</v>
      </c>
      <c r="E296" t="b">
        <v>0</v>
      </c>
      <c r="F296">
        <v>125</v>
      </c>
      <c r="G296">
        <v>438</v>
      </c>
      <c r="H296" t="s">
        <v>338</v>
      </c>
      <c r="I296" t="b" cm="1">
        <f t="array" ref="I296">isDup(B296,B297, 0.7)</f>
        <v>0</v>
      </c>
    </row>
    <row r="297" spans="1:9" ht="17" x14ac:dyDescent="0.2">
      <c r="A297" t="s">
        <v>4117</v>
      </c>
      <c r="B297" s="1" t="s">
        <v>4118</v>
      </c>
      <c r="C297" t="s">
        <v>4119</v>
      </c>
      <c r="D297" s="1" t="s">
        <v>4120</v>
      </c>
      <c r="E297" t="b">
        <v>0</v>
      </c>
      <c r="F297">
        <v>10306</v>
      </c>
      <c r="G297">
        <v>1088</v>
      </c>
      <c r="H297" t="s">
        <v>11</v>
      </c>
      <c r="I297" t="b" cm="1">
        <f t="array" ref="I297">isDup(B297,B298, 0.7)</f>
        <v>0</v>
      </c>
    </row>
    <row r="298" spans="1:9" ht="17" x14ac:dyDescent="0.2">
      <c r="A298" t="s">
        <v>6103</v>
      </c>
      <c r="B298" s="1" t="s">
        <v>6104</v>
      </c>
      <c r="C298" t="s">
        <v>6105</v>
      </c>
      <c r="D298" s="1" t="s">
        <v>6106</v>
      </c>
      <c r="E298" t="b">
        <v>0</v>
      </c>
      <c r="F298">
        <v>168</v>
      </c>
      <c r="G298">
        <v>174</v>
      </c>
      <c r="H298" t="s">
        <v>47</v>
      </c>
      <c r="I298" t="b" cm="1">
        <f t="array" ref="I298">isDup(B298,B299, 0.7)</f>
        <v>0</v>
      </c>
    </row>
    <row r="299" spans="1:9" ht="17" x14ac:dyDescent="0.2">
      <c r="A299" t="s">
        <v>3687</v>
      </c>
      <c r="B299" s="1" t="s">
        <v>3688</v>
      </c>
      <c r="C299" t="s">
        <v>2229</v>
      </c>
      <c r="D299" s="1" t="s">
        <v>3570</v>
      </c>
      <c r="E299" t="b">
        <v>0</v>
      </c>
      <c r="F299">
        <v>78</v>
      </c>
      <c r="G299">
        <v>124</v>
      </c>
      <c r="H299" t="s">
        <v>11</v>
      </c>
      <c r="I299" t="b" cm="1">
        <f t="array" ref="I299">isDup(B299,B300, 0.7)</f>
        <v>0</v>
      </c>
    </row>
    <row r="300" spans="1:9" ht="17" x14ac:dyDescent="0.2">
      <c r="A300" t="s">
        <v>4418</v>
      </c>
      <c r="B300" s="1" t="s">
        <v>4419</v>
      </c>
      <c r="C300" t="s">
        <v>748</v>
      </c>
      <c r="D300" s="1" t="s">
        <v>749</v>
      </c>
      <c r="E300" t="b">
        <v>0</v>
      </c>
      <c r="F300">
        <v>3059</v>
      </c>
      <c r="G300">
        <v>983</v>
      </c>
      <c r="H300" t="s">
        <v>11</v>
      </c>
      <c r="I300" t="b" cm="1">
        <f t="array" ref="I300">isDup(B300,B301, 0.7)</f>
        <v>0</v>
      </c>
    </row>
    <row r="301" spans="1:9" ht="17" x14ac:dyDescent="0.2">
      <c r="A301" t="s">
        <v>1122</v>
      </c>
      <c r="B301" s="1" t="s">
        <v>1123</v>
      </c>
      <c r="C301" t="s">
        <v>748</v>
      </c>
      <c r="D301" s="1" t="s">
        <v>749</v>
      </c>
      <c r="E301" t="b">
        <v>0</v>
      </c>
      <c r="F301">
        <v>3058</v>
      </c>
      <c r="G301">
        <v>983</v>
      </c>
      <c r="H301" t="s">
        <v>11</v>
      </c>
      <c r="I301" t="b" cm="1">
        <f t="array" ref="I301">isDup(B301,B302, 0.7)</f>
        <v>0</v>
      </c>
    </row>
    <row r="302" spans="1:9" ht="34" x14ac:dyDescent="0.2">
      <c r="A302" t="s">
        <v>3990</v>
      </c>
      <c r="B302" s="1" t="s">
        <v>3991</v>
      </c>
      <c r="C302" t="s">
        <v>1892</v>
      </c>
      <c r="D302" s="1" t="s">
        <v>3992</v>
      </c>
      <c r="E302" t="b">
        <v>0</v>
      </c>
      <c r="F302">
        <v>4</v>
      </c>
      <c r="G302">
        <v>20</v>
      </c>
      <c r="H302" t="s">
        <v>11</v>
      </c>
      <c r="I302" t="b" cm="1">
        <f t="array" ref="I302">isDup(B302,B303, 0.7)</f>
        <v>0</v>
      </c>
    </row>
    <row r="303" spans="1:9" ht="34" x14ac:dyDescent="0.2">
      <c r="A303" t="s">
        <v>2801</v>
      </c>
      <c r="B303" s="1" t="s">
        <v>2802</v>
      </c>
      <c r="C303" t="s">
        <v>2803</v>
      </c>
      <c r="D303" s="1" t="s">
        <v>2804</v>
      </c>
      <c r="E303" t="b">
        <v>0</v>
      </c>
      <c r="F303">
        <v>50913</v>
      </c>
      <c r="G303">
        <v>308</v>
      </c>
      <c r="H303" t="s">
        <v>11</v>
      </c>
      <c r="I303" t="b" cm="1">
        <f t="array" ref="I303">isDup(B303,B304, 0.7)</f>
        <v>0</v>
      </c>
    </row>
    <row r="304" spans="1:9" ht="17" x14ac:dyDescent="0.2">
      <c r="A304" t="s">
        <v>867</v>
      </c>
      <c r="B304" s="1" t="s">
        <v>868</v>
      </c>
      <c r="C304" t="s">
        <v>748</v>
      </c>
      <c r="D304" s="1" t="s">
        <v>749</v>
      </c>
      <c r="E304" t="b">
        <v>0</v>
      </c>
      <c r="F304">
        <v>3058</v>
      </c>
      <c r="G304">
        <v>983</v>
      </c>
      <c r="H304" t="s">
        <v>11</v>
      </c>
      <c r="I304" t="b" cm="1">
        <f t="array" ref="I304">isDup(B304,B305, 0.7)</f>
        <v>0</v>
      </c>
    </row>
    <row r="305" spans="1:9" ht="34" x14ac:dyDescent="0.2">
      <c r="A305" t="s">
        <v>5530</v>
      </c>
      <c r="B305" s="1" t="s">
        <v>5531</v>
      </c>
      <c r="C305" t="s">
        <v>726</v>
      </c>
      <c r="D305" s="1" t="s">
        <v>5532</v>
      </c>
      <c r="E305" t="b">
        <v>0</v>
      </c>
      <c r="F305">
        <v>109</v>
      </c>
      <c r="G305">
        <v>584</v>
      </c>
      <c r="H305" t="s">
        <v>11</v>
      </c>
      <c r="I305" t="b" cm="1">
        <f t="array" ref="I305">isDup(B305,B306, 0.7)</f>
        <v>0</v>
      </c>
    </row>
    <row r="306" spans="1:9" ht="17" x14ac:dyDescent="0.2">
      <c r="A306" t="s">
        <v>6815</v>
      </c>
      <c r="B306" s="1" t="s">
        <v>6816</v>
      </c>
      <c r="C306" t="s">
        <v>6817</v>
      </c>
      <c r="D306" s="1" t="s">
        <v>2</v>
      </c>
      <c r="E306" t="b">
        <v>0</v>
      </c>
      <c r="F306">
        <v>17</v>
      </c>
      <c r="G306">
        <v>146</v>
      </c>
      <c r="H306" t="s">
        <v>11</v>
      </c>
      <c r="I306" t="b" cm="1">
        <f t="array" ref="I306">isDup(B306,B307, 0.7)</f>
        <v>0</v>
      </c>
    </row>
    <row r="307" spans="1:9" ht="17" x14ac:dyDescent="0.2">
      <c r="A307" t="s">
        <v>3041</v>
      </c>
      <c r="B307" s="1" t="s">
        <v>3042</v>
      </c>
      <c r="C307" t="s">
        <v>748</v>
      </c>
      <c r="D307" s="1" t="s">
        <v>749</v>
      </c>
      <c r="E307" t="b">
        <v>0</v>
      </c>
      <c r="F307">
        <v>3059</v>
      </c>
      <c r="G307">
        <v>983</v>
      </c>
      <c r="H307" t="s">
        <v>11</v>
      </c>
      <c r="I307" t="b" cm="1">
        <f t="array" ref="I307">isDup(B307,B308, 0.7)</f>
        <v>0</v>
      </c>
    </row>
    <row r="308" spans="1:9" ht="17" x14ac:dyDescent="0.2">
      <c r="A308" t="s">
        <v>7244</v>
      </c>
      <c r="B308" s="1" t="s">
        <v>7245</v>
      </c>
      <c r="C308" t="s">
        <v>5994</v>
      </c>
      <c r="D308" s="1" t="s">
        <v>5995</v>
      </c>
      <c r="E308" t="b">
        <v>0</v>
      </c>
      <c r="F308">
        <v>839</v>
      </c>
      <c r="G308">
        <v>744</v>
      </c>
      <c r="H308" t="s">
        <v>11</v>
      </c>
      <c r="I308" t="b" cm="1">
        <f t="array" ref="I308">isDup(B308,B309, 0.7)</f>
        <v>0</v>
      </c>
    </row>
    <row r="309" spans="1:9" ht="34" x14ac:dyDescent="0.2">
      <c r="A309" t="s">
        <v>5815</v>
      </c>
      <c r="B309" s="1" t="s">
        <v>5816</v>
      </c>
      <c r="C309" t="s">
        <v>3566</v>
      </c>
      <c r="D309" s="1" t="s">
        <v>3567</v>
      </c>
      <c r="E309" t="b">
        <v>0</v>
      </c>
      <c r="F309">
        <v>639</v>
      </c>
      <c r="G309">
        <v>181</v>
      </c>
      <c r="H309" t="s">
        <v>11</v>
      </c>
      <c r="I309" t="b" cm="1">
        <f t="array" ref="I309">isDup(B309,B310, 0.7)</f>
        <v>0</v>
      </c>
    </row>
    <row r="310" spans="1:9" ht="34" x14ac:dyDescent="0.2">
      <c r="A310" t="s">
        <v>5718</v>
      </c>
      <c r="B310" s="1" t="s">
        <v>5719</v>
      </c>
      <c r="C310" t="s">
        <v>5720</v>
      </c>
      <c r="D310" s="1" t="s">
        <v>5721</v>
      </c>
      <c r="E310" t="b">
        <v>0</v>
      </c>
      <c r="F310">
        <v>15348</v>
      </c>
      <c r="G310">
        <v>70</v>
      </c>
      <c r="H310" t="s">
        <v>11</v>
      </c>
      <c r="I310" t="b" cm="1">
        <f t="array" ref="I310">isDup(B310,B311, 0.7)</f>
        <v>0</v>
      </c>
    </row>
    <row r="311" spans="1:9" ht="17" x14ac:dyDescent="0.2">
      <c r="A311" t="s">
        <v>6190</v>
      </c>
      <c r="B311" s="1" t="s">
        <v>6191</v>
      </c>
      <c r="C311" t="s">
        <v>6192</v>
      </c>
      <c r="D311" s="1" t="s">
        <v>6193</v>
      </c>
      <c r="E311" t="b">
        <v>0</v>
      </c>
      <c r="F311">
        <v>88</v>
      </c>
      <c r="G311">
        <v>578</v>
      </c>
      <c r="H311" t="s">
        <v>11</v>
      </c>
      <c r="I311" t="b" cm="1">
        <f t="array" ref="I311">isDup(B311,B312, 0.7)</f>
        <v>0</v>
      </c>
    </row>
    <row r="312" spans="1:9" ht="34" x14ac:dyDescent="0.2">
      <c r="A312" t="s">
        <v>5764</v>
      </c>
      <c r="B312" s="1" t="s">
        <v>5765</v>
      </c>
      <c r="C312" t="s">
        <v>2226</v>
      </c>
      <c r="D312" s="1" t="s">
        <v>4469</v>
      </c>
      <c r="E312" t="b">
        <v>0</v>
      </c>
      <c r="F312">
        <v>9528</v>
      </c>
      <c r="G312">
        <v>304</v>
      </c>
      <c r="H312" t="s">
        <v>11</v>
      </c>
      <c r="I312" t="b" cm="1">
        <f t="array" ref="I312">isDup(B312,B313, 0.7)</f>
        <v>0</v>
      </c>
    </row>
    <row r="313" spans="1:9" ht="17" x14ac:dyDescent="0.2">
      <c r="A313" t="s">
        <v>382</v>
      </c>
      <c r="B313" s="1" t="s">
        <v>383</v>
      </c>
      <c r="C313" t="s">
        <v>211</v>
      </c>
      <c r="D313" s="1" t="s">
        <v>384</v>
      </c>
      <c r="E313" t="b">
        <v>0</v>
      </c>
      <c r="F313">
        <v>1449</v>
      </c>
      <c r="G313">
        <v>4998</v>
      </c>
      <c r="H313" t="s">
        <v>11</v>
      </c>
      <c r="I313" t="b" cm="1">
        <f t="array" ref="I313">isDup(B313,B314, 0.7)</f>
        <v>0</v>
      </c>
    </row>
    <row r="314" spans="1:9" ht="34" x14ac:dyDescent="0.2">
      <c r="A314" t="s">
        <v>1726</v>
      </c>
      <c r="B314" s="1" t="s">
        <v>1727</v>
      </c>
      <c r="C314" t="s">
        <v>1687</v>
      </c>
      <c r="D314" s="1" t="s">
        <v>1728</v>
      </c>
      <c r="E314" t="b">
        <v>1</v>
      </c>
      <c r="F314">
        <v>72038</v>
      </c>
      <c r="G314">
        <v>420</v>
      </c>
      <c r="H314" t="s">
        <v>11</v>
      </c>
      <c r="I314" t="b" cm="1">
        <f t="array" ref="I314">isDup(B314,B315, 0.7)</f>
        <v>0</v>
      </c>
    </row>
    <row r="315" spans="1:9" ht="34" x14ac:dyDescent="0.2">
      <c r="A315" t="s">
        <v>1363</v>
      </c>
      <c r="B315" s="1" t="s">
        <v>1364</v>
      </c>
      <c r="C315" t="s">
        <v>577</v>
      </c>
      <c r="D315" s="1" t="s">
        <v>1365</v>
      </c>
      <c r="E315" t="b">
        <v>0</v>
      </c>
      <c r="F315">
        <v>327</v>
      </c>
      <c r="G315">
        <v>59</v>
      </c>
      <c r="H315" t="s">
        <v>11</v>
      </c>
      <c r="I315" t="b" cm="1">
        <f t="array" ref="I315">isDup(B315,B316, 0.7)</f>
        <v>0</v>
      </c>
    </row>
    <row r="316" spans="1:9" ht="17" x14ac:dyDescent="0.2">
      <c r="A316" t="s">
        <v>1150</v>
      </c>
      <c r="B316" s="1" t="s">
        <v>1151</v>
      </c>
      <c r="C316" t="s">
        <v>974</v>
      </c>
      <c r="D316" s="1" t="s">
        <v>2</v>
      </c>
      <c r="E316" t="b">
        <v>0</v>
      </c>
      <c r="F316">
        <v>30882</v>
      </c>
      <c r="G316">
        <v>2604</v>
      </c>
      <c r="H316" t="s">
        <v>11</v>
      </c>
      <c r="I316" t="b" cm="1">
        <f t="array" ref="I316">isDup(B316,B317, 0.7)</f>
        <v>0</v>
      </c>
    </row>
    <row r="317" spans="1:9" ht="17" x14ac:dyDescent="0.2">
      <c r="A317" t="s">
        <v>4725</v>
      </c>
      <c r="B317" s="1" t="s">
        <v>4726</v>
      </c>
      <c r="C317" t="s">
        <v>754</v>
      </c>
      <c r="D317" s="1" t="s">
        <v>2</v>
      </c>
      <c r="E317" t="b">
        <v>0</v>
      </c>
      <c r="F317">
        <v>202</v>
      </c>
      <c r="G317">
        <v>448</v>
      </c>
      <c r="H317" t="s">
        <v>11</v>
      </c>
      <c r="I317" t="b" cm="1">
        <f t="array" ref="I317">isDup(B317,B318, 0.7)</f>
        <v>0</v>
      </c>
    </row>
    <row r="318" spans="1:9" ht="17" x14ac:dyDescent="0.2">
      <c r="A318" t="s">
        <v>4426</v>
      </c>
      <c r="B318" s="1" t="s">
        <v>4427</v>
      </c>
      <c r="C318" t="s">
        <v>226</v>
      </c>
      <c r="D318" s="1" t="s">
        <v>1960</v>
      </c>
      <c r="E318" t="b">
        <v>0</v>
      </c>
      <c r="F318">
        <v>226</v>
      </c>
      <c r="G318">
        <v>838</v>
      </c>
      <c r="H318" t="s">
        <v>11</v>
      </c>
      <c r="I318" t="b" cm="1">
        <f t="array" ref="I318">isDup(B318,B319, 0.7)</f>
        <v>0</v>
      </c>
    </row>
    <row r="319" spans="1:9" ht="17" x14ac:dyDescent="0.2">
      <c r="A319" t="s">
        <v>5634</v>
      </c>
      <c r="B319" s="1" t="s">
        <v>5635</v>
      </c>
      <c r="C319" t="s">
        <v>3848</v>
      </c>
      <c r="D319" s="1" t="s">
        <v>5636</v>
      </c>
      <c r="E319" t="b">
        <v>0</v>
      </c>
      <c r="F319">
        <v>877</v>
      </c>
      <c r="G319">
        <v>249</v>
      </c>
      <c r="H319" t="s">
        <v>11</v>
      </c>
      <c r="I319" t="b" cm="1">
        <f t="array" ref="I319">isDup(B319,B320, 0.7)</f>
        <v>0</v>
      </c>
    </row>
    <row r="320" spans="1:9" ht="17" x14ac:dyDescent="0.2">
      <c r="A320" t="s">
        <v>987</v>
      </c>
      <c r="B320" s="1" t="s">
        <v>988</v>
      </c>
      <c r="C320" t="s">
        <v>989</v>
      </c>
      <c r="D320" s="1" t="s">
        <v>2</v>
      </c>
      <c r="E320" t="b">
        <v>0</v>
      </c>
      <c r="F320">
        <v>32</v>
      </c>
      <c r="G320">
        <v>133</v>
      </c>
      <c r="H320" t="s">
        <v>11</v>
      </c>
      <c r="I320" t="b" cm="1">
        <f t="array" ref="I320">isDup(B320,B321, 0.7)</f>
        <v>0</v>
      </c>
    </row>
    <row r="321" spans="1:9" ht="17" x14ac:dyDescent="0.2">
      <c r="A321" t="s">
        <v>4782</v>
      </c>
      <c r="B321" s="1" t="s">
        <v>4783</v>
      </c>
      <c r="C321" t="s">
        <v>4784</v>
      </c>
      <c r="D321" s="1" t="s">
        <v>1653</v>
      </c>
      <c r="E321" t="b">
        <v>0</v>
      </c>
      <c r="F321">
        <v>10364</v>
      </c>
      <c r="G321">
        <v>10928</v>
      </c>
      <c r="H321" t="s">
        <v>11</v>
      </c>
      <c r="I321" t="b" cm="1">
        <f t="array" ref="I321">isDup(B321,B322, 0.7)</f>
        <v>0</v>
      </c>
    </row>
    <row r="322" spans="1:9" ht="17" x14ac:dyDescent="0.2">
      <c r="A322" t="s">
        <v>864</v>
      </c>
      <c r="B322" s="1" t="s">
        <v>865</v>
      </c>
      <c r="C322" t="s">
        <v>866</v>
      </c>
      <c r="D322" s="1" t="s">
        <v>168</v>
      </c>
      <c r="E322" t="b">
        <v>0</v>
      </c>
      <c r="F322">
        <v>211</v>
      </c>
      <c r="G322">
        <v>988</v>
      </c>
      <c r="H322" t="s">
        <v>11</v>
      </c>
      <c r="I322" t="b" cm="1">
        <f t="array" ref="I322">isDup(B322,B323, 0.7)</f>
        <v>0</v>
      </c>
    </row>
    <row r="323" spans="1:9" ht="34" x14ac:dyDescent="0.2">
      <c r="A323" t="s">
        <v>3435</v>
      </c>
      <c r="B323" s="1" t="s">
        <v>3436</v>
      </c>
      <c r="C323" t="s">
        <v>1015</v>
      </c>
      <c r="D323" s="1" t="s">
        <v>2</v>
      </c>
      <c r="E323" t="b">
        <v>0</v>
      </c>
      <c r="F323">
        <v>24</v>
      </c>
      <c r="G323">
        <v>134</v>
      </c>
      <c r="H323" t="s">
        <v>11</v>
      </c>
      <c r="I323" t="b" cm="1">
        <f t="array" ref="I323">isDup(B323,B324, 0.7)</f>
        <v>0</v>
      </c>
    </row>
    <row r="324" spans="1:9" ht="17" x14ac:dyDescent="0.2">
      <c r="A324" t="s">
        <v>366</v>
      </c>
      <c r="B324" s="1" t="s">
        <v>367</v>
      </c>
      <c r="C324" t="s">
        <v>368</v>
      </c>
      <c r="D324" s="1" t="s">
        <v>369</v>
      </c>
      <c r="E324" t="b">
        <v>0</v>
      </c>
      <c r="F324">
        <v>506</v>
      </c>
      <c r="G324">
        <v>442</v>
      </c>
      <c r="H324" t="s">
        <v>370</v>
      </c>
      <c r="I324" t="b" cm="1">
        <f t="array" ref="I324">isDup(B324,B325, 0.7)</f>
        <v>1</v>
      </c>
    </row>
    <row r="325" spans="1:9" ht="17" x14ac:dyDescent="0.2">
      <c r="A325" t="s">
        <v>1685</v>
      </c>
      <c r="B325" s="1" t="s">
        <v>1686</v>
      </c>
      <c r="C325" t="s">
        <v>1687</v>
      </c>
      <c r="D325" s="1" t="s">
        <v>2</v>
      </c>
      <c r="E325" t="b">
        <v>0</v>
      </c>
      <c r="F325">
        <v>38</v>
      </c>
      <c r="G325">
        <v>163</v>
      </c>
      <c r="H325" t="s">
        <v>1688</v>
      </c>
      <c r="I325" t="b" cm="1">
        <f t="array" ref="I325">isDup(B325,B326, 0.7)</f>
        <v>0</v>
      </c>
    </row>
    <row r="326" spans="1:9" ht="17" x14ac:dyDescent="0.2">
      <c r="A326" t="s">
        <v>4190</v>
      </c>
      <c r="B326" s="1" t="s">
        <v>4191</v>
      </c>
      <c r="C326" t="s">
        <v>82</v>
      </c>
      <c r="D326" s="1" t="s">
        <v>4192</v>
      </c>
      <c r="E326" t="b">
        <v>0</v>
      </c>
      <c r="F326">
        <v>58759</v>
      </c>
      <c r="G326">
        <v>20790</v>
      </c>
      <c r="H326" t="s">
        <v>11</v>
      </c>
      <c r="I326" t="b" cm="1">
        <f t="array" ref="I326">isDup(B326,B327, 0.7)</f>
        <v>0</v>
      </c>
    </row>
    <row r="327" spans="1:9" ht="34" x14ac:dyDescent="0.2">
      <c r="A327" t="s">
        <v>2808</v>
      </c>
      <c r="B327" s="1" t="s">
        <v>2809</v>
      </c>
      <c r="C327" t="s">
        <v>222</v>
      </c>
      <c r="D327" s="1" t="s">
        <v>223</v>
      </c>
      <c r="E327" t="b">
        <v>0</v>
      </c>
      <c r="F327">
        <v>9227</v>
      </c>
      <c r="G327">
        <v>7170</v>
      </c>
      <c r="H327" t="s">
        <v>11</v>
      </c>
      <c r="I327" t="b" cm="1">
        <f t="array" ref="I327">isDup(B327,B328, 0.7)</f>
        <v>0</v>
      </c>
    </row>
    <row r="328" spans="1:9" ht="17" x14ac:dyDescent="0.2">
      <c r="A328" t="s">
        <v>4086</v>
      </c>
      <c r="B328" s="1" t="s">
        <v>4087</v>
      </c>
      <c r="C328" t="s">
        <v>4088</v>
      </c>
      <c r="D328" s="1" t="s">
        <v>4089</v>
      </c>
      <c r="E328" t="b">
        <v>0</v>
      </c>
      <c r="F328">
        <v>130</v>
      </c>
      <c r="G328">
        <v>124</v>
      </c>
      <c r="H328" t="s">
        <v>83</v>
      </c>
      <c r="I328" t="b" cm="1">
        <f t="array" ref="I328">isDup(B328,B329, 0.7)</f>
        <v>0</v>
      </c>
    </row>
    <row r="329" spans="1:9" ht="17" x14ac:dyDescent="0.2">
      <c r="A329" t="s">
        <v>5548</v>
      </c>
      <c r="B329" s="1" t="s">
        <v>5549</v>
      </c>
      <c r="C329" t="s">
        <v>5550</v>
      </c>
      <c r="D329" s="1" t="s">
        <v>2</v>
      </c>
      <c r="E329" t="b">
        <v>0</v>
      </c>
      <c r="F329">
        <v>34534</v>
      </c>
      <c r="G329">
        <v>4</v>
      </c>
      <c r="H329" t="s">
        <v>11</v>
      </c>
      <c r="I329" t="b" cm="1">
        <f t="array" ref="I329">isDup(B329,B330, 0.7)</f>
        <v>0</v>
      </c>
    </row>
    <row r="330" spans="1:9" ht="34" x14ac:dyDescent="0.2">
      <c r="A330" t="s">
        <v>2267</v>
      </c>
      <c r="B330" s="1" t="s">
        <v>2268</v>
      </c>
      <c r="C330" t="s">
        <v>2269</v>
      </c>
      <c r="D330" s="1" t="s">
        <v>1167</v>
      </c>
      <c r="E330" t="b">
        <v>0</v>
      </c>
      <c r="F330">
        <v>264</v>
      </c>
      <c r="G330">
        <v>494</v>
      </c>
      <c r="H330" t="s">
        <v>11</v>
      </c>
      <c r="I330" t="b" cm="1">
        <f t="array" ref="I330">isDup(B330,B331, 0.7)</f>
        <v>0</v>
      </c>
    </row>
    <row r="331" spans="1:9" ht="17" x14ac:dyDescent="0.2">
      <c r="A331" t="s">
        <v>7098</v>
      </c>
      <c r="B331" s="1" t="s">
        <v>7099</v>
      </c>
      <c r="C331" t="s">
        <v>4434</v>
      </c>
      <c r="D331" s="1" t="s">
        <v>7100</v>
      </c>
      <c r="E331" t="b">
        <v>0</v>
      </c>
      <c r="F331">
        <v>143</v>
      </c>
      <c r="G331">
        <v>462</v>
      </c>
      <c r="H331" t="s">
        <v>110</v>
      </c>
      <c r="I331" t="b" cm="1">
        <f t="array" ref="I331">isDup(B331,B332, 0.7)</f>
        <v>0</v>
      </c>
    </row>
    <row r="332" spans="1:9" ht="17" x14ac:dyDescent="0.2">
      <c r="A332" t="s">
        <v>2566</v>
      </c>
      <c r="B332" s="1" t="s">
        <v>2567</v>
      </c>
      <c r="C332" t="s">
        <v>1197</v>
      </c>
      <c r="D332" s="1" t="s">
        <v>1198</v>
      </c>
      <c r="E332" t="b">
        <v>0</v>
      </c>
      <c r="F332">
        <v>1123</v>
      </c>
      <c r="G332">
        <v>316</v>
      </c>
      <c r="H332" t="s">
        <v>11</v>
      </c>
      <c r="I332" t="b" cm="1">
        <f t="array" ref="I332">isDup(B332,B333, 0.7)</f>
        <v>0</v>
      </c>
    </row>
    <row r="333" spans="1:9" ht="34" x14ac:dyDescent="0.2">
      <c r="A333" t="s">
        <v>485</v>
      </c>
      <c r="B333" s="1" t="s">
        <v>486</v>
      </c>
      <c r="C333" t="s">
        <v>439</v>
      </c>
      <c r="D333" s="1" t="s">
        <v>487</v>
      </c>
      <c r="E333" t="b">
        <v>0</v>
      </c>
      <c r="F333">
        <v>34</v>
      </c>
      <c r="G333">
        <v>76</v>
      </c>
      <c r="H333" t="s">
        <v>11</v>
      </c>
      <c r="I333" t="b" cm="1">
        <f t="array" ref="I333">isDup(B333,B334, 0.7)</f>
        <v>0</v>
      </c>
    </row>
    <row r="334" spans="1:9" ht="17" x14ac:dyDescent="0.2">
      <c r="A334" t="s">
        <v>2365</v>
      </c>
      <c r="B334" s="1" t="s">
        <v>2366</v>
      </c>
      <c r="C334" t="s">
        <v>2367</v>
      </c>
      <c r="D334" s="1" t="s">
        <v>2368</v>
      </c>
      <c r="E334" t="b">
        <v>0</v>
      </c>
      <c r="F334">
        <v>838</v>
      </c>
      <c r="G334">
        <v>1484</v>
      </c>
      <c r="H334" t="s">
        <v>11</v>
      </c>
      <c r="I334" t="b" cm="1">
        <f t="array" ref="I334">isDup(B334,B335, 0.7)</f>
        <v>0</v>
      </c>
    </row>
    <row r="335" spans="1:9" ht="17" x14ac:dyDescent="0.2">
      <c r="A335" t="s">
        <v>2319</v>
      </c>
      <c r="B335" s="1" t="s">
        <v>2320</v>
      </c>
      <c r="C335" t="s">
        <v>2321</v>
      </c>
      <c r="D335" s="1" t="s">
        <v>2167</v>
      </c>
      <c r="E335" t="b">
        <v>0</v>
      </c>
      <c r="F335">
        <v>135</v>
      </c>
      <c r="G335">
        <v>391</v>
      </c>
      <c r="H335" t="s">
        <v>11</v>
      </c>
      <c r="I335" t="b" cm="1">
        <f t="array" ref="I335">isDup(B335,B336, 0.7)</f>
        <v>0</v>
      </c>
    </row>
    <row r="336" spans="1:9" ht="17" x14ac:dyDescent="0.2">
      <c r="A336" t="s">
        <v>1261</v>
      </c>
      <c r="B336" s="1" t="s">
        <v>1262</v>
      </c>
      <c r="C336" t="s">
        <v>1263</v>
      </c>
      <c r="D336" s="1" t="s">
        <v>1264</v>
      </c>
      <c r="E336" t="b">
        <v>0</v>
      </c>
      <c r="F336">
        <v>65</v>
      </c>
      <c r="G336">
        <v>34</v>
      </c>
      <c r="H336" t="s">
        <v>359</v>
      </c>
      <c r="I336" t="b" cm="1">
        <f t="array" ref="I336">isDup(B336,B337, 0.7)</f>
        <v>0</v>
      </c>
    </row>
    <row r="337" spans="1:9" ht="17" x14ac:dyDescent="0.2">
      <c r="A337" t="s">
        <v>1612</v>
      </c>
      <c r="B337" s="1" t="s">
        <v>1613</v>
      </c>
      <c r="C337" t="s">
        <v>1614</v>
      </c>
      <c r="D337" s="1" t="s">
        <v>1615</v>
      </c>
      <c r="E337" t="b">
        <v>0</v>
      </c>
      <c r="F337">
        <v>82</v>
      </c>
      <c r="G337">
        <v>32</v>
      </c>
      <c r="H337" t="s">
        <v>11</v>
      </c>
      <c r="I337" t="b" cm="1">
        <f t="array" ref="I337">isDup(B337,B338, 0.7)</f>
        <v>0</v>
      </c>
    </row>
    <row r="338" spans="1:9" ht="17" x14ac:dyDescent="0.2">
      <c r="A338" t="s">
        <v>3558</v>
      </c>
      <c r="B338" s="1" t="s">
        <v>3559</v>
      </c>
      <c r="C338" t="s">
        <v>1263</v>
      </c>
      <c r="D338" s="1" t="s">
        <v>1264</v>
      </c>
      <c r="E338" t="b">
        <v>0</v>
      </c>
      <c r="F338">
        <v>64</v>
      </c>
      <c r="G338">
        <v>34</v>
      </c>
      <c r="H338" t="s">
        <v>359</v>
      </c>
      <c r="I338" t="b" cm="1">
        <f t="array" ref="I338">isDup(B338,B339, 0.7)</f>
        <v>0</v>
      </c>
    </row>
    <row r="339" spans="1:9" ht="17" x14ac:dyDescent="0.2">
      <c r="A339" t="s">
        <v>1961</v>
      </c>
      <c r="B339" s="1" t="s">
        <v>1962</v>
      </c>
      <c r="C339" t="s">
        <v>1263</v>
      </c>
      <c r="D339" s="1" t="s">
        <v>1264</v>
      </c>
      <c r="E339" t="b">
        <v>0</v>
      </c>
      <c r="F339">
        <v>64</v>
      </c>
      <c r="G339">
        <v>34</v>
      </c>
      <c r="H339" t="s">
        <v>359</v>
      </c>
      <c r="I339" t="b" cm="1">
        <f t="array" ref="I339">isDup(B339,B340, 0.7)</f>
        <v>0</v>
      </c>
    </row>
    <row r="340" spans="1:9" ht="17" x14ac:dyDescent="0.2">
      <c r="A340" t="s">
        <v>7067</v>
      </c>
      <c r="B340" s="1" t="s">
        <v>7068</v>
      </c>
      <c r="C340" t="s">
        <v>1263</v>
      </c>
      <c r="D340" s="1" t="s">
        <v>1264</v>
      </c>
      <c r="E340" t="b">
        <v>0</v>
      </c>
      <c r="F340">
        <v>64</v>
      </c>
      <c r="G340">
        <v>34</v>
      </c>
      <c r="H340" t="s">
        <v>359</v>
      </c>
      <c r="I340" t="b" cm="1">
        <f t="array" ref="I340">isDup(B340,B341, 0.7)</f>
        <v>0</v>
      </c>
    </row>
    <row r="341" spans="1:9" ht="17" x14ac:dyDescent="0.2">
      <c r="A341" t="s">
        <v>6501</v>
      </c>
      <c r="B341" s="1" t="s">
        <v>6502</v>
      </c>
      <c r="C341" t="s">
        <v>1263</v>
      </c>
      <c r="D341" s="1" t="s">
        <v>1264</v>
      </c>
      <c r="E341" t="b">
        <v>0</v>
      </c>
      <c r="F341">
        <v>64</v>
      </c>
      <c r="G341">
        <v>34</v>
      </c>
      <c r="H341" t="s">
        <v>359</v>
      </c>
      <c r="I341" t="b" cm="1">
        <f t="array" ref="I341">isDup(B341,B342, 0.7)</f>
        <v>0</v>
      </c>
    </row>
    <row r="342" spans="1:9" ht="17" x14ac:dyDescent="0.2">
      <c r="A342" t="s">
        <v>4289</v>
      </c>
      <c r="B342" s="1" t="s">
        <v>4290</v>
      </c>
      <c r="C342" t="s">
        <v>1263</v>
      </c>
      <c r="D342" s="1" t="s">
        <v>1264</v>
      </c>
      <c r="E342" t="b">
        <v>0</v>
      </c>
      <c r="F342">
        <v>64</v>
      </c>
      <c r="G342">
        <v>34</v>
      </c>
      <c r="H342" t="s">
        <v>359</v>
      </c>
      <c r="I342" t="b" cm="1">
        <f t="array" ref="I342">isDup(B342,B343, 0.7)</f>
        <v>0</v>
      </c>
    </row>
    <row r="343" spans="1:9" ht="17" x14ac:dyDescent="0.2">
      <c r="A343" t="s">
        <v>2552</v>
      </c>
      <c r="B343" s="1" t="s">
        <v>2553</v>
      </c>
      <c r="C343" t="s">
        <v>2554</v>
      </c>
      <c r="D343" s="1" t="s">
        <v>2</v>
      </c>
      <c r="E343" t="b">
        <v>0</v>
      </c>
      <c r="F343">
        <v>36</v>
      </c>
      <c r="G343">
        <v>274</v>
      </c>
      <c r="H343" t="s">
        <v>863</v>
      </c>
      <c r="I343" t="b" cm="1">
        <f t="array" ref="I343">isDup(B343,B344, 0.7)</f>
        <v>0</v>
      </c>
    </row>
    <row r="344" spans="1:9" ht="17" x14ac:dyDescent="0.2">
      <c r="A344" t="s">
        <v>6723</v>
      </c>
      <c r="B344" s="1" t="s">
        <v>6724</v>
      </c>
      <c r="C344" t="s">
        <v>2087</v>
      </c>
      <c r="D344" s="1" t="s">
        <v>6725</v>
      </c>
      <c r="E344" t="b">
        <v>0</v>
      </c>
      <c r="F344">
        <v>17</v>
      </c>
      <c r="G344">
        <v>63</v>
      </c>
      <c r="H344" t="s">
        <v>11</v>
      </c>
      <c r="I344" t="b" cm="1">
        <f t="array" ref="I344">isDup(B344,B345, 0.7)</f>
        <v>0</v>
      </c>
    </row>
    <row r="345" spans="1:9" ht="17" x14ac:dyDescent="0.2">
      <c r="A345" t="s">
        <v>1142</v>
      </c>
      <c r="B345" s="1" t="s">
        <v>1143</v>
      </c>
      <c r="C345" t="s">
        <v>358</v>
      </c>
      <c r="E345" t="b">
        <v>0</v>
      </c>
      <c r="F345">
        <v>3605</v>
      </c>
      <c r="G345">
        <v>276</v>
      </c>
      <c r="H345" t="s">
        <v>11</v>
      </c>
      <c r="I345" t="b" cm="1">
        <f t="array" ref="I345">isDup(B345,B346, 0.7)</f>
        <v>0</v>
      </c>
    </row>
    <row r="346" spans="1:9" ht="17" x14ac:dyDescent="0.2">
      <c r="A346" t="s">
        <v>686</v>
      </c>
      <c r="B346" s="1" t="s">
        <v>687</v>
      </c>
      <c r="C346" t="s">
        <v>649</v>
      </c>
      <c r="D346" s="1" t="s">
        <v>2</v>
      </c>
      <c r="E346" t="b">
        <v>0</v>
      </c>
      <c r="F346">
        <v>37</v>
      </c>
      <c r="G346">
        <v>14</v>
      </c>
      <c r="H346" t="s">
        <v>31</v>
      </c>
      <c r="I346" t="b" cm="1">
        <f t="array" ref="I346">isDup(B346,B347, 0.7)</f>
        <v>0</v>
      </c>
    </row>
    <row r="347" spans="1:9" ht="17" x14ac:dyDescent="0.2">
      <c r="A347" t="s">
        <v>5082</v>
      </c>
      <c r="B347" s="1" t="s">
        <v>5083</v>
      </c>
      <c r="C347" t="s">
        <v>649</v>
      </c>
      <c r="D347" s="1" t="s">
        <v>2</v>
      </c>
      <c r="E347" t="b">
        <v>0</v>
      </c>
      <c r="F347">
        <v>38</v>
      </c>
      <c r="G347">
        <v>14</v>
      </c>
      <c r="H347" t="s">
        <v>31</v>
      </c>
      <c r="I347" t="b" cm="1">
        <f t="array" ref="I347">isDup(B347,B348, 0.7)</f>
        <v>0</v>
      </c>
    </row>
    <row r="348" spans="1:9" ht="34" x14ac:dyDescent="0.2">
      <c r="A348" t="s">
        <v>1852</v>
      </c>
      <c r="B348" s="1" t="s">
        <v>1853</v>
      </c>
      <c r="C348" t="s">
        <v>345</v>
      </c>
      <c r="D348" s="1" t="s">
        <v>2</v>
      </c>
      <c r="E348" t="b">
        <v>0</v>
      </c>
      <c r="F348">
        <v>4</v>
      </c>
      <c r="G348">
        <v>8</v>
      </c>
      <c r="H348" t="s">
        <v>11</v>
      </c>
      <c r="I348" t="b" cm="1">
        <f t="array" ref="I348">isDup(B348,B349, 0.7)</f>
        <v>0</v>
      </c>
    </row>
    <row r="349" spans="1:9" ht="17" x14ac:dyDescent="0.2">
      <c r="A349" t="s">
        <v>245</v>
      </c>
      <c r="B349" s="1" t="s">
        <v>246</v>
      </c>
      <c r="C349" t="s">
        <v>247</v>
      </c>
      <c r="D349" s="1" t="s">
        <v>2</v>
      </c>
      <c r="E349" t="b">
        <v>0</v>
      </c>
      <c r="F349">
        <v>473</v>
      </c>
      <c r="G349">
        <v>1342</v>
      </c>
      <c r="H349" t="s">
        <v>11</v>
      </c>
      <c r="I349" t="b" cm="1">
        <f t="array" ref="I349">isDup(B349,B350, 0.7)</f>
        <v>0</v>
      </c>
    </row>
    <row r="350" spans="1:9" ht="17" x14ac:dyDescent="0.2">
      <c r="A350" t="s">
        <v>1991</v>
      </c>
      <c r="B350" s="1" t="s">
        <v>1992</v>
      </c>
      <c r="C350" t="s">
        <v>1530</v>
      </c>
      <c r="D350" s="1" t="s">
        <v>1531</v>
      </c>
      <c r="E350" t="b">
        <v>0</v>
      </c>
      <c r="F350">
        <v>25</v>
      </c>
      <c r="G350">
        <v>43</v>
      </c>
      <c r="H350" t="s">
        <v>11</v>
      </c>
      <c r="I350" t="b" cm="1">
        <f t="array" ref="I350">isDup(B350,B351, 0.7)</f>
        <v>0</v>
      </c>
    </row>
    <row r="351" spans="1:9" ht="17" x14ac:dyDescent="0.2">
      <c r="A351" t="s">
        <v>3247</v>
      </c>
      <c r="B351" s="1" t="s">
        <v>3248</v>
      </c>
      <c r="C351" t="s">
        <v>3249</v>
      </c>
      <c r="D351" s="1" t="s">
        <v>3250</v>
      </c>
      <c r="E351" t="b">
        <v>0</v>
      </c>
      <c r="F351">
        <v>29</v>
      </c>
      <c r="G351">
        <v>23</v>
      </c>
      <c r="H351" t="s">
        <v>11</v>
      </c>
      <c r="I351" t="b" cm="1">
        <f t="array" ref="I351">isDup(B351,B352, 0.7)</f>
        <v>0</v>
      </c>
    </row>
    <row r="352" spans="1:9" ht="17" x14ac:dyDescent="0.2">
      <c r="A352" t="s">
        <v>2564</v>
      </c>
      <c r="B352" s="1" t="s">
        <v>2565</v>
      </c>
      <c r="C352" t="s">
        <v>2112</v>
      </c>
      <c r="D352" s="1" t="s">
        <v>2399</v>
      </c>
      <c r="E352" t="b">
        <v>0</v>
      </c>
      <c r="F352">
        <v>7728</v>
      </c>
      <c r="G352">
        <v>328</v>
      </c>
      <c r="H352" t="s">
        <v>11</v>
      </c>
      <c r="I352" t="b" cm="1">
        <f t="array" ref="I352">isDup(B352,B353, 0.7)</f>
        <v>0</v>
      </c>
    </row>
    <row r="353" spans="1:9" ht="17" x14ac:dyDescent="0.2">
      <c r="A353" t="s">
        <v>4027</v>
      </c>
      <c r="B353" s="1" t="s">
        <v>4028</v>
      </c>
      <c r="C353" t="s">
        <v>2375</v>
      </c>
      <c r="D353" s="1" t="s">
        <v>4029</v>
      </c>
      <c r="E353" t="b">
        <v>0</v>
      </c>
      <c r="F353">
        <v>1184</v>
      </c>
      <c r="G353">
        <v>4088</v>
      </c>
      <c r="H353" t="s">
        <v>11</v>
      </c>
      <c r="I353" t="b" cm="1">
        <f t="array" ref="I353">isDup(B353,B354, 0.7)</f>
        <v>0</v>
      </c>
    </row>
    <row r="354" spans="1:9" ht="17" x14ac:dyDescent="0.2">
      <c r="A354" t="s">
        <v>5199</v>
      </c>
      <c r="B354" s="1" t="s">
        <v>5200</v>
      </c>
      <c r="C354" t="s">
        <v>712</v>
      </c>
      <c r="D354" s="1" t="s">
        <v>3570</v>
      </c>
      <c r="E354" t="b">
        <v>0</v>
      </c>
      <c r="F354">
        <v>2849</v>
      </c>
      <c r="G354">
        <v>510</v>
      </c>
      <c r="H354" t="s">
        <v>11</v>
      </c>
      <c r="I354" t="b" cm="1">
        <f t="array" ref="I354">isDup(B354,B355, 0.7)</f>
        <v>0</v>
      </c>
    </row>
    <row r="355" spans="1:9" ht="34" x14ac:dyDescent="0.2">
      <c r="A355" t="s">
        <v>4376</v>
      </c>
      <c r="B355" s="1" t="s">
        <v>4377</v>
      </c>
      <c r="C355" t="s">
        <v>4378</v>
      </c>
      <c r="D355" s="1" t="s">
        <v>2</v>
      </c>
      <c r="E355" t="b">
        <v>0</v>
      </c>
      <c r="F355">
        <v>1</v>
      </c>
      <c r="G355">
        <v>11</v>
      </c>
      <c r="H355" t="s">
        <v>11</v>
      </c>
      <c r="I355" t="b" cm="1">
        <f t="array" ref="I355">isDup(B355,B356, 0.7)</f>
        <v>0</v>
      </c>
    </row>
    <row r="356" spans="1:9" ht="17" x14ac:dyDescent="0.2">
      <c r="A356" t="s">
        <v>153</v>
      </c>
      <c r="B356" s="1" t="s">
        <v>154</v>
      </c>
      <c r="C356" t="s">
        <v>26</v>
      </c>
      <c r="D356" s="1" t="s">
        <v>2</v>
      </c>
      <c r="E356" t="b">
        <v>0</v>
      </c>
      <c r="F356">
        <v>3</v>
      </c>
      <c r="G356">
        <v>1</v>
      </c>
      <c r="H356" t="s">
        <v>11</v>
      </c>
      <c r="I356" t="b" cm="1">
        <f t="array" ref="I356">isDup(B356,B357, 0.7)</f>
        <v>0</v>
      </c>
    </row>
    <row r="357" spans="1:9" ht="17" x14ac:dyDescent="0.2">
      <c r="A357" t="s">
        <v>2839</v>
      </c>
      <c r="B357" s="1" t="s">
        <v>2840</v>
      </c>
      <c r="C357" t="s">
        <v>938</v>
      </c>
      <c r="D357" s="1" t="s">
        <v>2775</v>
      </c>
      <c r="E357" t="b">
        <v>0</v>
      </c>
      <c r="F357">
        <v>1210</v>
      </c>
      <c r="G357">
        <v>2424</v>
      </c>
      <c r="H357" t="s">
        <v>11</v>
      </c>
      <c r="I357" t="b" cm="1">
        <f t="array" ref="I357">isDup(B357,B358, 0.7)</f>
        <v>0</v>
      </c>
    </row>
    <row r="358" spans="1:9" ht="17" x14ac:dyDescent="0.2">
      <c r="A358" t="s">
        <v>7231</v>
      </c>
      <c r="B358" s="1" t="s">
        <v>7232</v>
      </c>
      <c r="C358" t="s">
        <v>769</v>
      </c>
      <c r="D358" s="1" t="s">
        <v>7233</v>
      </c>
      <c r="E358" t="b">
        <v>0</v>
      </c>
      <c r="F358">
        <v>243</v>
      </c>
      <c r="G358">
        <v>576</v>
      </c>
      <c r="H358" t="s">
        <v>11</v>
      </c>
      <c r="I358" t="b" cm="1">
        <f t="array" ref="I358">isDup(B358,B359, 0.7)</f>
        <v>0</v>
      </c>
    </row>
    <row r="359" spans="1:9" ht="17" x14ac:dyDescent="0.2">
      <c r="A359" t="s">
        <v>625</v>
      </c>
      <c r="B359" s="1" t="s">
        <v>626</v>
      </c>
      <c r="C359" t="s">
        <v>627</v>
      </c>
      <c r="D359" s="1" t="s">
        <v>2</v>
      </c>
      <c r="E359" t="b">
        <v>0</v>
      </c>
      <c r="F359">
        <v>36245</v>
      </c>
      <c r="G359">
        <v>2776</v>
      </c>
      <c r="H359" t="s">
        <v>11</v>
      </c>
      <c r="I359" t="b" cm="1">
        <f t="array" ref="I359">isDup(B359,B360, 0.7)</f>
        <v>0</v>
      </c>
    </row>
    <row r="360" spans="1:9" ht="17" x14ac:dyDescent="0.2">
      <c r="A360" t="s">
        <v>1886</v>
      </c>
      <c r="B360" s="1" t="s">
        <v>1887</v>
      </c>
      <c r="C360" t="s">
        <v>1888</v>
      </c>
      <c r="D360" s="1" t="s">
        <v>1889</v>
      </c>
      <c r="E360" t="b">
        <v>0</v>
      </c>
      <c r="F360">
        <v>18</v>
      </c>
      <c r="G360">
        <v>184</v>
      </c>
      <c r="H360" t="s">
        <v>11</v>
      </c>
      <c r="I360" t="b" cm="1">
        <f t="array" ref="I360">isDup(B360,B361, 0.7)</f>
        <v>0</v>
      </c>
    </row>
    <row r="361" spans="1:9" ht="17" x14ac:dyDescent="0.2">
      <c r="A361" t="s">
        <v>3170</v>
      </c>
      <c r="B361" s="1" t="s">
        <v>3171</v>
      </c>
      <c r="C361" t="s">
        <v>958</v>
      </c>
      <c r="D361" s="1" t="s">
        <v>1348</v>
      </c>
      <c r="E361" t="b">
        <v>0</v>
      </c>
      <c r="F361">
        <v>5162</v>
      </c>
      <c r="G361">
        <v>678</v>
      </c>
      <c r="H361" t="s">
        <v>3</v>
      </c>
      <c r="I361" t="b" cm="1">
        <f t="array" ref="I361">isDup(B361,B362, 0.7)</f>
        <v>0</v>
      </c>
    </row>
    <row r="362" spans="1:9" ht="34" x14ac:dyDescent="0.2">
      <c r="A362" t="s">
        <v>2826</v>
      </c>
      <c r="B362" s="1" t="s">
        <v>2827</v>
      </c>
      <c r="C362" t="s">
        <v>2828</v>
      </c>
      <c r="D362" s="1" t="s">
        <v>2829</v>
      </c>
      <c r="E362" t="b">
        <v>0</v>
      </c>
      <c r="F362">
        <v>3116</v>
      </c>
      <c r="G362">
        <v>95</v>
      </c>
      <c r="H362" t="s">
        <v>11</v>
      </c>
      <c r="I362" t="b" cm="1">
        <f t="array" ref="I362">isDup(B362,B363, 0.7)</f>
        <v>0</v>
      </c>
    </row>
    <row r="363" spans="1:9" ht="17" x14ac:dyDescent="0.2">
      <c r="A363" t="s">
        <v>906</v>
      </c>
      <c r="B363" s="1" t="s">
        <v>907</v>
      </c>
      <c r="C363" t="s">
        <v>908</v>
      </c>
      <c r="D363" s="1" t="s">
        <v>2</v>
      </c>
      <c r="E363" t="b">
        <v>0</v>
      </c>
      <c r="F363">
        <v>1032</v>
      </c>
      <c r="G363">
        <v>2541</v>
      </c>
      <c r="H363" t="s">
        <v>11</v>
      </c>
      <c r="I363" t="b" cm="1">
        <f t="array" ref="I363">isDup(B363,B364, 0.7)</f>
        <v>0</v>
      </c>
    </row>
    <row r="364" spans="1:9" ht="17" x14ac:dyDescent="0.2">
      <c r="A364" t="s">
        <v>3680</v>
      </c>
      <c r="B364" s="1" t="s">
        <v>3681</v>
      </c>
      <c r="C364" t="s">
        <v>143</v>
      </c>
      <c r="D364" s="1" t="s">
        <v>2804</v>
      </c>
      <c r="E364" t="b">
        <v>0</v>
      </c>
      <c r="F364">
        <v>227</v>
      </c>
      <c r="G364">
        <v>219</v>
      </c>
      <c r="H364" t="s">
        <v>11</v>
      </c>
      <c r="I364" t="b" cm="1">
        <f t="array" ref="I364">isDup(B364,B365, 0.7)</f>
        <v>0</v>
      </c>
    </row>
    <row r="365" spans="1:9" ht="17" x14ac:dyDescent="0.2">
      <c r="A365" t="s">
        <v>5305</v>
      </c>
      <c r="B365" s="1" t="s">
        <v>5306</v>
      </c>
      <c r="C365" t="s">
        <v>2633</v>
      </c>
      <c r="D365" s="1" t="s">
        <v>168</v>
      </c>
      <c r="E365" t="b">
        <v>0</v>
      </c>
      <c r="F365">
        <v>27</v>
      </c>
      <c r="G365">
        <v>84</v>
      </c>
      <c r="H365" t="s">
        <v>11</v>
      </c>
      <c r="I365" t="b" cm="1">
        <f t="array" ref="I365">isDup(B365,B366, 0.7)</f>
        <v>0</v>
      </c>
    </row>
    <row r="366" spans="1:9" ht="17" x14ac:dyDescent="0.2">
      <c r="A366" t="s">
        <v>1229</v>
      </c>
      <c r="B366" s="1" t="s">
        <v>1230</v>
      </c>
      <c r="C366" t="s">
        <v>1226</v>
      </c>
      <c r="D366" s="1" t="s">
        <v>1227</v>
      </c>
      <c r="E366" t="b">
        <v>0</v>
      </c>
      <c r="F366">
        <v>425</v>
      </c>
      <c r="G366">
        <v>768</v>
      </c>
      <c r="H366" t="s">
        <v>11</v>
      </c>
      <c r="I366" t="b" cm="1">
        <f t="array" ref="I366">isDup(B366,B367, 0.7)</f>
        <v>1</v>
      </c>
    </row>
    <row r="367" spans="1:9" ht="17" x14ac:dyDescent="0.2">
      <c r="A367" t="s">
        <v>4024</v>
      </c>
      <c r="B367" s="1" t="s">
        <v>4025</v>
      </c>
      <c r="C367" t="s">
        <v>143</v>
      </c>
      <c r="D367" s="1" t="s">
        <v>2804</v>
      </c>
      <c r="E367" t="b">
        <v>0</v>
      </c>
      <c r="F367">
        <v>227</v>
      </c>
      <c r="G367">
        <v>219</v>
      </c>
      <c r="H367" t="s">
        <v>11</v>
      </c>
      <c r="I367" t="b" cm="1">
        <f t="array" ref="I367">isDup(B367,B368, 0.7)</f>
        <v>0</v>
      </c>
    </row>
    <row r="368" spans="1:9" ht="34" x14ac:dyDescent="0.2">
      <c r="A368" t="s">
        <v>727</v>
      </c>
      <c r="B368" s="1" t="s">
        <v>728</v>
      </c>
      <c r="C368" t="s">
        <v>729</v>
      </c>
      <c r="D368" s="1" t="s">
        <v>730</v>
      </c>
      <c r="E368" t="b">
        <v>0</v>
      </c>
      <c r="F368">
        <v>218</v>
      </c>
      <c r="G368">
        <v>686</v>
      </c>
      <c r="H368" t="s">
        <v>11</v>
      </c>
      <c r="I368" t="b" cm="1">
        <f t="array" ref="I368">isDup(B368,B369, 0.7)</f>
        <v>0</v>
      </c>
    </row>
    <row r="369" spans="1:9" ht="17" x14ac:dyDescent="0.2">
      <c r="A369" t="s">
        <v>1420</v>
      </c>
      <c r="B369" s="1" t="s">
        <v>1421</v>
      </c>
      <c r="C369" t="s">
        <v>1422</v>
      </c>
      <c r="D369" s="1" t="s">
        <v>1423</v>
      </c>
      <c r="E369" t="b">
        <v>0</v>
      </c>
      <c r="F369">
        <v>19</v>
      </c>
      <c r="G369">
        <v>164</v>
      </c>
      <c r="H369" t="s">
        <v>83</v>
      </c>
      <c r="I369" t="b" cm="1">
        <f t="array" ref="I369">isDup(B369,B370, 0.7)</f>
        <v>0</v>
      </c>
    </row>
    <row r="370" spans="1:9" ht="17" x14ac:dyDescent="0.2">
      <c r="A370" t="s">
        <v>892</v>
      </c>
      <c r="B370" s="1" t="s">
        <v>893</v>
      </c>
      <c r="C370" t="s">
        <v>894</v>
      </c>
      <c r="D370" s="1" t="s">
        <v>895</v>
      </c>
      <c r="E370" t="b">
        <v>0</v>
      </c>
      <c r="F370">
        <v>33</v>
      </c>
      <c r="G370">
        <v>26</v>
      </c>
      <c r="H370" t="s">
        <v>11</v>
      </c>
      <c r="I370" t="b" cm="1">
        <f t="array" ref="I370">isDup(B370,B371, 0.7)</f>
        <v>0</v>
      </c>
    </row>
    <row r="371" spans="1:9" ht="34" x14ac:dyDescent="0.2">
      <c r="A371" t="s">
        <v>4080</v>
      </c>
      <c r="B371" s="1" t="s">
        <v>4081</v>
      </c>
      <c r="C371" t="s">
        <v>4082</v>
      </c>
      <c r="D371" s="1" t="s">
        <v>4083</v>
      </c>
      <c r="E371" t="b">
        <v>0</v>
      </c>
      <c r="F371">
        <v>10</v>
      </c>
      <c r="G371">
        <v>79</v>
      </c>
      <c r="H371" t="s">
        <v>11</v>
      </c>
      <c r="I371" t="b" cm="1">
        <f t="array" ref="I371">isDup(B371,B372, 0.7)</f>
        <v>0</v>
      </c>
    </row>
    <row r="372" spans="1:9" ht="34" x14ac:dyDescent="0.2">
      <c r="A372" t="s">
        <v>3115</v>
      </c>
      <c r="B372" s="1" t="s">
        <v>3116</v>
      </c>
      <c r="C372" t="s">
        <v>1675</v>
      </c>
      <c r="D372" s="1" t="s">
        <v>3117</v>
      </c>
      <c r="E372" t="b">
        <v>0</v>
      </c>
      <c r="F372">
        <v>22061</v>
      </c>
      <c r="G372">
        <v>93</v>
      </c>
      <c r="H372" t="s">
        <v>11</v>
      </c>
      <c r="I372" t="b" cm="1">
        <f t="array" ref="I372">isDup(B372,B373, 0.7)</f>
        <v>0</v>
      </c>
    </row>
    <row r="373" spans="1:9" ht="17" x14ac:dyDescent="0.2">
      <c r="A373" t="s">
        <v>5691</v>
      </c>
      <c r="B373" s="1" t="s">
        <v>5692</v>
      </c>
      <c r="C373" t="s">
        <v>584</v>
      </c>
      <c r="D373" s="1" t="s">
        <v>2</v>
      </c>
      <c r="E373" t="b">
        <v>0</v>
      </c>
      <c r="F373">
        <v>14</v>
      </c>
      <c r="G373">
        <v>77</v>
      </c>
      <c r="H373" t="s">
        <v>11</v>
      </c>
      <c r="I373" t="b" cm="1">
        <f t="array" ref="I373">isDup(B373,B374, 0.7)</f>
        <v>0</v>
      </c>
    </row>
    <row r="374" spans="1:9" ht="17" x14ac:dyDescent="0.2">
      <c r="A374" t="s">
        <v>3073</v>
      </c>
      <c r="B374" s="1" t="s">
        <v>3074</v>
      </c>
      <c r="C374" t="s">
        <v>461</v>
      </c>
      <c r="D374" s="1" t="s">
        <v>3075</v>
      </c>
      <c r="E374" t="b">
        <v>0</v>
      </c>
      <c r="F374">
        <v>3216</v>
      </c>
      <c r="G374">
        <v>3197</v>
      </c>
      <c r="H374" t="s">
        <v>11</v>
      </c>
      <c r="I374" t="b" cm="1">
        <f t="array" ref="I374">isDup(B374,B375, 0.7)</f>
        <v>0</v>
      </c>
    </row>
    <row r="375" spans="1:9" ht="17" x14ac:dyDescent="0.2">
      <c r="A375" t="s">
        <v>2593</v>
      </c>
      <c r="B375" s="1" t="s">
        <v>2594</v>
      </c>
      <c r="C375" t="s">
        <v>2595</v>
      </c>
      <c r="D375" s="1" t="s">
        <v>755</v>
      </c>
      <c r="E375" t="b">
        <v>0</v>
      </c>
      <c r="F375">
        <v>27</v>
      </c>
      <c r="G375">
        <v>28</v>
      </c>
      <c r="H375" t="s">
        <v>11</v>
      </c>
      <c r="I375" t="b" cm="1">
        <f t="array" ref="I375">isDup(B375,B376, 0.7)</f>
        <v>0</v>
      </c>
    </row>
    <row r="376" spans="1:9" ht="34" x14ac:dyDescent="0.2">
      <c r="A376" t="s">
        <v>106</v>
      </c>
      <c r="B376" s="1" t="s">
        <v>107</v>
      </c>
      <c r="C376" t="s">
        <v>108</v>
      </c>
      <c r="D376" s="1" t="s">
        <v>109</v>
      </c>
      <c r="E376" t="b">
        <v>0</v>
      </c>
      <c r="F376">
        <v>841</v>
      </c>
      <c r="G376">
        <v>899</v>
      </c>
      <c r="H376" t="s">
        <v>110</v>
      </c>
      <c r="I376" t="b" cm="1">
        <f t="array" ref="I376">isDup(B376,B377, 0.7)</f>
        <v>1</v>
      </c>
    </row>
    <row r="377" spans="1:9" ht="34" x14ac:dyDescent="0.2">
      <c r="A377" t="s">
        <v>720</v>
      </c>
      <c r="B377" s="1" t="s">
        <v>721</v>
      </c>
      <c r="C377" t="s">
        <v>108</v>
      </c>
      <c r="D377" s="1" t="s">
        <v>109</v>
      </c>
      <c r="E377" t="b">
        <v>0</v>
      </c>
      <c r="F377">
        <v>840</v>
      </c>
      <c r="G377">
        <v>899</v>
      </c>
      <c r="H377" t="s">
        <v>110</v>
      </c>
      <c r="I377" t="b" cm="1">
        <f t="array" ref="I377">isDup(B377,B378, 0.7)</f>
        <v>1</v>
      </c>
    </row>
    <row r="378" spans="1:9" ht="34" x14ac:dyDescent="0.2">
      <c r="A378" t="s">
        <v>1331</v>
      </c>
      <c r="B378" s="1" t="s">
        <v>1332</v>
      </c>
      <c r="C378" t="s">
        <v>108</v>
      </c>
      <c r="D378" s="1" t="s">
        <v>109</v>
      </c>
      <c r="E378" t="b">
        <v>0</v>
      </c>
      <c r="F378">
        <v>840</v>
      </c>
      <c r="G378">
        <v>899</v>
      </c>
      <c r="H378" t="s">
        <v>110</v>
      </c>
      <c r="I378" t="b" cm="1">
        <f t="array" ref="I378">isDup(B378,B379, 0.7)</f>
        <v>1</v>
      </c>
    </row>
    <row r="379" spans="1:9" ht="34" x14ac:dyDescent="0.2">
      <c r="A379" t="s">
        <v>5119</v>
      </c>
      <c r="B379" s="1" t="s">
        <v>5120</v>
      </c>
      <c r="C379" t="s">
        <v>108</v>
      </c>
      <c r="D379" s="1" t="s">
        <v>109</v>
      </c>
      <c r="E379" t="b">
        <v>0</v>
      </c>
      <c r="F379">
        <v>838</v>
      </c>
      <c r="G379">
        <v>898</v>
      </c>
      <c r="H379" t="s">
        <v>110</v>
      </c>
      <c r="I379" t="b" cm="1">
        <f t="array" ref="I379">isDup(B379,B380, 0.7)</f>
        <v>1</v>
      </c>
    </row>
    <row r="380" spans="1:9" ht="34" x14ac:dyDescent="0.2">
      <c r="A380" t="s">
        <v>2051</v>
      </c>
      <c r="B380" s="1" t="s">
        <v>2052</v>
      </c>
      <c r="C380" t="s">
        <v>108</v>
      </c>
      <c r="D380" s="1" t="s">
        <v>109</v>
      </c>
      <c r="E380" t="b">
        <v>0</v>
      </c>
      <c r="F380">
        <v>839</v>
      </c>
      <c r="G380">
        <v>899</v>
      </c>
      <c r="H380" t="s">
        <v>110</v>
      </c>
      <c r="I380" t="b" cm="1">
        <f t="array" ref="I380">isDup(B380,B381, 0.7)</f>
        <v>1</v>
      </c>
    </row>
    <row r="381" spans="1:9" ht="34" x14ac:dyDescent="0.2">
      <c r="A381" t="s">
        <v>3649</v>
      </c>
      <c r="B381" s="1" t="s">
        <v>3652</v>
      </c>
      <c r="C381" t="s">
        <v>108</v>
      </c>
      <c r="D381" s="1" t="s">
        <v>109</v>
      </c>
      <c r="E381" t="b">
        <v>0</v>
      </c>
      <c r="F381">
        <v>838</v>
      </c>
      <c r="G381">
        <v>899</v>
      </c>
      <c r="H381" t="s">
        <v>110</v>
      </c>
      <c r="I381" t="b" cm="1">
        <f t="array" ref="I381">isDup(B381,B382, 0.7)</f>
        <v>1</v>
      </c>
    </row>
    <row r="382" spans="1:9" ht="34" x14ac:dyDescent="0.2">
      <c r="A382" t="s">
        <v>4399</v>
      </c>
      <c r="B382" s="1" t="s">
        <v>4400</v>
      </c>
      <c r="C382" t="s">
        <v>108</v>
      </c>
      <c r="D382" s="1" t="s">
        <v>109</v>
      </c>
      <c r="E382" t="b">
        <v>0</v>
      </c>
      <c r="F382">
        <v>837</v>
      </c>
      <c r="G382">
        <v>898</v>
      </c>
      <c r="H382" t="s">
        <v>110</v>
      </c>
      <c r="I382" t="b" cm="1">
        <f t="array" ref="I382">isDup(B382,B383, 0.7)</f>
        <v>1</v>
      </c>
    </row>
    <row r="383" spans="1:9" ht="34" x14ac:dyDescent="0.2">
      <c r="A383" t="s">
        <v>6557</v>
      </c>
      <c r="B383" s="1" t="s">
        <v>6558</v>
      </c>
      <c r="C383" t="s">
        <v>108</v>
      </c>
      <c r="D383" s="1" t="s">
        <v>109</v>
      </c>
      <c r="E383" t="b">
        <v>0</v>
      </c>
      <c r="F383">
        <v>838</v>
      </c>
      <c r="G383">
        <v>898</v>
      </c>
      <c r="H383" t="s">
        <v>110</v>
      </c>
      <c r="I383" t="b" cm="1">
        <f t="array" ref="I383">isDup(B383,B384, 0.7)</f>
        <v>1</v>
      </c>
    </row>
    <row r="384" spans="1:9" ht="34" x14ac:dyDescent="0.2">
      <c r="A384" t="s">
        <v>5768</v>
      </c>
      <c r="B384" s="1" t="s">
        <v>5769</v>
      </c>
      <c r="C384" t="s">
        <v>108</v>
      </c>
      <c r="D384" s="1" t="s">
        <v>109</v>
      </c>
      <c r="E384" t="b">
        <v>0</v>
      </c>
      <c r="F384">
        <v>837</v>
      </c>
      <c r="G384">
        <v>898</v>
      </c>
      <c r="H384" t="s">
        <v>110</v>
      </c>
      <c r="I384" t="b" cm="1">
        <f t="array" ref="I384">isDup(B384,B385, 0.7)</f>
        <v>1</v>
      </c>
    </row>
    <row r="385" spans="1:9" ht="34" x14ac:dyDescent="0.2">
      <c r="A385" t="s">
        <v>7190</v>
      </c>
      <c r="B385" s="1" t="s">
        <v>7191</v>
      </c>
      <c r="C385" t="s">
        <v>108</v>
      </c>
      <c r="D385" s="1" t="s">
        <v>109</v>
      </c>
      <c r="E385" t="b">
        <v>0</v>
      </c>
      <c r="F385">
        <v>836</v>
      </c>
      <c r="G385">
        <v>898</v>
      </c>
      <c r="H385" t="s">
        <v>110</v>
      </c>
      <c r="I385" t="b" cm="1">
        <f t="array" ref="I385">isDup(B385,B386, 0.7)</f>
        <v>1</v>
      </c>
    </row>
    <row r="386" spans="1:9" ht="34" x14ac:dyDescent="0.2">
      <c r="A386" t="s">
        <v>2833</v>
      </c>
      <c r="B386" s="1" t="s">
        <v>2834</v>
      </c>
      <c r="C386" t="s">
        <v>108</v>
      </c>
      <c r="D386" s="1" t="s">
        <v>109</v>
      </c>
      <c r="E386" t="b">
        <v>0</v>
      </c>
      <c r="F386">
        <v>838</v>
      </c>
      <c r="G386">
        <v>899</v>
      </c>
      <c r="H386" t="s">
        <v>110</v>
      </c>
      <c r="I386" t="b" cm="1">
        <f t="array" ref="I386">isDup(B386,B387, 0.7)</f>
        <v>0</v>
      </c>
    </row>
    <row r="387" spans="1:9" ht="17" x14ac:dyDescent="0.2">
      <c r="A387" t="s">
        <v>4055</v>
      </c>
      <c r="B387" s="1" t="s">
        <v>4056</v>
      </c>
      <c r="C387" t="s">
        <v>4057</v>
      </c>
      <c r="D387" s="1" t="s">
        <v>4058</v>
      </c>
      <c r="E387" t="b">
        <v>0</v>
      </c>
      <c r="F387">
        <v>598</v>
      </c>
      <c r="G387">
        <v>755</v>
      </c>
      <c r="H387" t="s">
        <v>11</v>
      </c>
      <c r="I387" t="b" cm="1">
        <f t="array" ref="I387">isDup(B387,B388, 0.7)</f>
        <v>0</v>
      </c>
    </row>
    <row r="388" spans="1:9" ht="34" x14ac:dyDescent="0.2">
      <c r="A388" t="s">
        <v>4851</v>
      </c>
      <c r="B388" s="1" t="s">
        <v>4852</v>
      </c>
      <c r="C388" t="s">
        <v>3543</v>
      </c>
      <c r="D388" s="1" t="s">
        <v>2</v>
      </c>
      <c r="E388" t="b">
        <v>0</v>
      </c>
      <c r="F388">
        <v>115</v>
      </c>
      <c r="G388">
        <v>291</v>
      </c>
      <c r="H388" t="s">
        <v>11</v>
      </c>
      <c r="I388" t="b" cm="1">
        <f t="array" ref="I388">isDup(B388,B389, 0.7)</f>
        <v>0</v>
      </c>
    </row>
    <row r="389" spans="1:9" ht="17" x14ac:dyDescent="0.2">
      <c r="A389" t="s">
        <v>6477</v>
      </c>
      <c r="B389" s="1" t="s">
        <v>6478</v>
      </c>
      <c r="C389" t="s">
        <v>5032</v>
      </c>
      <c r="D389" s="1" t="s">
        <v>487</v>
      </c>
      <c r="E389" t="b">
        <v>0</v>
      </c>
      <c r="F389">
        <v>286</v>
      </c>
      <c r="G389">
        <v>354</v>
      </c>
      <c r="H389" t="s">
        <v>11</v>
      </c>
      <c r="I389" t="b" cm="1">
        <f t="array" ref="I389">isDup(B389,B390, 0.7)</f>
        <v>0</v>
      </c>
    </row>
    <row r="390" spans="1:9" ht="17" x14ac:dyDescent="0.2">
      <c r="A390" t="s">
        <v>1637</v>
      </c>
      <c r="B390" s="1" t="s">
        <v>1638</v>
      </c>
      <c r="C390" t="s">
        <v>1536</v>
      </c>
      <c r="D390" s="1" t="s">
        <v>848</v>
      </c>
      <c r="E390" t="b">
        <v>0</v>
      </c>
      <c r="F390">
        <v>31</v>
      </c>
      <c r="G390">
        <v>106</v>
      </c>
      <c r="H390" t="s">
        <v>11</v>
      </c>
      <c r="I390" t="b" cm="1">
        <f t="array" ref="I390">isDup(B390,B391, 0.7)</f>
        <v>0</v>
      </c>
    </row>
    <row r="391" spans="1:9" ht="17" x14ac:dyDescent="0.2">
      <c r="A391" t="s">
        <v>320</v>
      </c>
      <c r="B391" s="1" t="s">
        <v>321</v>
      </c>
      <c r="C391" t="s">
        <v>200</v>
      </c>
      <c r="D391" s="1" t="s">
        <v>322</v>
      </c>
      <c r="E391" t="b">
        <v>0</v>
      </c>
      <c r="F391">
        <v>705</v>
      </c>
      <c r="G391">
        <v>5001</v>
      </c>
      <c r="H391" t="s">
        <v>11</v>
      </c>
      <c r="I391" t="b" cm="1">
        <f t="array" ref="I391">isDup(B391,B392, 0.7)</f>
        <v>0</v>
      </c>
    </row>
    <row r="392" spans="1:9" ht="17" x14ac:dyDescent="0.2">
      <c r="A392" t="s">
        <v>1291</v>
      </c>
      <c r="B392" s="1" t="s">
        <v>1292</v>
      </c>
      <c r="C392" t="s">
        <v>167</v>
      </c>
      <c r="D392" s="1" t="s">
        <v>1293</v>
      </c>
      <c r="E392" t="b">
        <v>0</v>
      </c>
      <c r="F392">
        <v>222</v>
      </c>
      <c r="G392">
        <v>250</v>
      </c>
      <c r="H392" t="s">
        <v>11</v>
      </c>
      <c r="I392" t="b" cm="1">
        <f t="array" ref="I392">isDup(B392,B393, 0.7)</f>
        <v>0</v>
      </c>
    </row>
    <row r="393" spans="1:9" ht="34" x14ac:dyDescent="0.2">
      <c r="A393" t="s">
        <v>5384</v>
      </c>
      <c r="B393" s="1" t="s">
        <v>5385</v>
      </c>
      <c r="C393" t="s">
        <v>1697</v>
      </c>
      <c r="D393" s="1" t="s">
        <v>2</v>
      </c>
      <c r="E393" t="b">
        <v>0</v>
      </c>
      <c r="F393">
        <v>36</v>
      </c>
      <c r="G393">
        <v>131</v>
      </c>
      <c r="H393" t="s">
        <v>11</v>
      </c>
      <c r="I393" t="b" cm="1">
        <f t="array" ref="I393">isDup(B393,B394, 0.7)</f>
        <v>0</v>
      </c>
    </row>
    <row r="394" spans="1:9" ht="17" x14ac:dyDescent="0.2">
      <c r="A394" t="s">
        <v>4708</v>
      </c>
      <c r="B394" s="1" t="s">
        <v>4709</v>
      </c>
      <c r="C394" t="s">
        <v>2212</v>
      </c>
      <c r="D394" s="1" t="s">
        <v>4710</v>
      </c>
      <c r="E394" t="b">
        <v>0</v>
      </c>
      <c r="F394">
        <v>459</v>
      </c>
      <c r="G394">
        <v>272</v>
      </c>
      <c r="H394" t="s">
        <v>11</v>
      </c>
      <c r="I394" t="b" cm="1">
        <f t="array" ref="I394">isDup(B394,B395, 0.7)</f>
        <v>0</v>
      </c>
    </row>
    <row r="395" spans="1:9" ht="17" x14ac:dyDescent="0.2">
      <c r="A395" t="s">
        <v>5478</v>
      </c>
      <c r="B395" s="1" t="s">
        <v>5479</v>
      </c>
      <c r="C395" t="s">
        <v>5480</v>
      </c>
      <c r="D395" s="1" t="s">
        <v>5481</v>
      </c>
      <c r="E395" t="b">
        <v>0</v>
      </c>
      <c r="F395">
        <v>103</v>
      </c>
      <c r="G395">
        <v>252</v>
      </c>
      <c r="H395" t="s">
        <v>11</v>
      </c>
      <c r="I395" t="b" cm="1">
        <f t="array" ref="I395">isDup(B395,B396, 0.7)</f>
        <v>0</v>
      </c>
    </row>
    <row r="396" spans="1:9" ht="17" x14ac:dyDescent="0.2">
      <c r="A396" t="s">
        <v>3834</v>
      </c>
      <c r="B396" s="1" t="s">
        <v>3835</v>
      </c>
      <c r="C396" t="s">
        <v>3737</v>
      </c>
      <c r="D396" s="1" t="s">
        <v>2</v>
      </c>
      <c r="E396" t="b">
        <v>0</v>
      </c>
      <c r="F396">
        <v>694</v>
      </c>
      <c r="G396">
        <v>1278</v>
      </c>
      <c r="H396" t="s">
        <v>11</v>
      </c>
      <c r="I396" t="b" cm="1">
        <f t="array" ref="I396">isDup(B396,B397, 0.7)</f>
        <v>1</v>
      </c>
    </row>
    <row r="397" spans="1:9" ht="17" x14ac:dyDescent="0.2">
      <c r="A397" t="s">
        <v>6939</v>
      </c>
      <c r="B397" s="1" t="s">
        <v>6940</v>
      </c>
      <c r="C397" t="s">
        <v>1053</v>
      </c>
      <c r="D397" s="1" t="s">
        <v>61</v>
      </c>
      <c r="E397" t="b">
        <v>0</v>
      </c>
      <c r="F397">
        <v>259</v>
      </c>
      <c r="G397">
        <v>271</v>
      </c>
      <c r="H397" t="s">
        <v>11</v>
      </c>
      <c r="I397" t="b" cm="1">
        <f t="array" ref="I397">isDup(B397,B398, 0.7)</f>
        <v>0</v>
      </c>
    </row>
    <row r="398" spans="1:9" ht="17" x14ac:dyDescent="0.2">
      <c r="A398" t="s">
        <v>4102</v>
      </c>
      <c r="B398" s="1" t="s">
        <v>4103</v>
      </c>
      <c r="C398" t="s">
        <v>1320</v>
      </c>
      <c r="D398" s="1" t="s">
        <v>2</v>
      </c>
      <c r="E398" t="b">
        <v>0</v>
      </c>
      <c r="F398">
        <v>1</v>
      </c>
      <c r="G398">
        <v>29</v>
      </c>
      <c r="H398" t="s">
        <v>11</v>
      </c>
      <c r="I398" t="b" cm="1">
        <f t="array" ref="I398">isDup(B398,B399, 0.7)</f>
        <v>0</v>
      </c>
    </row>
    <row r="399" spans="1:9" ht="34" x14ac:dyDescent="0.2">
      <c r="A399" t="s">
        <v>6946</v>
      </c>
      <c r="B399" s="1" t="s">
        <v>6947</v>
      </c>
      <c r="C399" t="s">
        <v>6948</v>
      </c>
      <c r="D399" s="1" t="s">
        <v>6949</v>
      </c>
      <c r="E399" t="b">
        <v>0</v>
      </c>
      <c r="F399">
        <v>143</v>
      </c>
      <c r="G399">
        <v>340</v>
      </c>
      <c r="H399" t="s">
        <v>11</v>
      </c>
      <c r="I399" t="b" cm="1">
        <f t="array" ref="I399">isDup(B399,B400, 0.7)</f>
        <v>0</v>
      </c>
    </row>
    <row r="400" spans="1:9" ht="34" x14ac:dyDescent="0.2">
      <c r="A400" t="s">
        <v>182</v>
      </c>
      <c r="B400" s="1" t="s">
        <v>183</v>
      </c>
      <c r="C400" t="s">
        <v>108</v>
      </c>
      <c r="D400" s="1" t="s">
        <v>109</v>
      </c>
      <c r="E400" t="b">
        <v>0</v>
      </c>
      <c r="F400">
        <v>841</v>
      </c>
      <c r="G400">
        <v>899</v>
      </c>
      <c r="H400" t="s">
        <v>110</v>
      </c>
      <c r="I400" t="b" cm="1">
        <f t="array" ref="I400">isDup(B400,B401, 0.7)</f>
        <v>1</v>
      </c>
    </row>
    <row r="401" spans="1:9" ht="34" x14ac:dyDescent="0.2">
      <c r="A401" t="s">
        <v>1410</v>
      </c>
      <c r="B401" s="1" t="s">
        <v>1411</v>
      </c>
      <c r="C401" t="s">
        <v>108</v>
      </c>
      <c r="D401" s="1" t="s">
        <v>109</v>
      </c>
      <c r="E401" t="b">
        <v>0</v>
      </c>
      <c r="F401">
        <v>840</v>
      </c>
      <c r="G401">
        <v>899</v>
      </c>
      <c r="H401" t="s">
        <v>110</v>
      </c>
      <c r="I401" t="b" cm="1">
        <f t="array" ref="I401">isDup(B401,B402, 0.7)</f>
        <v>1</v>
      </c>
    </row>
    <row r="402" spans="1:9" ht="34" x14ac:dyDescent="0.2">
      <c r="A402" t="s">
        <v>788</v>
      </c>
      <c r="B402" s="1" t="s">
        <v>789</v>
      </c>
      <c r="C402" t="s">
        <v>108</v>
      </c>
      <c r="D402" s="1" t="s">
        <v>109</v>
      </c>
      <c r="E402" t="b">
        <v>0</v>
      </c>
      <c r="F402">
        <v>840</v>
      </c>
      <c r="G402">
        <v>899</v>
      </c>
      <c r="H402" t="s">
        <v>110</v>
      </c>
      <c r="I402" t="b" cm="1">
        <f t="array" ref="I402">isDup(B402,B403, 0.7)</f>
        <v>1</v>
      </c>
    </row>
    <row r="403" spans="1:9" ht="34" x14ac:dyDescent="0.2">
      <c r="A403" t="s">
        <v>5197</v>
      </c>
      <c r="B403" s="1" t="s">
        <v>5198</v>
      </c>
      <c r="C403" t="s">
        <v>108</v>
      </c>
      <c r="D403" s="1" t="s">
        <v>109</v>
      </c>
      <c r="E403" t="b">
        <v>0</v>
      </c>
      <c r="F403">
        <v>838</v>
      </c>
      <c r="G403">
        <v>898</v>
      </c>
      <c r="H403" t="s">
        <v>110</v>
      </c>
      <c r="I403" t="b" cm="1">
        <f t="array" ref="I403">isDup(B403,B404, 0.7)</f>
        <v>1</v>
      </c>
    </row>
    <row r="404" spans="1:9" ht="34" x14ac:dyDescent="0.2">
      <c r="A404" t="s">
        <v>3745</v>
      </c>
      <c r="B404" s="1" t="s">
        <v>3746</v>
      </c>
      <c r="C404" t="s">
        <v>108</v>
      </c>
      <c r="D404" s="1" t="s">
        <v>109</v>
      </c>
      <c r="E404" t="b">
        <v>0</v>
      </c>
      <c r="F404">
        <v>838</v>
      </c>
      <c r="G404">
        <v>899</v>
      </c>
      <c r="H404" t="s">
        <v>110</v>
      </c>
      <c r="I404" t="b" cm="1">
        <f t="array" ref="I404">isDup(B404,B405, 0.7)</f>
        <v>1</v>
      </c>
    </row>
    <row r="405" spans="1:9" ht="34" x14ac:dyDescent="0.2">
      <c r="A405" t="s">
        <v>2160</v>
      </c>
      <c r="B405" s="1" t="s">
        <v>2161</v>
      </c>
      <c r="C405" t="s">
        <v>108</v>
      </c>
      <c r="D405" s="1" t="s">
        <v>109</v>
      </c>
      <c r="E405" t="b">
        <v>0</v>
      </c>
      <c r="F405">
        <v>839</v>
      </c>
      <c r="G405">
        <v>899</v>
      </c>
      <c r="H405" t="s">
        <v>110</v>
      </c>
      <c r="I405" t="b" cm="1">
        <f t="array" ref="I405">isDup(B405,B406, 0.7)</f>
        <v>1</v>
      </c>
    </row>
    <row r="406" spans="1:9" ht="34" x14ac:dyDescent="0.2">
      <c r="A406" t="s">
        <v>4492</v>
      </c>
      <c r="B406" s="1" t="s">
        <v>4493</v>
      </c>
      <c r="C406" t="s">
        <v>108</v>
      </c>
      <c r="D406" s="1" t="s">
        <v>109</v>
      </c>
      <c r="E406" t="b">
        <v>0</v>
      </c>
      <c r="F406">
        <v>837</v>
      </c>
      <c r="G406">
        <v>898</v>
      </c>
      <c r="H406" t="s">
        <v>110</v>
      </c>
      <c r="I406" t="b" cm="1">
        <f t="array" ref="I406">isDup(B406,B407, 0.7)</f>
        <v>1</v>
      </c>
    </row>
    <row r="407" spans="1:9" ht="34" x14ac:dyDescent="0.2">
      <c r="A407" t="s">
        <v>5826</v>
      </c>
      <c r="B407" s="1" t="s">
        <v>5827</v>
      </c>
      <c r="C407" t="s">
        <v>108</v>
      </c>
      <c r="D407" s="1" t="s">
        <v>109</v>
      </c>
      <c r="E407" t="b">
        <v>0</v>
      </c>
      <c r="F407">
        <v>837</v>
      </c>
      <c r="G407">
        <v>898</v>
      </c>
      <c r="H407" t="s">
        <v>110</v>
      </c>
      <c r="I407" t="b" cm="1">
        <f t="array" ref="I407">isDup(B407,B408, 0.7)</f>
        <v>1</v>
      </c>
    </row>
    <row r="408" spans="1:9" ht="34" x14ac:dyDescent="0.2">
      <c r="A408" t="s">
        <v>2908</v>
      </c>
      <c r="B408" s="1" t="s">
        <v>2909</v>
      </c>
      <c r="C408" t="s">
        <v>108</v>
      </c>
      <c r="D408" s="1" t="s">
        <v>109</v>
      </c>
      <c r="E408" t="b">
        <v>0</v>
      </c>
      <c r="F408">
        <v>838</v>
      </c>
      <c r="G408">
        <v>899</v>
      </c>
      <c r="H408" t="s">
        <v>110</v>
      </c>
      <c r="I408" t="b" cm="1">
        <f t="array" ref="I408">isDup(B408,B409, 0.7)</f>
        <v>1</v>
      </c>
    </row>
    <row r="409" spans="1:9" ht="34" x14ac:dyDescent="0.2">
      <c r="A409" t="s">
        <v>7249</v>
      </c>
      <c r="B409" s="1" t="s">
        <v>7250</v>
      </c>
      <c r="C409" t="s">
        <v>108</v>
      </c>
      <c r="D409" s="1" t="s">
        <v>109</v>
      </c>
      <c r="E409" t="b">
        <v>0</v>
      </c>
      <c r="F409">
        <v>836</v>
      </c>
      <c r="G409">
        <v>898</v>
      </c>
      <c r="H409" t="s">
        <v>110</v>
      </c>
      <c r="I409" t="b" cm="1">
        <f t="array" ref="I409">isDup(B409,B410, 0.7)</f>
        <v>1</v>
      </c>
    </row>
    <row r="410" spans="1:9" ht="34" x14ac:dyDescent="0.2">
      <c r="A410" t="s">
        <v>6634</v>
      </c>
      <c r="B410" s="1" t="s">
        <v>6635</v>
      </c>
      <c r="C410" t="s">
        <v>108</v>
      </c>
      <c r="D410" s="1" t="s">
        <v>109</v>
      </c>
      <c r="E410" t="b">
        <v>0</v>
      </c>
      <c r="F410">
        <v>838</v>
      </c>
      <c r="G410">
        <v>898</v>
      </c>
      <c r="H410" t="s">
        <v>110</v>
      </c>
      <c r="I410" t="b" cm="1">
        <f t="array" ref="I410">isDup(B410,B411, 0.7)</f>
        <v>0</v>
      </c>
    </row>
    <row r="411" spans="1:9" ht="17" x14ac:dyDescent="0.2">
      <c r="A411" t="s">
        <v>4227</v>
      </c>
      <c r="B411" s="1" t="s">
        <v>4228</v>
      </c>
      <c r="C411" t="s">
        <v>2893</v>
      </c>
      <c r="D411" s="1" t="s">
        <v>2</v>
      </c>
      <c r="E411" t="b">
        <v>0</v>
      </c>
      <c r="F411">
        <v>126</v>
      </c>
      <c r="G411">
        <v>344</v>
      </c>
      <c r="H411" t="s">
        <v>11</v>
      </c>
      <c r="I411" t="b" cm="1">
        <f t="array" ref="I411">isDup(B411,B412, 0.7)</f>
        <v>0</v>
      </c>
    </row>
    <row r="412" spans="1:9" ht="17" x14ac:dyDescent="0.2">
      <c r="A412" t="s">
        <v>6283</v>
      </c>
      <c r="B412" s="1" t="s">
        <v>6284</v>
      </c>
      <c r="C412" t="s">
        <v>193</v>
      </c>
      <c r="D412" s="1" t="s">
        <v>4116</v>
      </c>
      <c r="E412" t="b">
        <v>0</v>
      </c>
      <c r="F412">
        <v>22</v>
      </c>
      <c r="G412">
        <v>73</v>
      </c>
      <c r="H412" t="s">
        <v>11</v>
      </c>
      <c r="I412" t="b" cm="1">
        <f t="array" ref="I412">isDup(B412,B413, 0.7)</f>
        <v>1</v>
      </c>
    </row>
    <row r="413" spans="1:9" ht="34" x14ac:dyDescent="0.2">
      <c r="A413" t="s">
        <v>2948</v>
      </c>
      <c r="B413" s="1" t="s">
        <v>2949</v>
      </c>
      <c r="C413" t="s">
        <v>2950</v>
      </c>
      <c r="D413" s="1" t="s">
        <v>2</v>
      </c>
      <c r="E413" t="b">
        <v>0</v>
      </c>
      <c r="F413">
        <v>32</v>
      </c>
      <c r="G413">
        <v>229</v>
      </c>
      <c r="H413" t="s">
        <v>11</v>
      </c>
      <c r="I413" t="b" cm="1">
        <f t="array" ref="I413">isDup(B413,B414, 0.7)</f>
        <v>0</v>
      </c>
    </row>
    <row r="414" spans="1:9" ht="34" x14ac:dyDescent="0.2">
      <c r="A414" t="s">
        <v>4824</v>
      </c>
      <c r="B414" s="1" t="s">
        <v>4825</v>
      </c>
      <c r="C414" t="s">
        <v>200</v>
      </c>
      <c r="D414" s="1" t="s">
        <v>2</v>
      </c>
      <c r="E414" t="b">
        <v>0</v>
      </c>
      <c r="F414">
        <v>118</v>
      </c>
      <c r="G414">
        <v>384</v>
      </c>
      <c r="H414" t="s">
        <v>11</v>
      </c>
      <c r="I414" t="b" cm="1">
        <f t="array" ref="I414">isDup(B414,B415, 0.7)</f>
        <v>0</v>
      </c>
    </row>
    <row r="415" spans="1:9" ht="17" x14ac:dyDescent="0.2">
      <c r="A415" t="s">
        <v>5813</v>
      </c>
      <c r="B415" s="1" t="s">
        <v>5814</v>
      </c>
      <c r="C415" t="s">
        <v>736</v>
      </c>
      <c r="D415" s="1" t="s">
        <v>1768</v>
      </c>
      <c r="E415" t="b">
        <v>0</v>
      </c>
      <c r="F415">
        <v>637</v>
      </c>
      <c r="G415">
        <v>327</v>
      </c>
      <c r="H415" t="s">
        <v>11</v>
      </c>
      <c r="I415" t="b" cm="1">
        <f t="array" ref="I415">isDup(B415,B416, 0.7)</f>
        <v>0</v>
      </c>
    </row>
    <row r="416" spans="1:9" ht="17" x14ac:dyDescent="0.2">
      <c r="A416" t="s">
        <v>6333</v>
      </c>
      <c r="B416" s="1" t="s">
        <v>6334</v>
      </c>
      <c r="C416" t="s">
        <v>554</v>
      </c>
      <c r="D416" s="1" t="s">
        <v>6335</v>
      </c>
      <c r="E416" t="b">
        <v>0</v>
      </c>
      <c r="F416">
        <v>12</v>
      </c>
      <c r="G416">
        <v>159</v>
      </c>
      <c r="H416" t="s">
        <v>11</v>
      </c>
      <c r="I416" t="b" cm="1">
        <f t="array" ref="I416">isDup(B416,B417, 0.7)</f>
        <v>1</v>
      </c>
    </row>
    <row r="417" spans="1:9" ht="34" x14ac:dyDescent="0.2">
      <c r="A417" t="s">
        <v>4748</v>
      </c>
      <c r="B417" s="1" t="s">
        <v>4749</v>
      </c>
      <c r="C417" t="s">
        <v>4750</v>
      </c>
      <c r="D417" s="1" t="s">
        <v>2</v>
      </c>
      <c r="E417" t="b">
        <v>0</v>
      </c>
      <c r="F417">
        <v>18</v>
      </c>
      <c r="G417">
        <v>107</v>
      </c>
      <c r="H417" t="s">
        <v>11</v>
      </c>
      <c r="I417" t="b" cm="1">
        <f t="array" ref="I417">isDup(B417,B418, 0.7)</f>
        <v>0</v>
      </c>
    </row>
    <row r="418" spans="1:9" ht="17" x14ac:dyDescent="0.2">
      <c r="A418" t="s">
        <v>6453</v>
      </c>
      <c r="B418" s="1" t="s">
        <v>6454</v>
      </c>
      <c r="C418" t="s">
        <v>6455</v>
      </c>
      <c r="D418" s="1" t="s">
        <v>2</v>
      </c>
      <c r="E418" t="b">
        <v>0</v>
      </c>
      <c r="F418">
        <v>66</v>
      </c>
      <c r="G418">
        <v>24</v>
      </c>
      <c r="H418" t="s">
        <v>11</v>
      </c>
      <c r="I418" t="b" cm="1">
        <f t="array" ref="I418">isDup(B418,B419, 0.7)</f>
        <v>0</v>
      </c>
    </row>
    <row r="419" spans="1:9" ht="17" x14ac:dyDescent="0.2">
      <c r="A419" t="s">
        <v>2237</v>
      </c>
      <c r="B419" s="1" t="s">
        <v>2238</v>
      </c>
      <c r="C419" t="s">
        <v>2239</v>
      </c>
      <c r="D419" s="1" t="s">
        <v>2240</v>
      </c>
      <c r="E419" t="b">
        <v>0</v>
      </c>
      <c r="F419">
        <v>941</v>
      </c>
      <c r="G419">
        <v>2072</v>
      </c>
      <c r="H419" t="s">
        <v>83</v>
      </c>
      <c r="I419" t="b" cm="1">
        <f t="array" ref="I419">isDup(B419,B420, 0.7)</f>
        <v>0</v>
      </c>
    </row>
    <row r="420" spans="1:9" ht="34" x14ac:dyDescent="0.2">
      <c r="A420" t="s">
        <v>5159</v>
      </c>
      <c r="B420" s="1" t="s">
        <v>5160</v>
      </c>
      <c r="C420" t="s">
        <v>4750</v>
      </c>
      <c r="D420" s="1" t="s">
        <v>2</v>
      </c>
      <c r="E420" t="b">
        <v>0</v>
      </c>
      <c r="F420">
        <v>18</v>
      </c>
      <c r="G420">
        <v>107</v>
      </c>
      <c r="H420" t="s">
        <v>11</v>
      </c>
      <c r="I420" t="b" cm="1">
        <f t="array" ref="I420">isDup(B420,B421, 0.7)</f>
        <v>0</v>
      </c>
    </row>
    <row r="421" spans="1:9" ht="17" x14ac:dyDescent="0.2">
      <c r="A421" t="s">
        <v>6882</v>
      </c>
      <c r="B421" s="1" t="s">
        <v>6883</v>
      </c>
      <c r="C421" t="s">
        <v>6884</v>
      </c>
      <c r="D421" s="1" t="s">
        <v>2</v>
      </c>
      <c r="E421" t="b">
        <v>0</v>
      </c>
      <c r="F421">
        <v>24</v>
      </c>
      <c r="G421">
        <v>152</v>
      </c>
      <c r="H421" t="s">
        <v>11</v>
      </c>
      <c r="I421" t="b" cm="1">
        <f t="array" ref="I421">isDup(B421,B422, 0.7)</f>
        <v>0</v>
      </c>
    </row>
    <row r="422" spans="1:9" ht="34" x14ac:dyDescent="0.2">
      <c r="A422" t="s">
        <v>5425</v>
      </c>
      <c r="B422" s="1" t="s">
        <v>5426</v>
      </c>
      <c r="C422" t="s">
        <v>3365</v>
      </c>
      <c r="D422" s="1" t="s">
        <v>3366</v>
      </c>
      <c r="E422" t="b">
        <v>0</v>
      </c>
      <c r="F422">
        <v>43</v>
      </c>
      <c r="G422">
        <v>38</v>
      </c>
      <c r="H422" t="s">
        <v>11</v>
      </c>
      <c r="I422" t="b" cm="1">
        <f t="array" ref="I422">isDup(B422,B423, 0.7)</f>
        <v>0</v>
      </c>
    </row>
    <row r="423" spans="1:9" ht="17" x14ac:dyDescent="0.2">
      <c r="A423" t="s">
        <v>5910</v>
      </c>
      <c r="B423" s="1" t="s">
        <v>5911</v>
      </c>
      <c r="C423" t="s">
        <v>5912</v>
      </c>
      <c r="D423" s="1" t="s">
        <v>2</v>
      </c>
      <c r="E423" t="b">
        <v>0</v>
      </c>
      <c r="F423">
        <v>28</v>
      </c>
      <c r="G423">
        <v>173</v>
      </c>
      <c r="H423" t="s">
        <v>47</v>
      </c>
      <c r="I423" t="b" cm="1">
        <f t="array" ref="I423">isDup(B423,B424, 0.7)</f>
        <v>0</v>
      </c>
    </row>
    <row r="424" spans="1:9" ht="34" x14ac:dyDescent="0.2">
      <c r="A424" t="s">
        <v>2230</v>
      </c>
      <c r="B424" s="1" t="s">
        <v>2231</v>
      </c>
      <c r="C424" t="s">
        <v>992</v>
      </c>
      <c r="D424" s="1" t="s">
        <v>2232</v>
      </c>
      <c r="E424" t="b">
        <v>0</v>
      </c>
      <c r="F424">
        <v>2326</v>
      </c>
      <c r="G424">
        <v>3091</v>
      </c>
      <c r="H424" t="s">
        <v>11</v>
      </c>
      <c r="I424" t="b" cm="1">
        <f t="array" ref="I424">isDup(B424,B425, 0.7)</f>
        <v>0</v>
      </c>
    </row>
    <row r="425" spans="1:9" ht="34" x14ac:dyDescent="0.2">
      <c r="A425" t="s">
        <v>2152</v>
      </c>
      <c r="B425" s="1" t="s">
        <v>2153</v>
      </c>
      <c r="C425" t="s">
        <v>2154</v>
      </c>
      <c r="D425" s="1" t="s">
        <v>2155</v>
      </c>
      <c r="E425" t="b">
        <v>0</v>
      </c>
      <c r="F425">
        <v>2134</v>
      </c>
      <c r="G425">
        <v>2009</v>
      </c>
      <c r="H425" t="s">
        <v>11</v>
      </c>
      <c r="I425" t="b" cm="1">
        <f t="array" ref="I425">isDup(B425,B426, 0.7)</f>
        <v>0</v>
      </c>
    </row>
    <row r="426" spans="1:9" ht="17" x14ac:dyDescent="0.2">
      <c r="A426" t="s">
        <v>691</v>
      </c>
      <c r="B426" s="1" t="s">
        <v>692</v>
      </c>
      <c r="C426" t="s">
        <v>693</v>
      </c>
      <c r="D426" s="1" t="s">
        <v>694</v>
      </c>
      <c r="E426" t="b">
        <v>0</v>
      </c>
      <c r="F426">
        <v>1011</v>
      </c>
      <c r="G426">
        <v>2557</v>
      </c>
      <c r="H426" t="s">
        <v>11</v>
      </c>
      <c r="I426" t="b" cm="1">
        <f t="array" ref="I426">isDup(B426,B427, 0.7)</f>
        <v>0</v>
      </c>
    </row>
    <row r="427" spans="1:9" ht="34" x14ac:dyDescent="0.2">
      <c r="A427" t="s">
        <v>5391</v>
      </c>
      <c r="B427" s="1" t="s">
        <v>5392</v>
      </c>
      <c r="C427" t="s">
        <v>94</v>
      </c>
      <c r="D427" s="1" t="s">
        <v>5393</v>
      </c>
      <c r="E427" t="b">
        <v>0</v>
      </c>
      <c r="F427">
        <v>8592</v>
      </c>
      <c r="G427">
        <v>124</v>
      </c>
      <c r="H427" t="s">
        <v>11</v>
      </c>
      <c r="I427" t="b" cm="1">
        <f t="array" ref="I427">isDup(B427,B428, 0.7)</f>
        <v>0</v>
      </c>
    </row>
    <row r="428" spans="1:9" ht="17" x14ac:dyDescent="0.2">
      <c r="A428" t="s">
        <v>5878</v>
      </c>
      <c r="B428" s="1" t="s">
        <v>5879</v>
      </c>
      <c r="C428" t="s">
        <v>1388</v>
      </c>
      <c r="D428" s="1" t="s">
        <v>2</v>
      </c>
      <c r="E428" t="b">
        <v>0</v>
      </c>
      <c r="F428">
        <v>1317</v>
      </c>
      <c r="G428">
        <v>171</v>
      </c>
      <c r="H428" t="s">
        <v>11</v>
      </c>
      <c r="I428" t="b" cm="1">
        <f t="array" ref="I428">isDup(B428,B429, 0.7)</f>
        <v>0</v>
      </c>
    </row>
    <row r="429" spans="1:9" ht="17" x14ac:dyDescent="0.2">
      <c r="A429" t="s">
        <v>1511</v>
      </c>
      <c r="B429" s="1" t="s">
        <v>1512</v>
      </c>
      <c r="C429" t="s">
        <v>289</v>
      </c>
      <c r="D429" s="1" t="s">
        <v>2</v>
      </c>
      <c r="E429" t="b">
        <v>0</v>
      </c>
      <c r="F429">
        <v>3632</v>
      </c>
      <c r="G429">
        <v>3729</v>
      </c>
      <c r="H429" t="s">
        <v>11</v>
      </c>
      <c r="I429" t="b" cm="1">
        <f t="array" ref="I429">isDup(B429,B430, 0.7)</f>
        <v>0</v>
      </c>
    </row>
    <row r="430" spans="1:9" ht="17" x14ac:dyDescent="0.2">
      <c r="A430" t="s">
        <v>4669</v>
      </c>
      <c r="B430" s="1" t="s">
        <v>4670</v>
      </c>
      <c r="C430" t="s">
        <v>4671</v>
      </c>
      <c r="D430" s="1" t="s">
        <v>4672</v>
      </c>
      <c r="E430" t="b">
        <v>0</v>
      </c>
      <c r="F430">
        <v>405</v>
      </c>
      <c r="G430">
        <v>392</v>
      </c>
      <c r="H430" t="s">
        <v>11</v>
      </c>
      <c r="I430" t="b" cm="1">
        <f t="array" ref="I430">isDup(B430,B431, 0.7)</f>
        <v>0</v>
      </c>
    </row>
    <row r="431" spans="1:9" ht="34" x14ac:dyDescent="0.2">
      <c r="A431" t="s">
        <v>5262</v>
      </c>
      <c r="B431" s="1" t="s">
        <v>5264</v>
      </c>
      <c r="C431" t="s">
        <v>2471</v>
      </c>
      <c r="D431" s="1" t="s">
        <v>2</v>
      </c>
      <c r="E431" t="b">
        <v>0</v>
      </c>
      <c r="F431">
        <v>23</v>
      </c>
      <c r="G431">
        <v>128</v>
      </c>
      <c r="H431" t="s">
        <v>11</v>
      </c>
      <c r="I431" t="b" cm="1">
        <f t="array" ref="I431">isDup(B431,B432, 0.7)</f>
        <v>0</v>
      </c>
    </row>
    <row r="432" spans="1:9" ht="34" x14ac:dyDescent="0.2">
      <c r="A432" t="s">
        <v>6601</v>
      </c>
      <c r="B432" s="1" t="s">
        <v>6602</v>
      </c>
      <c r="C432" t="s">
        <v>6603</v>
      </c>
      <c r="D432" s="1" t="s">
        <v>2</v>
      </c>
      <c r="E432" t="b">
        <v>0</v>
      </c>
      <c r="F432">
        <v>799</v>
      </c>
      <c r="G432">
        <v>218</v>
      </c>
      <c r="H432" t="s">
        <v>11</v>
      </c>
      <c r="I432" t="b" cm="1">
        <f t="array" ref="I432">isDup(B432,B433, 0.7)</f>
        <v>0</v>
      </c>
    </row>
    <row r="433" spans="1:9" ht="17" x14ac:dyDescent="0.2">
      <c r="A433" t="s">
        <v>6809</v>
      </c>
      <c r="B433" s="1" t="s">
        <v>6810</v>
      </c>
      <c r="C433" t="s">
        <v>6811</v>
      </c>
      <c r="D433" s="1" t="s">
        <v>6812</v>
      </c>
      <c r="E433" t="b">
        <v>0</v>
      </c>
      <c r="F433">
        <v>483</v>
      </c>
      <c r="G433">
        <v>496</v>
      </c>
      <c r="H433" t="s">
        <v>11</v>
      </c>
      <c r="I433" t="b" cm="1">
        <f t="array" ref="I433">isDup(B433,B434, 0.7)</f>
        <v>0</v>
      </c>
    </row>
    <row r="434" spans="1:9" ht="17" x14ac:dyDescent="0.2">
      <c r="A434" t="s">
        <v>790</v>
      </c>
      <c r="B434" s="1" t="s">
        <v>791</v>
      </c>
      <c r="C434" t="s">
        <v>792</v>
      </c>
      <c r="D434" s="1" t="s">
        <v>793</v>
      </c>
      <c r="E434" t="b">
        <v>0</v>
      </c>
      <c r="F434">
        <v>3889</v>
      </c>
      <c r="G434">
        <v>734</v>
      </c>
      <c r="H434" t="s">
        <v>11</v>
      </c>
      <c r="I434" t="b" cm="1">
        <f t="array" ref="I434">isDup(B434,B435, 0.7)</f>
        <v>0</v>
      </c>
    </row>
    <row r="435" spans="1:9" ht="17" x14ac:dyDescent="0.2">
      <c r="A435" t="s">
        <v>990</v>
      </c>
      <c r="B435" s="1" t="s">
        <v>991</v>
      </c>
      <c r="C435" t="s">
        <v>992</v>
      </c>
      <c r="D435" s="1" t="s">
        <v>2</v>
      </c>
      <c r="E435" t="b">
        <v>0</v>
      </c>
      <c r="F435">
        <v>234</v>
      </c>
      <c r="G435">
        <v>187</v>
      </c>
      <c r="H435" t="s">
        <v>11</v>
      </c>
      <c r="I435" t="b" cm="1">
        <f t="array" ref="I435">isDup(B435,B436, 0.7)</f>
        <v>0</v>
      </c>
    </row>
    <row r="436" spans="1:9" ht="17" x14ac:dyDescent="0.2">
      <c r="A436" t="s">
        <v>2393</v>
      </c>
      <c r="B436" s="1" t="s">
        <v>2394</v>
      </c>
      <c r="C436" t="s">
        <v>769</v>
      </c>
      <c r="D436" s="1" t="s">
        <v>2395</v>
      </c>
      <c r="E436" t="b">
        <v>0</v>
      </c>
      <c r="F436">
        <v>190</v>
      </c>
      <c r="G436">
        <v>441</v>
      </c>
      <c r="H436" t="s">
        <v>11</v>
      </c>
      <c r="I436" t="b" cm="1">
        <f t="array" ref="I436">isDup(B436,B437, 0.7)</f>
        <v>0</v>
      </c>
    </row>
    <row r="437" spans="1:9" ht="34" x14ac:dyDescent="0.2">
      <c r="A437" t="s">
        <v>1427</v>
      </c>
      <c r="B437" s="1" t="s">
        <v>1428</v>
      </c>
      <c r="C437" t="s">
        <v>526</v>
      </c>
      <c r="D437" s="1" t="s">
        <v>2</v>
      </c>
      <c r="E437" t="b">
        <v>0</v>
      </c>
      <c r="F437">
        <v>1</v>
      </c>
      <c r="G437">
        <v>48</v>
      </c>
      <c r="H437" t="s">
        <v>11</v>
      </c>
      <c r="I437" t="b" cm="1">
        <f t="array" ref="I437">isDup(B437,B438, 0.7)</f>
        <v>0</v>
      </c>
    </row>
    <row r="438" spans="1:9" ht="17" x14ac:dyDescent="0.2">
      <c r="A438" t="s">
        <v>3331</v>
      </c>
      <c r="B438" s="1" t="s">
        <v>3332</v>
      </c>
      <c r="C438" t="s">
        <v>3333</v>
      </c>
      <c r="D438" s="1" t="s">
        <v>3334</v>
      </c>
      <c r="E438" t="b">
        <v>0</v>
      </c>
      <c r="F438">
        <v>532</v>
      </c>
      <c r="G438">
        <v>467</v>
      </c>
      <c r="H438" t="s">
        <v>11</v>
      </c>
      <c r="I438" t="b" cm="1">
        <f t="array" ref="I438">isDup(B438,B439, 0.7)</f>
        <v>0</v>
      </c>
    </row>
    <row r="439" spans="1:9" ht="17" x14ac:dyDescent="0.2">
      <c r="A439" t="s">
        <v>2883</v>
      </c>
      <c r="B439" s="1" t="s">
        <v>2884</v>
      </c>
      <c r="C439" t="s">
        <v>1197</v>
      </c>
      <c r="D439" s="1" t="s">
        <v>2</v>
      </c>
      <c r="E439" t="b">
        <v>0</v>
      </c>
      <c r="F439">
        <v>287</v>
      </c>
      <c r="G439">
        <v>109</v>
      </c>
      <c r="H439" t="s">
        <v>11</v>
      </c>
      <c r="I439" t="b" cm="1">
        <f t="array" ref="I439">isDup(B439,B440, 0.7)</f>
        <v>0</v>
      </c>
    </row>
    <row r="440" spans="1:9" ht="17" x14ac:dyDescent="0.2">
      <c r="A440" t="s">
        <v>7209</v>
      </c>
      <c r="B440" s="1" t="s">
        <v>7210</v>
      </c>
      <c r="C440" t="s">
        <v>7211</v>
      </c>
      <c r="D440" s="1" t="s">
        <v>2</v>
      </c>
      <c r="E440" t="b">
        <v>0</v>
      </c>
      <c r="F440">
        <v>11</v>
      </c>
      <c r="G440">
        <v>1208</v>
      </c>
      <c r="H440" t="s">
        <v>3</v>
      </c>
      <c r="I440" t="b" cm="1">
        <f t="array" ref="I440">isDup(B440,B441, 0.7)</f>
        <v>0</v>
      </c>
    </row>
    <row r="441" spans="1:9" ht="17" x14ac:dyDescent="0.2">
      <c r="A441" t="s">
        <v>5664</v>
      </c>
      <c r="B441" s="1" t="s">
        <v>5665</v>
      </c>
      <c r="C441" t="s">
        <v>1583</v>
      </c>
      <c r="D441" s="1" t="s">
        <v>2</v>
      </c>
      <c r="E441" t="b">
        <v>0</v>
      </c>
      <c r="F441">
        <v>49</v>
      </c>
      <c r="G441">
        <v>53</v>
      </c>
      <c r="H441" t="s">
        <v>11</v>
      </c>
      <c r="I441" t="b" cm="1">
        <f t="array" ref="I441">isDup(B441,B442, 0.7)</f>
        <v>0</v>
      </c>
    </row>
    <row r="442" spans="1:9" ht="17" x14ac:dyDescent="0.2">
      <c r="A442" t="s">
        <v>2456</v>
      </c>
      <c r="B442" s="1" t="s">
        <v>2457</v>
      </c>
      <c r="C442" t="s">
        <v>2458</v>
      </c>
      <c r="D442" s="1" t="s">
        <v>659</v>
      </c>
      <c r="E442" t="b">
        <v>0</v>
      </c>
      <c r="F442">
        <v>816</v>
      </c>
      <c r="G442">
        <v>1145</v>
      </c>
      <c r="H442" t="s">
        <v>11</v>
      </c>
      <c r="I442" t="b" cm="1">
        <f t="array" ref="I442">isDup(B442,B443, 0.7)</f>
        <v>0</v>
      </c>
    </row>
    <row r="443" spans="1:9" ht="17" x14ac:dyDescent="0.2">
      <c r="A443" t="s">
        <v>1016</v>
      </c>
      <c r="B443" s="1" t="s">
        <v>1017</v>
      </c>
      <c r="C443" t="s">
        <v>279</v>
      </c>
      <c r="D443" s="1" t="s">
        <v>2</v>
      </c>
      <c r="E443" t="b">
        <v>0</v>
      </c>
      <c r="F443">
        <v>67</v>
      </c>
      <c r="G443">
        <v>9</v>
      </c>
      <c r="H443" t="s">
        <v>11</v>
      </c>
      <c r="I443" t="b" cm="1">
        <f t="array" ref="I443">isDup(B443,B444, 0.7)</f>
        <v>0</v>
      </c>
    </row>
    <row r="444" spans="1:9" ht="17" x14ac:dyDescent="0.2">
      <c r="A444" t="s">
        <v>2411</v>
      </c>
      <c r="B444" s="1" t="s">
        <v>2412</v>
      </c>
      <c r="C444" t="s">
        <v>2413</v>
      </c>
      <c r="D444" s="1" t="s">
        <v>2</v>
      </c>
      <c r="E444" t="b">
        <v>0</v>
      </c>
      <c r="F444">
        <v>48</v>
      </c>
      <c r="G444">
        <v>694</v>
      </c>
      <c r="H444" t="s">
        <v>11</v>
      </c>
      <c r="I444" t="b" cm="1">
        <f t="array" ref="I444">isDup(B444,B445, 0.7)</f>
        <v>0</v>
      </c>
    </row>
    <row r="445" spans="1:9" ht="17" x14ac:dyDescent="0.2">
      <c r="A445" t="s">
        <v>4635</v>
      </c>
      <c r="B445" s="1" t="s">
        <v>4636</v>
      </c>
      <c r="C445" t="s">
        <v>311</v>
      </c>
      <c r="D445" s="1" t="s">
        <v>2452</v>
      </c>
      <c r="E445" t="b">
        <v>0</v>
      </c>
      <c r="F445">
        <v>24</v>
      </c>
      <c r="G445">
        <v>150</v>
      </c>
      <c r="H445" t="s">
        <v>11</v>
      </c>
      <c r="I445" t="b" cm="1">
        <f t="array" ref="I445">isDup(B445,B446, 0.7)</f>
        <v>0</v>
      </c>
    </row>
    <row r="446" spans="1:9" ht="17" x14ac:dyDescent="0.2">
      <c r="A446" t="s">
        <v>6151</v>
      </c>
      <c r="B446" s="1" t="s">
        <v>6152</v>
      </c>
      <c r="C446" t="s">
        <v>6153</v>
      </c>
      <c r="D446" s="1" t="s">
        <v>6154</v>
      </c>
      <c r="E446" t="b">
        <v>0</v>
      </c>
      <c r="F446">
        <v>1786</v>
      </c>
      <c r="G446">
        <v>3069</v>
      </c>
      <c r="H446" t="s">
        <v>11</v>
      </c>
      <c r="I446" t="b" cm="1">
        <f t="array" ref="I446">isDup(B446,B447, 0.7)</f>
        <v>0</v>
      </c>
    </row>
    <row r="447" spans="1:9" ht="17" x14ac:dyDescent="0.2">
      <c r="A447" t="s">
        <v>2185</v>
      </c>
      <c r="B447" s="1" t="s">
        <v>2186</v>
      </c>
      <c r="C447" t="s">
        <v>2187</v>
      </c>
      <c r="D447" s="1" t="s">
        <v>2</v>
      </c>
      <c r="E447" t="b">
        <v>0</v>
      </c>
      <c r="F447">
        <v>213</v>
      </c>
      <c r="G447">
        <v>1423</v>
      </c>
      <c r="H447" t="s">
        <v>11</v>
      </c>
      <c r="I447" t="b" cm="1">
        <f t="array" ref="I447">isDup(B447,B448, 0.7)</f>
        <v>0</v>
      </c>
    </row>
    <row r="448" spans="1:9" ht="17" x14ac:dyDescent="0.2">
      <c r="A448" t="s">
        <v>4268</v>
      </c>
      <c r="B448" s="1" t="s">
        <v>4269</v>
      </c>
      <c r="C448" t="s">
        <v>64</v>
      </c>
      <c r="D448" s="1" t="s">
        <v>2</v>
      </c>
      <c r="E448" t="b">
        <v>0</v>
      </c>
      <c r="F448">
        <v>438</v>
      </c>
      <c r="G448">
        <v>41</v>
      </c>
      <c r="H448" t="s">
        <v>11</v>
      </c>
      <c r="I448" t="b" cm="1">
        <f t="array" ref="I448">isDup(B448,B449, 0.7)</f>
        <v>0</v>
      </c>
    </row>
    <row r="449" spans="1:9" ht="17" x14ac:dyDescent="0.2">
      <c r="A449" t="s">
        <v>4913</v>
      </c>
      <c r="B449" s="1" t="s">
        <v>4914</v>
      </c>
      <c r="C449" t="s">
        <v>1536</v>
      </c>
      <c r="D449" s="1" t="s">
        <v>2</v>
      </c>
      <c r="E449" t="b">
        <v>0</v>
      </c>
      <c r="F449">
        <v>357</v>
      </c>
      <c r="G449">
        <v>40</v>
      </c>
      <c r="H449" t="s">
        <v>11</v>
      </c>
      <c r="I449" t="b" cm="1">
        <f t="array" ref="I449">isDup(B449,B450, 0.7)</f>
        <v>0</v>
      </c>
    </row>
    <row r="450" spans="1:9" ht="17" x14ac:dyDescent="0.2">
      <c r="A450" t="s">
        <v>1346</v>
      </c>
      <c r="B450" s="1" t="s">
        <v>1347</v>
      </c>
      <c r="C450" t="s">
        <v>1034</v>
      </c>
      <c r="D450" s="1" t="s">
        <v>1348</v>
      </c>
      <c r="E450" t="b">
        <v>0</v>
      </c>
      <c r="F450">
        <v>13</v>
      </c>
      <c r="G450">
        <v>46</v>
      </c>
      <c r="H450" t="s">
        <v>3</v>
      </c>
      <c r="I450" t="b" cm="1">
        <f t="array" ref="I450">isDup(B450,B451, 0.7)</f>
        <v>0</v>
      </c>
    </row>
    <row r="451" spans="1:9" ht="17" x14ac:dyDescent="0.2">
      <c r="A451" t="s">
        <v>6595</v>
      </c>
      <c r="B451" s="1" t="s">
        <v>6596</v>
      </c>
      <c r="C451" t="s">
        <v>5439</v>
      </c>
      <c r="D451" s="1" t="s">
        <v>6597</v>
      </c>
      <c r="E451" t="b">
        <v>0</v>
      </c>
      <c r="F451">
        <v>351</v>
      </c>
      <c r="G451">
        <v>1742</v>
      </c>
      <c r="H451" t="s">
        <v>11</v>
      </c>
      <c r="I451" t="b" cm="1">
        <f t="array" ref="I451">isDup(B451,B452, 0.7)</f>
        <v>0</v>
      </c>
    </row>
    <row r="452" spans="1:9" ht="34" x14ac:dyDescent="0.2">
      <c r="A452" t="s">
        <v>4836</v>
      </c>
      <c r="B452" s="1" t="s">
        <v>4837</v>
      </c>
      <c r="C452" t="s">
        <v>3282</v>
      </c>
      <c r="D452" s="1" t="s">
        <v>418</v>
      </c>
      <c r="E452" t="b">
        <v>0</v>
      </c>
      <c r="F452">
        <v>211</v>
      </c>
      <c r="G452">
        <v>393</v>
      </c>
      <c r="H452" t="s">
        <v>11</v>
      </c>
      <c r="I452" t="b" cm="1">
        <f t="array" ref="I452">isDup(B452,B453, 0.7)</f>
        <v>0</v>
      </c>
    </row>
    <row r="453" spans="1:9" ht="17" x14ac:dyDescent="0.2">
      <c r="A453" t="s">
        <v>1709</v>
      </c>
      <c r="B453" s="1" t="s">
        <v>1710</v>
      </c>
      <c r="C453" t="s">
        <v>1058</v>
      </c>
      <c r="D453" s="1" t="s">
        <v>1711</v>
      </c>
      <c r="E453" t="b">
        <v>0</v>
      </c>
      <c r="F453">
        <v>24309</v>
      </c>
      <c r="G453">
        <v>3348</v>
      </c>
      <c r="H453" t="s">
        <v>11</v>
      </c>
      <c r="I453" t="b" cm="1">
        <f t="array" ref="I453">isDup(B453,B454, 0.7)</f>
        <v>0</v>
      </c>
    </row>
    <row r="454" spans="1:9" ht="17" x14ac:dyDescent="0.2">
      <c r="A454" t="s">
        <v>2488</v>
      </c>
      <c r="B454" s="1" t="s">
        <v>2489</v>
      </c>
      <c r="C454" t="s">
        <v>554</v>
      </c>
      <c r="D454" s="1" t="s">
        <v>2</v>
      </c>
      <c r="E454" t="b">
        <v>0</v>
      </c>
      <c r="F454">
        <v>6</v>
      </c>
      <c r="G454">
        <v>24</v>
      </c>
      <c r="H454" t="s">
        <v>641</v>
      </c>
      <c r="I454" t="b" cm="1">
        <f t="array" ref="I454">isDup(B454,B455, 0.7)</f>
        <v>0</v>
      </c>
    </row>
    <row r="455" spans="1:9" ht="34" x14ac:dyDescent="0.2">
      <c r="A455" t="s">
        <v>1485</v>
      </c>
      <c r="B455" s="1" t="s">
        <v>1486</v>
      </c>
      <c r="C455" t="s">
        <v>1487</v>
      </c>
      <c r="D455" s="1" t="s">
        <v>1488</v>
      </c>
      <c r="E455" t="b">
        <v>0</v>
      </c>
      <c r="F455">
        <v>95</v>
      </c>
      <c r="G455">
        <v>297</v>
      </c>
      <c r="H455" t="s">
        <v>11</v>
      </c>
      <c r="I455" t="b" cm="1">
        <f t="array" ref="I455">isDup(B455,B456, 0.7)</f>
        <v>0</v>
      </c>
    </row>
    <row r="456" spans="1:9" ht="34" x14ac:dyDescent="0.2">
      <c r="A456" t="s">
        <v>800</v>
      </c>
      <c r="B456" s="1" t="s">
        <v>801</v>
      </c>
      <c r="C456" t="s">
        <v>802</v>
      </c>
      <c r="D456" s="1" t="s">
        <v>803</v>
      </c>
      <c r="E456" t="b">
        <v>0</v>
      </c>
      <c r="F456">
        <v>1544</v>
      </c>
      <c r="G456">
        <v>702</v>
      </c>
      <c r="H456" t="s">
        <v>11</v>
      </c>
      <c r="I456" t="b" cm="1">
        <f t="array" ref="I456">isDup(B456,B457, 0.7)</f>
        <v>0</v>
      </c>
    </row>
    <row r="457" spans="1:9" ht="34" x14ac:dyDescent="0.2">
      <c r="A457" t="s">
        <v>3367</v>
      </c>
      <c r="B457" s="1" t="s">
        <v>3368</v>
      </c>
      <c r="C457" t="s">
        <v>1183</v>
      </c>
      <c r="D457" s="1" t="s">
        <v>3369</v>
      </c>
      <c r="E457" t="b">
        <v>0</v>
      </c>
      <c r="F457">
        <v>182</v>
      </c>
      <c r="G457">
        <v>2410</v>
      </c>
      <c r="H457" t="s">
        <v>11</v>
      </c>
      <c r="I457" t="b" cm="1">
        <f t="array" ref="I457">isDup(B457,B458, 0.7)</f>
        <v>0</v>
      </c>
    </row>
    <row r="458" spans="1:9" ht="17" x14ac:dyDescent="0.2">
      <c r="A458" t="s">
        <v>5722</v>
      </c>
      <c r="B458" s="1" t="s">
        <v>5723</v>
      </c>
      <c r="C458" t="s">
        <v>2661</v>
      </c>
      <c r="D458" s="1" t="s">
        <v>2</v>
      </c>
      <c r="E458" t="b">
        <v>0</v>
      </c>
      <c r="F458">
        <v>35</v>
      </c>
      <c r="G458">
        <v>68</v>
      </c>
      <c r="H458" t="s">
        <v>11</v>
      </c>
      <c r="I458" t="b" cm="1">
        <f t="array" ref="I458">isDup(B458,B459, 0.7)</f>
        <v>0</v>
      </c>
    </row>
    <row r="459" spans="1:9" ht="17" x14ac:dyDescent="0.2">
      <c r="A459" t="s">
        <v>347</v>
      </c>
      <c r="B459" s="1" t="s">
        <v>348</v>
      </c>
      <c r="C459" t="s">
        <v>349</v>
      </c>
      <c r="D459" s="1" t="s">
        <v>2</v>
      </c>
      <c r="E459" t="b">
        <v>0</v>
      </c>
      <c r="F459">
        <v>6</v>
      </c>
      <c r="G459">
        <v>77</v>
      </c>
      <c r="H459" t="s">
        <v>11</v>
      </c>
      <c r="I459" t="b" cm="1">
        <f t="array" ref="I459">isDup(B459,B460, 0.7)</f>
        <v>1</v>
      </c>
    </row>
    <row r="460" spans="1:9" ht="34" x14ac:dyDescent="0.2">
      <c r="A460" t="s">
        <v>2725</v>
      </c>
      <c r="B460" s="1" t="s">
        <v>2726</v>
      </c>
      <c r="C460" t="s">
        <v>349</v>
      </c>
      <c r="D460" s="1" t="s">
        <v>2</v>
      </c>
      <c r="E460" t="b">
        <v>0</v>
      </c>
      <c r="F460">
        <v>6</v>
      </c>
      <c r="G460">
        <v>77</v>
      </c>
      <c r="H460" t="s">
        <v>11</v>
      </c>
      <c r="I460" t="b" cm="1">
        <f t="array" ref="I460">isDup(B460,B461, 0.7)</f>
        <v>0</v>
      </c>
    </row>
    <row r="461" spans="1:9" ht="17" x14ac:dyDescent="0.2">
      <c r="A461" t="s">
        <v>5253</v>
      </c>
      <c r="B461" s="1" t="s">
        <v>5254</v>
      </c>
      <c r="C461" t="s">
        <v>716</v>
      </c>
      <c r="D461" s="1" t="s">
        <v>5255</v>
      </c>
      <c r="E461" t="b">
        <v>0</v>
      </c>
      <c r="F461">
        <v>290</v>
      </c>
      <c r="G461">
        <v>298</v>
      </c>
      <c r="H461" t="s">
        <v>11</v>
      </c>
      <c r="I461" t="b" cm="1">
        <f t="array" ref="I461">isDup(B461,B462, 0.7)</f>
        <v>0</v>
      </c>
    </row>
    <row r="462" spans="1:9" ht="17" x14ac:dyDescent="0.2">
      <c r="A462" t="s">
        <v>7253</v>
      </c>
      <c r="B462" s="1" t="s">
        <v>7254</v>
      </c>
      <c r="C462" t="s">
        <v>2259</v>
      </c>
      <c r="D462" s="1" t="s">
        <v>7255</v>
      </c>
      <c r="E462" t="b">
        <v>0</v>
      </c>
      <c r="F462">
        <v>10</v>
      </c>
      <c r="G462">
        <v>25</v>
      </c>
      <c r="H462" t="s">
        <v>11</v>
      </c>
      <c r="I462" t="b" cm="1">
        <f t="array" ref="I462">isDup(B462,B463, 0.7)</f>
        <v>0</v>
      </c>
    </row>
    <row r="463" spans="1:9" ht="17" x14ac:dyDescent="0.2">
      <c r="A463" t="s">
        <v>1695</v>
      </c>
      <c r="B463" s="1" t="s">
        <v>1696</v>
      </c>
      <c r="C463" t="s">
        <v>1697</v>
      </c>
      <c r="D463" s="1" t="s">
        <v>2</v>
      </c>
      <c r="E463" t="b">
        <v>0</v>
      </c>
      <c r="F463">
        <v>97</v>
      </c>
      <c r="G463">
        <v>727</v>
      </c>
      <c r="H463" t="s">
        <v>11</v>
      </c>
      <c r="I463" t="b" cm="1">
        <f t="array" ref="I463">isDup(B463,B464, 0.7)</f>
        <v>0</v>
      </c>
    </row>
    <row r="464" spans="1:9" ht="34" x14ac:dyDescent="0.2">
      <c r="A464" t="s">
        <v>5931</v>
      </c>
      <c r="B464" s="1" t="s">
        <v>5932</v>
      </c>
      <c r="C464" t="s">
        <v>5933</v>
      </c>
      <c r="D464" s="1" t="s">
        <v>5934</v>
      </c>
      <c r="E464" t="b">
        <v>0</v>
      </c>
      <c r="F464">
        <v>2484</v>
      </c>
      <c r="G464">
        <v>801</v>
      </c>
      <c r="H464" t="s">
        <v>11</v>
      </c>
      <c r="I464" t="b" cm="1">
        <f t="array" ref="I464">isDup(B464,B465, 0.7)</f>
        <v>0</v>
      </c>
    </row>
    <row r="465" spans="1:9" ht="34" x14ac:dyDescent="0.2">
      <c r="A465" t="s">
        <v>5444</v>
      </c>
      <c r="B465" s="1" t="s">
        <v>5445</v>
      </c>
      <c r="C465" t="s">
        <v>5446</v>
      </c>
      <c r="D465" s="1" t="s">
        <v>5447</v>
      </c>
      <c r="E465" t="b">
        <v>0</v>
      </c>
      <c r="F465">
        <v>551</v>
      </c>
      <c r="G465">
        <v>351</v>
      </c>
      <c r="H465" t="s">
        <v>11</v>
      </c>
      <c r="I465" t="b" cm="1">
        <f t="array" ref="I465">isDup(B465,B466, 0.7)</f>
        <v>0</v>
      </c>
    </row>
    <row r="466" spans="1:9" ht="17" x14ac:dyDescent="0.2">
      <c r="A466" t="s">
        <v>6526</v>
      </c>
      <c r="B466" s="1" t="s">
        <v>6527</v>
      </c>
      <c r="C466" t="s">
        <v>6528</v>
      </c>
      <c r="D466" s="1" t="s">
        <v>6529</v>
      </c>
      <c r="E466" t="b">
        <v>0</v>
      </c>
      <c r="F466">
        <v>1021</v>
      </c>
      <c r="G466">
        <v>4434</v>
      </c>
      <c r="H466" t="s">
        <v>11</v>
      </c>
      <c r="I466" t="b" cm="1">
        <f t="array" ref="I466">isDup(B466,B467, 0.7)</f>
        <v>0</v>
      </c>
    </row>
    <row r="467" spans="1:9" ht="34" x14ac:dyDescent="0.2">
      <c r="A467" t="s">
        <v>3440</v>
      </c>
      <c r="B467" s="1" t="s">
        <v>3441</v>
      </c>
      <c r="C467" t="s">
        <v>1324</v>
      </c>
      <c r="D467" s="1" t="s">
        <v>659</v>
      </c>
      <c r="E467" t="b">
        <v>0</v>
      </c>
      <c r="F467">
        <v>19</v>
      </c>
      <c r="G467">
        <v>112</v>
      </c>
      <c r="H467" t="s">
        <v>11</v>
      </c>
      <c r="I467" t="b" cm="1">
        <f t="array" ref="I467">isDup(B467,B468, 0.7)</f>
        <v>0</v>
      </c>
    </row>
    <row r="468" spans="1:9" ht="17" x14ac:dyDescent="0.2">
      <c r="A468" t="s">
        <v>6328</v>
      </c>
      <c r="B468" s="1" t="s">
        <v>6329</v>
      </c>
      <c r="C468" t="s">
        <v>1990</v>
      </c>
      <c r="D468" s="1" t="s">
        <v>2</v>
      </c>
      <c r="E468" t="b">
        <v>0</v>
      </c>
      <c r="F468">
        <v>95</v>
      </c>
      <c r="G468">
        <v>924</v>
      </c>
      <c r="H468" t="s">
        <v>11</v>
      </c>
      <c r="I468" t="b" cm="1">
        <f t="array" ref="I468">isDup(B468,B469, 0.7)</f>
        <v>1</v>
      </c>
    </row>
    <row r="469" spans="1:9" ht="34" x14ac:dyDescent="0.2">
      <c r="A469" t="s">
        <v>4711</v>
      </c>
      <c r="B469" s="1" t="s">
        <v>4712</v>
      </c>
      <c r="C469" t="s">
        <v>4705</v>
      </c>
      <c r="D469" s="1" t="s">
        <v>2399</v>
      </c>
      <c r="E469" t="b">
        <v>0</v>
      </c>
      <c r="F469">
        <v>885</v>
      </c>
      <c r="G469">
        <v>1704</v>
      </c>
      <c r="H469" t="s">
        <v>11</v>
      </c>
      <c r="I469" t="b" cm="1">
        <f t="array" ref="I469">isDup(B469,B470, 0.7)</f>
        <v>0</v>
      </c>
    </row>
    <row r="470" spans="1:9" ht="34" x14ac:dyDescent="0.2">
      <c r="A470" t="s">
        <v>1049</v>
      </c>
      <c r="B470" s="1" t="s">
        <v>1050</v>
      </c>
      <c r="C470" t="s">
        <v>319</v>
      </c>
      <c r="D470" s="1" t="s">
        <v>1041</v>
      </c>
      <c r="E470" t="b">
        <v>0</v>
      </c>
      <c r="F470">
        <v>2638</v>
      </c>
      <c r="G470">
        <v>428</v>
      </c>
      <c r="H470" t="s">
        <v>11</v>
      </c>
      <c r="I470" t="b" cm="1">
        <f t="array" ref="I470">isDup(B470,B471, 0.7)</f>
        <v>0</v>
      </c>
    </row>
    <row r="471" spans="1:9" ht="17" x14ac:dyDescent="0.2">
      <c r="A471" t="s">
        <v>179</v>
      </c>
      <c r="B471" s="1" t="s">
        <v>180</v>
      </c>
      <c r="C471" t="s">
        <v>181</v>
      </c>
      <c r="D471" s="1" t="s">
        <v>2</v>
      </c>
      <c r="E471" t="b">
        <v>0</v>
      </c>
      <c r="F471">
        <v>25</v>
      </c>
      <c r="G471">
        <v>257</v>
      </c>
      <c r="H471" t="s">
        <v>11</v>
      </c>
      <c r="I471" t="b" cm="1">
        <f t="array" ref="I471">isDup(B471,B472, 0.7)</f>
        <v>0</v>
      </c>
    </row>
    <row r="472" spans="1:9" ht="17" x14ac:dyDescent="0.2">
      <c r="A472" t="s">
        <v>3854</v>
      </c>
      <c r="B472" s="1" t="s">
        <v>3855</v>
      </c>
      <c r="C472" t="s">
        <v>181</v>
      </c>
      <c r="D472" s="1" t="s">
        <v>3856</v>
      </c>
      <c r="E472" t="b">
        <v>0</v>
      </c>
      <c r="F472">
        <v>756</v>
      </c>
      <c r="G472">
        <v>745</v>
      </c>
      <c r="H472" t="s">
        <v>11</v>
      </c>
      <c r="I472" t="b" cm="1">
        <f t="array" ref="I472">isDup(B472,B473, 0.7)</f>
        <v>0</v>
      </c>
    </row>
    <row r="473" spans="1:9" ht="34" x14ac:dyDescent="0.2">
      <c r="A473" t="s">
        <v>6974</v>
      </c>
      <c r="B473" s="1" t="s">
        <v>6975</v>
      </c>
      <c r="C473" t="s">
        <v>79</v>
      </c>
      <c r="D473" s="1" t="s">
        <v>4773</v>
      </c>
      <c r="E473" t="b">
        <v>1</v>
      </c>
      <c r="F473">
        <v>33555</v>
      </c>
      <c r="G473">
        <v>84</v>
      </c>
      <c r="H473" t="s">
        <v>11</v>
      </c>
      <c r="I473" t="b" cm="1">
        <f t="array" ref="I473">isDup(B473,B474, 0.7)</f>
        <v>0</v>
      </c>
    </row>
    <row r="474" spans="1:9" ht="17" x14ac:dyDescent="0.2">
      <c r="A474" t="s">
        <v>714</v>
      </c>
      <c r="B474" s="1" t="s">
        <v>715</v>
      </c>
      <c r="C474" t="s">
        <v>716</v>
      </c>
      <c r="D474" s="1" t="s">
        <v>717</v>
      </c>
      <c r="E474" t="b">
        <v>0</v>
      </c>
      <c r="F474">
        <v>3968</v>
      </c>
      <c r="G474">
        <v>3419</v>
      </c>
      <c r="H474" t="s">
        <v>11</v>
      </c>
      <c r="I474" t="b" cm="1">
        <f t="array" ref="I474">isDup(B474,B475, 0.7)</f>
        <v>0</v>
      </c>
    </row>
    <row r="475" spans="1:9" ht="17" x14ac:dyDescent="0.2">
      <c r="A475" t="s">
        <v>5570</v>
      </c>
      <c r="B475" s="1" t="s">
        <v>5571</v>
      </c>
      <c r="C475" t="s">
        <v>222</v>
      </c>
      <c r="D475" s="1" t="s">
        <v>223</v>
      </c>
      <c r="E475" t="b">
        <v>0</v>
      </c>
      <c r="F475">
        <v>9231</v>
      </c>
      <c r="G475">
        <v>7170</v>
      </c>
      <c r="H475" t="s">
        <v>11</v>
      </c>
      <c r="I475" t="b" cm="1">
        <f t="array" ref="I475">isDup(B475,B476, 0.7)</f>
        <v>0</v>
      </c>
    </row>
    <row r="476" spans="1:9" ht="34" x14ac:dyDescent="0.2">
      <c r="A476" t="s">
        <v>1581</v>
      </c>
      <c r="B476" s="1" t="s">
        <v>1582</v>
      </c>
      <c r="C476" t="s">
        <v>1583</v>
      </c>
      <c r="D476" s="1" t="s">
        <v>1584</v>
      </c>
      <c r="E476" t="b">
        <v>0</v>
      </c>
      <c r="F476">
        <v>312</v>
      </c>
      <c r="G476">
        <v>402</v>
      </c>
      <c r="H476" t="s">
        <v>11</v>
      </c>
      <c r="I476" t="b" cm="1">
        <f t="array" ref="I476">isDup(B476,B477, 0.7)</f>
        <v>0</v>
      </c>
    </row>
    <row r="477" spans="1:9" ht="34" x14ac:dyDescent="0.2">
      <c r="A477" t="s">
        <v>4834</v>
      </c>
      <c r="B477" s="1" t="s">
        <v>4835</v>
      </c>
      <c r="C477" t="s">
        <v>3333</v>
      </c>
      <c r="D477" s="1" t="s">
        <v>2561</v>
      </c>
      <c r="E477" t="b">
        <v>0</v>
      </c>
      <c r="F477">
        <v>2205</v>
      </c>
      <c r="G477">
        <v>1079</v>
      </c>
      <c r="H477" t="s">
        <v>11</v>
      </c>
      <c r="I477" t="b" cm="1">
        <f t="array" ref="I477">isDup(B477,B478, 0.7)</f>
        <v>0</v>
      </c>
    </row>
    <row r="478" spans="1:9" ht="34" x14ac:dyDescent="0.2">
      <c r="A478" t="s">
        <v>3008</v>
      </c>
      <c r="B478" s="1" t="s">
        <v>3009</v>
      </c>
      <c r="C478" t="s">
        <v>1654</v>
      </c>
      <c r="D478" s="1" t="s">
        <v>1288</v>
      </c>
      <c r="E478" t="b">
        <v>0</v>
      </c>
      <c r="F478">
        <v>938</v>
      </c>
      <c r="G478">
        <v>294</v>
      </c>
      <c r="H478" t="s">
        <v>110</v>
      </c>
      <c r="I478" t="b" cm="1">
        <f t="array" ref="I478">isDup(B478,B479, 0.7)</f>
        <v>0</v>
      </c>
    </row>
    <row r="479" spans="1:9" ht="17" x14ac:dyDescent="0.2">
      <c r="A479" t="s">
        <v>3547</v>
      </c>
      <c r="B479" s="1" t="s">
        <v>3548</v>
      </c>
      <c r="C479" t="s">
        <v>2102</v>
      </c>
      <c r="D479" s="1" t="s">
        <v>2</v>
      </c>
      <c r="E479" t="b">
        <v>0</v>
      </c>
      <c r="F479">
        <v>17</v>
      </c>
      <c r="G479">
        <v>43</v>
      </c>
      <c r="H479" t="s">
        <v>11</v>
      </c>
      <c r="I479" t="b" cm="1">
        <f t="array" ref="I479">isDup(B479,B480, 0.7)</f>
        <v>0</v>
      </c>
    </row>
    <row r="480" spans="1:9" ht="34" x14ac:dyDescent="0.2">
      <c r="A480" t="s">
        <v>6485</v>
      </c>
      <c r="B480" s="1" t="s">
        <v>6486</v>
      </c>
      <c r="C480" t="s">
        <v>1263</v>
      </c>
      <c r="D480" s="1" t="s">
        <v>6481</v>
      </c>
      <c r="E480" t="b">
        <v>0</v>
      </c>
      <c r="F480">
        <v>469</v>
      </c>
      <c r="G480">
        <v>17</v>
      </c>
      <c r="H480" t="s">
        <v>11</v>
      </c>
      <c r="I480" t="b" cm="1">
        <f t="array" ref="I480">isDup(B480,B481, 0.7)</f>
        <v>0</v>
      </c>
    </row>
    <row r="481" spans="1:9" ht="34" x14ac:dyDescent="0.2">
      <c r="A481" t="s">
        <v>6084</v>
      </c>
      <c r="B481" s="1" t="s">
        <v>6085</v>
      </c>
      <c r="C481" t="s">
        <v>4142</v>
      </c>
      <c r="D481" s="1" t="s">
        <v>2</v>
      </c>
      <c r="E481" t="b">
        <v>0</v>
      </c>
      <c r="F481">
        <v>3</v>
      </c>
      <c r="G481">
        <v>1</v>
      </c>
      <c r="H481" t="s">
        <v>11</v>
      </c>
      <c r="I481" t="b" cm="1">
        <f t="array" ref="I481">isDup(B481,B482, 0.7)</f>
        <v>0</v>
      </c>
    </row>
    <row r="482" spans="1:9" ht="17" x14ac:dyDescent="0.2">
      <c r="A482" t="s">
        <v>5511</v>
      </c>
      <c r="B482" s="1" t="s">
        <v>5512</v>
      </c>
      <c r="C482" t="s">
        <v>2363</v>
      </c>
      <c r="D482" s="1" t="s">
        <v>5513</v>
      </c>
      <c r="E482" t="b">
        <v>0</v>
      </c>
      <c r="F482">
        <v>1803</v>
      </c>
      <c r="G482">
        <v>996</v>
      </c>
      <c r="H482" t="s">
        <v>11</v>
      </c>
      <c r="I482" t="b" cm="1">
        <f t="array" ref="I482">isDup(B482,B483, 0.7)</f>
        <v>0</v>
      </c>
    </row>
    <row r="483" spans="1:9" ht="17" x14ac:dyDescent="0.2">
      <c r="A483" t="s">
        <v>4929</v>
      </c>
      <c r="B483" s="1" t="s">
        <v>4930</v>
      </c>
      <c r="C483" t="s">
        <v>315</v>
      </c>
      <c r="D483" s="1" t="s">
        <v>4931</v>
      </c>
      <c r="E483" t="b">
        <v>0</v>
      </c>
      <c r="F483">
        <v>480</v>
      </c>
      <c r="G483">
        <v>1223</v>
      </c>
      <c r="H483" t="s">
        <v>11</v>
      </c>
      <c r="I483" t="b" cm="1">
        <f t="array" ref="I483">isDup(B483,B484, 0.7)</f>
        <v>0</v>
      </c>
    </row>
    <row r="484" spans="1:9" ht="34" x14ac:dyDescent="0.2">
      <c r="A484" t="s">
        <v>2469</v>
      </c>
      <c r="B484" s="1" t="s">
        <v>2470</v>
      </c>
      <c r="C484" t="s">
        <v>2471</v>
      </c>
      <c r="D484" s="1" t="s">
        <v>2472</v>
      </c>
      <c r="E484" t="b">
        <v>0</v>
      </c>
      <c r="F484">
        <v>110</v>
      </c>
      <c r="G484">
        <v>382</v>
      </c>
      <c r="H484" t="s">
        <v>11</v>
      </c>
      <c r="I484" t="b" cm="1">
        <f t="array" ref="I484">isDup(B484,B485, 0.7)</f>
        <v>0</v>
      </c>
    </row>
    <row r="485" spans="1:9" ht="17" x14ac:dyDescent="0.2">
      <c r="A485" t="s">
        <v>4626</v>
      </c>
      <c r="B485" s="1" t="s">
        <v>4627</v>
      </c>
      <c r="C485" t="s">
        <v>2628</v>
      </c>
      <c r="D485" s="1" t="s">
        <v>2</v>
      </c>
      <c r="E485" t="b">
        <v>0</v>
      </c>
      <c r="F485">
        <v>22</v>
      </c>
      <c r="G485">
        <v>192</v>
      </c>
      <c r="H485" t="s">
        <v>11</v>
      </c>
      <c r="I485" t="b" cm="1">
        <f t="array" ref="I485">isDup(B485,B486, 0.7)</f>
        <v>0</v>
      </c>
    </row>
    <row r="486" spans="1:9" ht="17" x14ac:dyDescent="0.2">
      <c r="A486" t="s">
        <v>873</v>
      </c>
      <c r="B486" s="1" t="s">
        <v>874</v>
      </c>
      <c r="C486" t="s">
        <v>875</v>
      </c>
      <c r="D486" s="1" t="s">
        <v>316</v>
      </c>
      <c r="E486" t="b">
        <v>0</v>
      </c>
      <c r="F486">
        <v>160</v>
      </c>
      <c r="G486">
        <v>279</v>
      </c>
      <c r="H486" t="s">
        <v>11</v>
      </c>
      <c r="I486" t="b" cm="1">
        <f t="array" ref="I486">isDup(B486,B487, 0.7)</f>
        <v>0</v>
      </c>
    </row>
    <row r="487" spans="1:9" ht="17" x14ac:dyDescent="0.2">
      <c r="A487" t="s">
        <v>5627</v>
      </c>
      <c r="B487" s="1" t="s">
        <v>5628</v>
      </c>
      <c r="C487" t="s">
        <v>5629</v>
      </c>
      <c r="D487" s="1" t="s">
        <v>2</v>
      </c>
      <c r="E487" t="b">
        <v>0</v>
      </c>
      <c r="F487">
        <v>192</v>
      </c>
      <c r="G487">
        <v>552</v>
      </c>
      <c r="H487" t="s">
        <v>11</v>
      </c>
      <c r="I487" t="b" cm="1">
        <f t="array" ref="I487">isDup(B487,B488, 0.7)</f>
        <v>0</v>
      </c>
    </row>
    <row r="488" spans="1:9" ht="17" x14ac:dyDescent="0.2">
      <c r="A488" t="s">
        <v>1195</v>
      </c>
      <c r="B488" s="1" t="s">
        <v>1196</v>
      </c>
      <c r="C488" t="s">
        <v>1197</v>
      </c>
      <c r="D488" s="1" t="s">
        <v>1198</v>
      </c>
      <c r="E488" t="b">
        <v>0</v>
      </c>
      <c r="F488">
        <v>1124</v>
      </c>
      <c r="G488">
        <v>316</v>
      </c>
      <c r="H488" t="s">
        <v>11</v>
      </c>
      <c r="I488" t="b" cm="1">
        <f t="array" ref="I488">isDup(B488,B489, 0.7)</f>
        <v>0</v>
      </c>
    </row>
    <row r="489" spans="1:9" ht="17" x14ac:dyDescent="0.2">
      <c r="A489" t="s">
        <v>5149</v>
      </c>
      <c r="B489" s="1" t="s">
        <v>5150</v>
      </c>
      <c r="C489" t="s">
        <v>3007</v>
      </c>
      <c r="D489" s="1" t="s">
        <v>2</v>
      </c>
      <c r="E489" t="b">
        <v>0</v>
      </c>
      <c r="F489">
        <v>1</v>
      </c>
      <c r="G489">
        <v>7</v>
      </c>
      <c r="H489" t="s">
        <v>11</v>
      </c>
      <c r="I489" t="b" cm="1">
        <f t="array" ref="I489">isDup(B489,B490, 0.7)</f>
        <v>0</v>
      </c>
    </row>
    <row r="490" spans="1:9" ht="17" x14ac:dyDescent="0.2">
      <c r="A490" t="s">
        <v>2129</v>
      </c>
      <c r="B490" s="1" t="s">
        <v>2130</v>
      </c>
      <c r="C490" t="s">
        <v>2131</v>
      </c>
      <c r="D490" s="1" t="s">
        <v>1167</v>
      </c>
      <c r="E490" t="b">
        <v>0</v>
      </c>
      <c r="F490">
        <v>6908</v>
      </c>
      <c r="G490">
        <v>549</v>
      </c>
      <c r="H490" t="s">
        <v>11</v>
      </c>
      <c r="I490" t="b" cm="1">
        <f t="array" ref="I490">isDup(B490,B491, 0.7)</f>
        <v>0</v>
      </c>
    </row>
    <row r="491" spans="1:9" ht="34" x14ac:dyDescent="0.2">
      <c r="A491" t="s">
        <v>1032</v>
      </c>
      <c r="B491" s="1" t="s">
        <v>1033</v>
      </c>
      <c r="C491" t="s">
        <v>1034</v>
      </c>
      <c r="D491" s="1" t="s">
        <v>346</v>
      </c>
      <c r="E491" t="b">
        <v>0</v>
      </c>
      <c r="F491">
        <v>3060</v>
      </c>
      <c r="G491">
        <v>1801</v>
      </c>
      <c r="H491" t="s">
        <v>11</v>
      </c>
      <c r="I491" t="b" cm="1">
        <f t="array" ref="I491">isDup(B491,B492, 0.7)</f>
        <v>0</v>
      </c>
    </row>
    <row r="492" spans="1:9" ht="17" x14ac:dyDescent="0.2">
      <c r="A492" t="s">
        <v>5231</v>
      </c>
      <c r="B492" s="1" t="s">
        <v>5232</v>
      </c>
      <c r="C492" t="s">
        <v>2973</v>
      </c>
      <c r="D492" s="1" t="s">
        <v>5233</v>
      </c>
      <c r="E492" t="b">
        <v>0</v>
      </c>
      <c r="F492">
        <v>659</v>
      </c>
      <c r="G492">
        <v>285</v>
      </c>
      <c r="H492" t="s">
        <v>11</v>
      </c>
      <c r="I492" t="b" cm="1">
        <f t="array" ref="I492">isDup(B492,B493, 0.7)</f>
        <v>0</v>
      </c>
    </row>
    <row r="493" spans="1:9" ht="17" x14ac:dyDescent="0.2">
      <c r="A493" t="s">
        <v>4767</v>
      </c>
      <c r="B493" s="1" t="s">
        <v>4768</v>
      </c>
      <c r="C493" t="s">
        <v>222</v>
      </c>
      <c r="D493" s="1" t="s">
        <v>223</v>
      </c>
      <c r="E493" t="b">
        <v>0</v>
      </c>
      <c r="F493">
        <v>9228</v>
      </c>
      <c r="G493">
        <v>7170</v>
      </c>
      <c r="H493" t="s">
        <v>11</v>
      </c>
      <c r="I493" t="b" cm="1">
        <f t="array" ref="I493">isDup(B493,B494, 0.7)</f>
        <v>0</v>
      </c>
    </row>
    <row r="494" spans="1:9" ht="17" x14ac:dyDescent="0.2">
      <c r="A494" t="s">
        <v>1836</v>
      </c>
      <c r="B494" s="1" t="s">
        <v>1837</v>
      </c>
      <c r="C494" t="s">
        <v>1838</v>
      </c>
      <c r="D494" s="1" t="s">
        <v>2</v>
      </c>
      <c r="E494" t="b">
        <v>0</v>
      </c>
      <c r="F494">
        <v>0</v>
      </c>
      <c r="G494">
        <v>2</v>
      </c>
      <c r="H494" t="s">
        <v>11</v>
      </c>
      <c r="I494" t="b" cm="1">
        <f t="array" ref="I494">isDup(B494,B495, 0.7)</f>
        <v>0</v>
      </c>
    </row>
    <row r="495" spans="1:9" ht="17" x14ac:dyDescent="0.2">
      <c r="A495" t="s">
        <v>2954</v>
      </c>
      <c r="B495" s="1" t="s">
        <v>2955</v>
      </c>
      <c r="C495" t="s">
        <v>726</v>
      </c>
      <c r="D495" s="1" t="s">
        <v>2956</v>
      </c>
      <c r="E495" t="b">
        <v>0</v>
      </c>
      <c r="F495">
        <v>590</v>
      </c>
      <c r="G495">
        <v>2150</v>
      </c>
      <c r="H495" t="s">
        <v>11</v>
      </c>
      <c r="I495" t="b" cm="1">
        <f t="array" ref="I495">isDup(B495,B496, 0.7)</f>
        <v>0</v>
      </c>
    </row>
    <row r="496" spans="1:9" ht="17" x14ac:dyDescent="0.2">
      <c r="A496" t="s">
        <v>2910</v>
      </c>
      <c r="B496" s="1" t="s">
        <v>2911</v>
      </c>
      <c r="C496" t="s">
        <v>587</v>
      </c>
      <c r="D496" s="1" t="s">
        <v>2912</v>
      </c>
      <c r="E496" t="b">
        <v>0</v>
      </c>
      <c r="F496">
        <v>271</v>
      </c>
      <c r="G496">
        <v>63</v>
      </c>
      <c r="H496" t="s">
        <v>11</v>
      </c>
      <c r="I496" t="b" cm="1">
        <f t="array" ref="I496">isDup(B496,B497, 0.7)</f>
        <v>0</v>
      </c>
    </row>
    <row r="497" spans="1:9" ht="17" x14ac:dyDescent="0.2">
      <c r="A497" t="s">
        <v>2848</v>
      </c>
      <c r="B497" s="1" t="s">
        <v>2849</v>
      </c>
      <c r="C497" t="s">
        <v>2850</v>
      </c>
      <c r="D497" s="1" t="s">
        <v>61</v>
      </c>
      <c r="E497" t="b">
        <v>0</v>
      </c>
      <c r="F497">
        <v>26</v>
      </c>
      <c r="G497">
        <v>181</v>
      </c>
      <c r="H497" t="s">
        <v>11</v>
      </c>
      <c r="I497" t="b" cm="1">
        <f t="array" ref="I497">isDup(B497,B498, 0.7)</f>
        <v>0</v>
      </c>
    </row>
    <row r="498" spans="1:9" ht="34" x14ac:dyDescent="0.2">
      <c r="A498" t="s">
        <v>3717</v>
      </c>
      <c r="B498" s="1" t="s">
        <v>3718</v>
      </c>
      <c r="C498" t="s">
        <v>1189</v>
      </c>
      <c r="D498" s="1" t="s">
        <v>1190</v>
      </c>
      <c r="E498" t="b">
        <v>0</v>
      </c>
      <c r="F498">
        <v>7992</v>
      </c>
      <c r="G498">
        <v>410</v>
      </c>
      <c r="H498" t="s">
        <v>11</v>
      </c>
      <c r="I498" t="b" cm="1">
        <f t="array" ref="I498">isDup(B498,B499, 0.7)</f>
        <v>0</v>
      </c>
    </row>
    <row r="499" spans="1:9" ht="34" x14ac:dyDescent="0.2">
      <c r="A499" t="s">
        <v>3914</v>
      </c>
      <c r="B499" s="1" t="s">
        <v>3915</v>
      </c>
      <c r="C499" t="s">
        <v>268</v>
      </c>
      <c r="D499" s="1" t="s">
        <v>2</v>
      </c>
      <c r="E499" t="b">
        <v>0</v>
      </c>
      <c r="F499">
        <v>22</v>
      </c>
      <c r="G499">
        <v>6</v>
      </c>
      <c r="H499" t="s">
        <v>11</v>
      </c>
      <c r="I499" t="b" cm="1">
        <f t="array" ref="I499">isDup(B499,B500, 0.7)</f>
        <v>0</v>
      </c>
    </row>
    <row r="500" spans="1:9" ht="17" x14ac:dyDescent="0.2">
      <c r="A500" t="s">
        <v>2270</v>
      </c>
      <c r="B500" s="1" t="s">
        <v>2271</v>
      </c>
      <c r="C500" t="s">
        <v>1530</v>
      </c>
      <c r="D500" s="1" t="s">
        <v>2272</v>
      </c>
      <c r="E500" t="b">
        <v>0</v>
      </c>
      <c r="F500">
        <v>307</v>
      </c>
      <c r="G500">
        <v>79</v>
      </c>
      <c r="H500" t="s">
        <v>11</v>
      </c>
      <c r="I500" t="b" cm="1">
        <f t="array" ref="I500">isDup(B500,B501, 0.7)</f>
        <v>0</v>
      </c>
    </row>
    <row r="501" spans="1:9" ht="34" x14ac:dyDescent="0.2">
      <c r="A501" t="s">
        <v>1830</v>
      </c>
      <c r="B501" s="1" t="s">
        <v>1831</v>
      </c>
      <c r="C501" t="s">
        <v>1250</v>
      </c>
      <c r="D501" s="1" t="s">
        <v>1251</v>
      </c>
      <c r="E501" t="b">
        <v>0</v>
      </c>
      <c r="F501">
        <v>1355</v>
      </c>
      <c r="G501">
        <v>1069</v>
      </c>
      <c r="H501" t="s">
        <v>11</v>
      </c>
      <c r="I501" t="b" cm="1">
        <f t="array" ref="I501">isDup(B501,B502, 0.7)</f>
        <v>0</v>
      </c>
    </row>
    <row r="502" spans="1:9" ht="17" x14ac:dyDescent="0.2">
      <c r="A502" t="s">
        <v>2898</v>
      </c>
      <c r="B502" s="1" t="s">
        <v>2899</v>
      </c>
      <c r="C502" t="s">
        <v>2900</v>
      </c>
      <c r="D502" s="1" t="s">
        <v>2</v>
      </c>
      <c r="E502" t="b">
        <v>0</v>
      </c>
      <c r="F502">
        <v>21</v>
      </c>
      <c r="G502">
        <v>124</v>
      </c>
      <c r="H502" t="s">
        <v>110</v>
      </c>
      <c r="I502" t="b" cm="1">
        <f t="array" ref="I502">isDup(B502,B503, 0.7)</f>
        <v>0</v>
      </c>
    </row>
    <row r="503" spans="1:9" ht="17" x14ac:dyDescent="0.2">
      <c r="A503" t="s">
        <v>6065</v>
      </c>
      <c r="B503" s="1" t="s">
        <v>6066</v>
      </c>
      <c r="C503" t="s">
        <v>6067</v>
      </c>
      <c r="D503" s="1" t="s">
        <v>6068</v>
      </c>
      <c r="E503" t="b">
        <v>0</v>
      </c>
      <c r="F503">
        <v>27525</v>
      </c>
      <c r="G503">
        <v>1200</v>
      </c>
      <c r="H503" t="s">
        <v>11</v>
      </c>
      <c r="I503" t="b" cm="1">
        <f t="array" ref="I503">isDup(B503,B504, 0.7)</f>
        <v>0</v>
      </c>
    </row>
    <row r="504" spans="1:9" ht="34" x14ac:dyDescent="0.2">
      <c r="A504" t="s">
        <v>3823</v>
      </c>
      <c r="B504" s="1" t="s">
        <v>3824</v>
      </c>
      <c r="C504" t="s">
        <v>2142</v>
      </c>
      <c r="D504" s="1" t="s">
        <v>3825</v>
      </c>
      <c r="E504" t="b">
        <v>0</v>
      </c>
      <c r="F504">
        <v>332</v>
      </c>
      <c r="G504">
        <v>153</v>
      </c>
      <c r="H504" t="s">
        <v>11</v>
      </c>
      <c r="I504" t="b" cm="1">
        <f t="array" ref="I504">isDup(B504,B505, 0.7)</f>
        <v>0</v>
      </c>
    </row>
    <row r="505" spans="1:9" ht="34" x14ac:dyDescent="0.2">
      <c r="A505" t="s">
        <v>6453</v>
      </c>
      <c r="B505" s="1" t="s">
        <v>6456</v>
      </c>
      <c r="C505" t="s">
        <v>3604</v>
      </c>
      <c r="D505" s="1" t="s">
        <v>6457</v>
      </c>
      <c r="E505" t="b">
        <v>0</v>
      </c>
      <c r="F505">
        <v>594</v>
      </c>
      <c r="G505">
        <v>439</v>
      </c>
      <c r="H505" t="s">
        <v>11</v>
      </c>
      <c r="I505" t="b" cm="1">
        <f t="array" ref="I505">isDup(B505,B506, 0.7)</f>
        <v>0</v>
      </c>
    </row>
    <row r="506" spans="1:9" ht="34" x14ac:dyDescent="0.2">
      <c r="A506" t="s">
        <v>3325</v>
      </c>
      <c r="B506" s="1" t="s">
        <v>3326</v>
      </c>
      <c r="C506" t="s">
        <v>1561</v>
      </c>
      <c r="D506" s="1" t="s">
        <v>418</v>
      </c>
      <c r="E506" t="b">
        <v>0</v>
      </c>
      <c r="F506">
        <v>4727</v>
      </c>
      <c r="G506">
        <v>134</v>
      </c>
      <c r="H506" t="s">
        <v>11</v>
      </c>
      <c r="I506" t="b" cm="1">
        <f t="array" ref="I506">isDup(B506,B507, 0.7)</f>
        <v>0</v>
      </c>
    </row>
    <row r="507" spans="1:9" ht="17" x14ac:dyDescent="0.2">
      <c r="A507" t="s">
        <v>7153</v>
      </c>
      <c r="B507" s="1" t="s">
        <v>7154</v>
      </c>
      <c r="C507" t="s">
        <v>4876</v>
      </c>
      <c r="D507" s="1" t="s">
        <v>2</v>
      </c>
      <c r="E507" t="b">
        <v>0</v>
      </c>
      <c r="F507">
        <v>35</v>
      </c>
      <c r="G507">
        <v>4</v>
      </c>
      <c r="H507" t="s">
        <v>11</v>
      </c>
      <c r="I507" t="b" cm="1">
        <f t="array" ref="I507">isDup(B507,B508, 0.7)</f>
        <v>0</v>
      </c>
    </row>
    <row r="508" spans="1:9" ht="17" x14ac:dyDescent="0.2">
      <c r="A508" t="s">
        <v>169</v>
      </c>
      <c r="B508" s="1" t="s">
        <v>170</v>
      </c>
      <c r="C508" t="s">
        <v>94</v>
      </c>
      <c r="D508" s="1" t="s">
        <v>2</v>
      </c>
      <c r="E508" t="b">
        <v>0</v>
      </c>
      <c r="F508">
        <v>720</v>
      </c>
      <c r="G508">
        <v>502</v>
      </c>
      <c r="H508" t="s">
        <v>11</v>
      </c>
      <c r="I508" t="b" cm="1">
        <f t="array" ref="I508">isDup(B508,B509, 0.7)</f>
        <v>0</v>
      </c>
    </row>
    <row r="509" spans="1:9" ht="34" x14ac:dyDescent="0.2">
      <c r="A509" t="s">
        <v>3609</v>
      </c>
      <c r="B509" s="1" t="s">
        <v>3610</v>
      </c>
      <c r="C509" t="s">
        <v>2255</v>
      </c>
      <c r="D509" s="1" t="s">
        <v>212</v>
      </c>
      <c r="E509" t="b">
        <v>0</v>
      </c>
      <c r="F509">
        <v>153</v>
      </c>
      <c r="G509">
        <v>151</v>
      </c>
      <c r="H509" t="s">
        <v>11</v>
      </c>
      <c r="I509" t="b" cm="1">
        <f t="array" ref="I509">isDup(B509,B510, 0.7)</f>
        <v>0</v>
      </c>
    </row>
    <row r="510" spans="1:9" ht="34" x14ac:dyDescent="0.2">
      <c r="A510" t="s">
        <v>5342</v>
      </c>
      <c r="B510" s="1" t="s">
        <v>5343</v>
      </c>
      <c r="C510" t="s">
        <v>3273</v>
      </c>
      <c r="D510" s="1" t="s">
        <v>2</v>
      </c>
      <c r="E510" t="b">
        <v>0</v>
      </c>
      <c r="F510">
        <v>13</v>
      </c>
      <c r="G510">
        <v>126</v>
      </c>
      <c r="H510" t="s">
        <v>11</v>
      </c>
      <c r="I510" t="b" cm="1">
        <f t="array" ref="I510">isDup(B510,B511, 0.7)</f>
        <v>0</v>
      </c>
    </row>
    <row r="511" spans="1:9" ht="17" x14ac:dyDescent="0.2">
      <c r="A511" t="s">
        <v>3162</v>
      </c>
      <c r="B511" s="1" t="s">
        <v>3163</v>
      </c>
      <c r="C511" t="s">
        <v>3164</v>
      </c>
      <c r="D511" s="1" t="s">
        <v>2</v>
      </c>
      <c r="E511" t="b">
        <v>0</v>
      </c>
      <c r="F511">
        <v>100</v>
      </c>
      <c r="G511">
        <v>938</v>
      </c>
      <c r="H511" t="s">
        <v>11</v>
      </c>
      <c r="I511" t="b" cm="1">
        <f t="array" ref="I511">isDup(B511,B512, 0.7)</f>
        <v>0</v>
      </c>
    </row>
    <row r="512" spans="1:9" ht="34" x14ac:dyDescent="0.2">
      <c r="A512" t="s">
        <v>3100</v>
      </c>
      <c r="B512" s="1" t="s">
        <v>3101</v>
      </c>
      <c r="C512" t="s">
        <v>3102</v>
      </c>
      <c r="D512" s="1" t="s">
        <v>3103</v>
      </c>
      <c r="E512" t="b">
        <v>0</v>
      </c>
      <c r="F512">
        <v>1290</v>
      </c>
      <c r="G512">
        <v>2062</v>
      </c>
      <c r="H512" t="s">
        <v>110</v>
      </c>
      <c r="I512" t="b" cm="1">
        <f t="array" ref="I512">isDup(B512,B513, 0.7)</f>
        <v>0</v>
      </c>
    </row>
    <row r="513" spans="1:9" ht="34" x14ac:dyDescent="0.2">
      <c r="A513" t="s">
        <v>4389</v>
      </c>
      <c r="B513" s="1" t="s">
        <v>4390</v>
      </c>
      <c r="C513" t="s">
        <v>1866</v>
      </c>
      <c r="D513" s="1" t="s">
        <v>2</v>
      </c>
      <c r="E513" t="b">
        <v>0</v>
      </c>
      <c r="F513">
        <v>1050</v>
      </c>
      <c r="G513">
        <v>862</v>
      </c>
      <c r="H513" t="s">
        <v>11</v>
      </c>
      <c r="I513" t="b" cm="1">
        <f t="array" ref="I513">isDup(B513,B514, 0.7)</f>
        <v>0</v>
      </c>
    </row>
    <row r="514" spans="1:9" ht="17" x14ac:dyDescent="0.2">
      <c r="A514" t="s">
        <v>6861</v>
      </c>
      <c r="B514" s="1" t="s">
        <v>6862</v>
      </c>
      <c r="C514" t="s">
        <v>1869</v>
      </c>
      <c r="D514" s="1" t="s">
        <v>2</v>
      </c>
      <c r="E514" t="b">
        <v>0</v>
      </c>
      <c r="F514">
        <v>252</v>
      </c>
      <c r="G514">
        <v>87</v>
      </c>
      <c r="H514" t="s">
        <v>11</v>
      </c>
      <c r="I514" t="b" cm="1">
        <f t="array" ref="I514">isDup(B514,B515, 0.7)</f>
        <v>0</v>
      </c>
    </row>
    <row r="515" spans="1:9" ht="17" x14ac:dyDescent="0.2">
      <c r="A515" t="s">
        <v>2055</v>
      </c>
      <c r="B515" s="1" t="s">
        <v>2057</v>
      </c>
      <c r="C515" t="s">
        <v>2058</v>
      </c>
      <c r="D515" s="1" t="s">
        <v>2</v>
      </c>
      <c r="E515" t="b">
        <v>0</v>
      </c>
      <c r="F515">
        <v>1530</v>
      </c>
      <c r="G515">
        <v>3256</v>
      </c>
      <c r="H515" t="s">
        <v>11</v>
      </c>
      <c r="I515" t="b" cm="1">
        <f t="array" ref="I515">isDup(B515,B516, 0.7)</f>
        <v>0</v>
      </c>
    </row>
    <row r="516" spans="1:9" ht="34" x14ac:dyDescent="0.2">
      <c r="A516" t="s">
        <v>4245</v>
      </c>
      <c r="B516" s="1" t="s">
        <v>4246</v>
      </c>
      <c r="C516" t="s">
        <v>3853</v>
      </c>
      <c r="D516" s="1" t="s">
        <v>2</v>
      </c>
      <c r="E516" t="b">
        <v>0</v>
      </c>
      <c r="F516">
        <v>54</v>
      </c>
      <c r="G516">
        <v>436</v>
      </c>
      <c r="H516" t="s">
        <v>11</v>
      </c>
      <c r="I516" t="b" cm="1">
        <f t="array" ref="I516">isDup(B516,B517, 0.7)</f>
        <v>0</v>
      </c>
    </row>
    <row r="517" spans="1:9" ht="17" x14ac:dyDescent="0.2">
      <c r="A517" t="s">
        <v>3232</v>
      </c>
      <c r="B517" s="1" t="s">
        <v>3233</v>
      </c>
      <c r="C517" t="s">
        <v>3234</v>
      </c>
      <c r="D517" s="1" t="s">
        <v>1368</v>
      </c>
      <c r="E517" t="b">
        <v>0</v>
      </c>
      <c r="F517">
        <v>785</v>
      </c>
      <c r="G517">
        <v>1340</v>
      </c>
      <c r="H517" t="s">
        <v>11</v>
      </c>
      <c r="I517" t="b" cm="1">
        <f t="array" ref="I517">isDup(B517,B518, 0.7)</f>
        <v>0</v>
      </c>
    </row>
    <row r="518" spans="1:9" ht="34" x14ac:dyDescent="0.2">
      <c r="A518" t="s">
        <v>5967</v>
      </c>
      <c r="B518" s="1" t="s">
        <v>5968</v>
      </c>
      <c r="C518" t="s">
        <v>1598</v>
      </c>
      <c r="D518" s="1" t="s">
        <v>5969</v>
      </c>
      <c r="E518" t="b">
        <v>0</v>
      </c>
      <c r="F518">
        <v>627</v>
      </c>
      <c r="G518">
        <v>674</v>
      </c>
      <c r="H518" t="s">
        <v>11</v>
      </c>
      <c r="I518" t="b" cm="1">
        <f t="array" ref="I518">isDup(B518,B519, 0.7)</f>
        <v>0</v>
      </c>
    </row>
    <row r="519" spans="1:9" ht="17" x14ac:dyDescent="0.2">
      <c r="A519" t="s">
        <v>187</v>
      </c>
      <c r="B519" s="1" t="s">
        <v>188</v>
      </c>
      <c r="C519" t="s">
        <v>189</v>
      </c>
      <c r="D519" s="1" t="s">
        <v>190</v>
      </c>
      <c r="E519" t="b">
        <v>0</v>
      </c>
      <c r="F519">
        <v>1181</v>
      </c>
      <c r="G519">
        <v>767</v>
      </c>
      <c r="H519" t="s">
        <v>11</v>
      </c>
      <c r="I519" t="b" cm="1">
        <f t="array" ref="I519">isDup(B519,B520, 0.7)</f>
        <v>0</v>
      </c>
    </row>
    <row r="520" spans="1:9" ht="17" x14ac:dyDescent="0.2">
      <c r="A520" t="s">
        <v>6460</v>
      </c>
      <c r="B520" s="1" t="s">
        <v>6461</v>
      </c>
      <c r="C520" t="s">
        <v>354</v>
      </c>
      <c r="D520" s="1" t="s">
        <v>6462</v>
      </c>
      <c r="E520" t="b">
        <v>0</v>
      </c>
      <c r="F520">
        <v>1554</v>
      </c>
      <c r="G520">
        <v>390</v>
      </c>
      <c r="H520" t="s">
        <v>11</v>
      </c>
      <c r="I520" t="b" cm="1">
        <f t="array" ref="I520">isDup(B520,B521, 0.7)</f>
        <v>0</v>
      </c>
    </row>
    <row r="521" spans="1:9" ht="17" x14ac:dyDescent="0.2">
      <c r="A521" t="s">
        <v>5964</v>
      </c>
      <c r="B521" s="1" t="s">
        <v>5965</v>
      </c>
      <c r="C521" t="s">
        <v>5966</v>
      </c>
      <c r="D521" s="1" t="s">
        <v>2</v>
      </c>
      <c r="E521" t="b">
        <v>0</v>
      </c>
      <c r="F521">
        <v>47</v>
      </c>
      <c r="G521">
        <v>50</v>
      </c>
      <c r="H521" t="s">
        <v>11</v>
      </c>
      <c r="I521" t="b" cm="1">
        <f t="array" ref="I521">isDup(B521,B522, 0.7)</f>
        <v>0</v>
      </c>
    </row>
    <row r="522" spans="1:9" ht="34" x14ac:dyDescent="0.2">
      <c r="A522" t="s">
        <v>3888</v>
      </c>
      <c r="B522" s="1" t="s">
        <v>3889</v>
      </c>
      <c r="C522" t="s">
        <v>1409</v>
      </c>
      <c r="D522" s="1" t="s">
        <v>2</v>
      </c>
      <c r="E522" t="b">
        <v>0</v>
      </c>
      <c r="F522">
        <v>212</v>
      </c>
      <c r="G522">
        <v>306</v>
      </c>
      <c r="H522" t="s">
        <v>47</v>
      </c>
      <c r="I522" t="b" cm="1">
        <f t="array" ref="I522">isDup(B522,B523, 0.7)</f>
        <v>0</v>
      </c>
    </row>
    <row r="523" spans="1:9" ht="17" x14ac:dyDescent="0.2">
      <c r="A523" t="s">
        <v>1603</v>
      </c>
      <c r="B523" s="1" t="s">
        <v>1604</v>
      </c>
      <c r="C523" t="s">
        <v>1605</v>
      </c>
      <c r="D523" s="1" t="s">
        <v>2</v>
      </c>
      <c r="E523" t="b">
        <v>0</v>
      </c>
      <c r="F523">
        <v>1039</v>
      </c>
      <c r="G523">
        <v>638</v>
      </c>
      <c r="H523" t="s">
        <v>11</v>
      </c>
      <c r="I523" t="b" cm="1">
        <f t="array" ref="I523">isDup(B523,B524, 0.7)</f>
        <v>0</v>
      </c>
    </row>
    <row r="524" spans="1:9" ht="34" x14ac:dyDescent="0.2">
      <c r="A524" t="s">
        <v>4706</v>
      </c>
      <c r="B524" s="1" t="s">
        <v>4707</v>
      </c>
      <c r="C524" t="s">
        <v>4655</v>
      </c>
      <c r="D524" s="1" t="s">
        <v>4656</v>
      </c>
      <c r="E524" t="b">
        <v>0</v>
      </c>
      <c r="F524">
        <v>5169</v>
      </c>
      <c r="G524">
        <v>2709</v>
      </c>
      <c r="H524" t="s">
        <v>11</v>
      </c>
      <c r="I524" t="b" cm="1">
        <f t="array" ref="I524">isDup(B524,B525, 0.7)</f>
        <v>0</v>
      </c>
    </row>
    <row r="525" spans="1:9" ht="17" x14ac:dyDescent="0.2">
      <c r="A525" t="s">
        <v>98</v>
      </c>
      <c r="B525" s="1" t="s">
        <v>99</v>
      </c>
      <c r="C525" t="s">
        <v>100</v>
      </c>
      <c r="D525" s="1" t="s">
        <v>101</v>
      </c>
      <c r="E525" t="b">
        <v>0</v>
      </c>
      <c r="F525">
        <v>4</v>
      </c>
      <c r="G525">
        <v>54</v>
      </c>
      <c r="H525" t="s">
        <v>11</v>
      </c>
      <c r="I525" t="b" cm="1">
        <f t="array" ref="I525">isDup(B525,B526, 0.7)</f>
        <v>0</v>
      </c>
    </row>
    <row r="526" spans="1:9" ht="17" x14ac:dyDescent="0.2">
      <c r="A526" t="s">
        <v>4162</v>
      </c>
      <c r="B526" s="1" t="s">
        <v>4163</v>
      </c>
      <c r="C526" t="s">
        <v>279</v>
      </c>
      <c r="D526" s="1" t="s">
        <v>4164</v>
      </c>
      <c r="E526" t="b">
        <v>0</v>
      </c>
      <c r="F526">
        <v>443</v>
      </c>
      <c r="G526">
        <v>944</v>
      </c>
      <c r="H526" t="s">
        <v>11</v>
      </c>
      <c r="I526" t="b" cm="1">
        <f t="array" ref="I526">isDup(B526,B527, 0.7)</f>
        <v>0</v>
      </c>
    </row>
    <row r="527" spans="1:9" ht="34" x14ac:dyDescent="0.2">
      <c r="A527" t="s">
        <v>6318</v>
      </c>
      <c r="B527" s="1" t="s">
        <v>6319</v>
      </c>
      <c r="C527" t="s">
        <v>561</v>
      </c>
      <c r="D527" s="1" t="s">
        <v>6320</v>
      </c>
      <c r="E527" t="b">
        <v>0</v>
      </c>
      <c r="F527">
        <v>182</v>
      </c>
      <c r="G527">
        <v>932</v>
      </c>
      <c r="H527" t="s">
        <v>11</v>
      </c>
      <c r="I527" t="b" cm="1">
        <f t="array" ref="I527">isDup(B527,B528, 0.7)</f>
        <v>0</v>
      </c>
    </row>
    <row r="528" spans="1:9" ht="17" x14ac:dyDescent="0.2">
      <c r="A528" t="s">
        <v>4195</v>
      </c>
      <c r="B528" s="1" t="s">
        <v>4196</v>
      </c>
      <c r="C528" t="s">
        <v>4197</v>
      </c>
      <c r="D528" s="1" t="s">
        <v>3843</v>
      </c>
      <c r="E528" t="b">
        <v>0</v>
      </c>
      <c r="F528">
        <v>135</v>
      </c>
      <c r="G528">
        <v>65</v>
      </c>
      <c r="H528" t="s">
        <v>11</v>
      </c>
      <c r="I528" t="b" cm="1">
        <f t="array" ref="I528">isDup(B528,B529, 0.7)</f>
        <v>0</v>
      </c>
    </row>
    <row r="529" spans="1:9" ht="17" x14ac:dyDescent="0.2">
      <c r="A529" t="s">
        <v>266</v>
      </c>
      <c r="B529" s="1" t="s">
        <v>267</v>
      </c>
      <c r="C529" t="s">
        <v>268</v>
      </c>
      <c r="D529" s="1" t="s">
        <v>2</v>
      </c>
      <c r="E529" t="b">
        <v>0</v>
      </c>
      <c r="F529">
        <v>22</v>
      </c>
      <c r="G529">
        <v>6</v>
      </c>
      <c r="H529" t="s">
        <v>11</v>
      </c>
      <c r="I529" t="b" cm="1">
        <f t="array" ref="I529">isDup(B529,B530, 0.7)</f>
        <v>0</v>
      </c>
    </row>
    <row r="530" spans="1:9" ht="17" x14ac:dyDescent="0.2">
      <c r="A530" t="s">
        <v>6237</v>
      </c>
      <c r="B530" s="1" t="s">
        <v>6238</v>
      </c>
      <c r="C530" t="s">
        <v>6239</v>
      </c>
      <c r="D530" s="1" t="s">
        <v>6240</v>
      </c>
      <c r="E530" t="b">
        <v>0</v>
      </c>
      <c r="F530">
        <v>362</v>
      </c>
      <c r="G530">
        <v>131</v>
      </c>
      <c r="H530" t="s">
        <v>11</v>
      </c>
      <c r="I530" t="b" cm="1">
        <f t="array" ref="I530">isDup(B530,B531, 0.7)</f>
        <v>0</v>
      </c>
    </row>
    <row r="531" spans="1:9" ht="17" x14ac:dyDescent="0.2">
      <c r="A531" t="s">
        <v>3828</v>
      </c>
      <c r="B531" s="1" t="s">
        <v>3829</v>
      </c>
      <c r="C531" t="s">
        <v>1008</v>
      </c>
      <c r="D531" s="1" t="s">
        <v>3830</v>
      </c>
      <c r="E531" t="b">
        <v>0</v>
      </c>
      <c r="F531">
        <v>35</v>
      </c>
      <c r="G531">
        <v>285</v>
      </c>
      <c r="H531" t="s">
        <v>47</v>
      </c>
      <c r="I531" t="b" cm="1">
        <f t="array" ref="I531">isDup(B531,B532, 0.7)</f>
        <v>1</v>
      </c>
    </row>
    <row r="532" spans="1:9" ht="17" x14ac:dyDescent="0.2">
      <c r="A532" t="s">
        <v>3731</v>
      </c>
      <c r="B532" s="1" t="s">
        <v>3732</v>
      </c>
      <c r="C532" t="s">
        <v>3733</v>
      </c>
      <c r="D532" s="1" t="s">
        <v>3734</v>
      </c>
      <c r="E532" t="b">
        <v>0</v>
      </c>
      <c r="F532">
        <v>508</v>
      </c>
      <c r="G532">
        <v>1189</v>
      </c>
      <c r="H532" t="s">
        <v>11</v>
      </c>
      <c r="I532" t="b" cm="1">
        <f t="array" ref="I532">isDup(B532,B533, 0.7)</f>
        <v>1</v>
      </c>
    </row>
    <row r="533" spans="1:9" ht="17" x14ac:dyDescent="0.2">
      <c r="A533" t="s">
        <v>3741</v>
      </c>
      <c r="B533" s="1" t="s">
        <v>3742</v>
      </c>
      <c r="C533" t="s">
        <v>3733</v>
      </c>
      <c r="D533" s="1" t="s">
        <v>3734</v>
      </c>
      <c r="E533" t="b">
        <v>0</v>
      </c>
      <c r="F533">
        <v>508</v>
      </c>
      <c r="G533">
        <v>1189</v>
      </c>
      <c r="H533" t="s">
        <v>11</v>
      </c>
      <c r="I533" t="b" cm="1">
        <f t="array" ref="I533">isDup(B533,B534, 0.7)</f>
        <v>0</v>
      </c>
    </row>
    <row r="534" spans="1:9" ht="17" x14ac:dyDescent="0.2">
      <c r="A534" t="s">
        <v>2147</v>
      </c>
      <c r="B534" s="1" t="s">
        <v>2148</v>
      </c>
      <c r="C534" t="s">
        <v>1697</v>
      </c>
      <c r="D534" s="1" t="s">
        <v>2</v>
      </c>
      <c r="E534" t="b">
        <v>0</v>
      </c>
      <c r="F534">
        <v>97</v>
      </c>
      <c r="G534">
        <v>727</v>
      </c>
      <c r="H534" t="s">
        <v>11</v>
      </c>
      <c r="I534" t="b" cm="1">
        <f t="array" ref="I534">isDup(B534,B535, 0.7)</f>
        <v>0</v>
      </c>
    </row>
    <row r="535" spans="1:9" ht="17" x14ac:dyDescent="0.2">
      <c r="A535" t="s">
        <v>6132</v>
      </c>
      <c r="B535" s="1" t="s">
        <v>6133</v>
      </c>
      <c r="C535" t="s">
        <v>5618</v>
      </c>
      <c r="D535" s="1" t="s">
        <v>6134</v>
      </c>
      <c r="E535" t="b">
        <v>0</v>
      </c>
      <c r="F535">
        <v>1532</v>
      </c>
      <c r="G535">
        <v>296</v>
      </c>
      <c r="H535" t="s">
        <v>11</v>
      </c>
      <c r="I535" t="b" cm="1">
        <f t="array" ref="I535">isDup(B535,B536, 0.7)</f>
        <v>0</v>
      </c>
    </row>
    <row r="536" spans="1:9" ht="17" x14ac:dyDescent="0.2">
      <c r="A536" t="s">
        <v>141</v>
      </c>
      <c r="B536" s="1" t="s">
        <v>142</v>
      </c>
      <c r="C536" t="s">
        <v>143</v>
      </c>
      <c r="D536" s="1" t="s">
        <v>144</v>
      </c>
      <c r="E536" t="b">
        <v>0</v>
      </c>
      <c r="F536">
        <v>42</v>
      </c>
      <c r="G536">
        <v>192</v>
      </c>
      <c r="H536" t="s">
        <v>11</v>
      </c>
      <c r="I536" t="b" cm="1">
        <f t="array" ref="I536">isDup(B536,B537, 0.7)</f>
        <v>0</v>
      </c>
    </row>
    <row r="537" spans="1:9" ht="17" x14ac:dyDescent="0.2">
      <c r="A537" t="s">
        <v>722</v>
      </c>
      <c r="B537" s="1" t="s">
        <v>723</v>
      </c>
      <c r="C537" t="s">
        <v>349</v>
      </c>
      <c r="D537" s="1" t="s">
        <v>2</v>
      </c>
      <c r="E537" t="b">
        <v>0</v>
      </c>
      <c r="F537">
        <v>6</v>
      </c>
      <c r="G537">
        <v>77</v>
      </c>
      <c r="H537" t="s">
        <v>11</v>
      </c>
      <c r="I537" t="b" cm="1">
        <f t="array" ref="I537">isDup(B537,B538, 0.7)</f>
        <v>0</v>
      </c>
    </row>
    <row r="538" spans="1:9" ht="17" x14ac:dyDescent="0.2">
      <c r="A538" t="s">
        <v>3772</v>
      </c>
      <c r="B538" s="1" t="s">
        <v>3773</v>
      </c>
      <c r="C538" t="s">
        <v>3774</v>
      </c>
      <c r="D538" s="1" t="s">
        <v>1636</v>
      </c>
      <c r="E538" t="b">
        <v>0</v>
      </c>
      <c r="F538">
        <v>79</v>
      </c>
      <c r="G538">
        <v>569</v>
      </c>
      <c r="H538" t="s">
        <v>11</v>
      </c>
      <c r="I538" t="b" cm="1">
        <f t="array" ref="I538">isDup(B538,B539, 0.7)</f>
        <v>0</v>
      </c>
    </row>
    <row r="539" spans="1:9" ht="17" x14ac:dyDescent="0.2">
      <c r="A539" t="s">
        <v>7039</v>
      </c>
      <c r="B539" s="1" t="s">
        <v>7040</v>
      </c>
      <c r="C539" t="s">
        <v>275</v>
      </c>
      <c r="D539" s="1" t="s">
        <v>565</v>
      </c>
      <c r="E539" t="b">
        <v>0</v>
      </c>
      <c r="F539">
        <v>298</v>
      </c>
      <c r="G539">
        <v>310</v>
      </c>
      <c r="H539" t="s">
        <v>11</v>
      </c>
      <c r="I539" t="b" cm="1">
        <f t="array" ref="I539">isDup(B539,B540, 0.7)</f>
        <v>0</v>
      </c>
    </row>
    <row r="540" spans="1:9" ht="17" x14ac:dyDescent="0.2">
      <c r="A540" t="s">
        <v>3836</v>
      </c>
      <c r="B540" s="1" t="s">
        <v>3837</v>
      </c>
      <c r="C540" t="s">
        <v>1544</v>
      </c>
      <c r="E540" t="b">
        <v>0</v>
      </c>
      <c r="F540">
        <v>310</v>
      </c>
      <c r="G540">
        <v>378</v>
      </c>
      <c r="H540" t="s">
        <v>31</v>
      </c>
      <c r="I540" t="b" cm="1">
        <f t="array" ref="I540">isDup(B540,B541, 0.7)</f>
        <v>0</v>
      </c>
    </row>
    <row r="541" spans="1:9" ht="17" x14ac:dyDescent="0.2">
      <c r="A541" t="s">
        <v>1845</v>
      </c>
      <c r="B541" s="1" t="s">
        <v>1846</v>
      </c>
      <c r="C541" t="s">
        <v>1847</v>
      </c>
      <c r="D541" s="1" t="s">
        <v>1848</v>
      </c>
      <c r="E541" t="b">
        <v>0</v>
      </c>
      <c r="F541">
        <v>25</v>
      </c>
      <c r="G541">
        <v>78</v>
      </c>
      <c r="H541" t="s">
        <v>47</v>
      </c>
      <c r="I541" t="b" cm="1">
        <f t="array" ref="I541">isDup(B541,B542, 0.7)</f>
        <v>0</v>
      </c>
    </row>
    <row r="542" spans="1:9" ht="17" x14ac:dyDescent="0.2">
      <c r="A542" t="s">
        <v>20</v>
      </c>
      <c r="B542" s="1" t="s">
        <v>21</v>
      </c>
      <c r="C542" t="s">
        <v>22</v>
      </c>
      <c r="D542" s="1" t="s">
        <v>23</v>
      </c>
      <c r="E542" t="b">
        <v>0</v>
      </c>
      <c r="F542">
        <v>28</v>
      </c>
      <c r="G542">
        <v>12</v>
      </c>
      <c r="H542" t="s">
        <v>11</v>
      </c>
      <c r="I542" t="b" cm="1">
        <f t="array" ref="I542">isDup(B542,B543, 0.7)</f>
        <v>0</v>
      </c>
    </row>
    <row r="543" spans="1:9" ht="34" x14ac:dyDescent="0.2">
      <c r="A543" t="s">
        <v>3916</v>
      </c>
      <c r="B543" s="1" t="s">
        <v>3917</v>
      </c>
      <c r="C543" t="s">
        <v>2642</v>
      </c>
      <c r="D543" s="1" t="s">
        <v>3686</v>
      </c>
      <c r="E543" t="b">
        <v>0</v>
      </c>
      <c r="F543">
        <v>39272</v>
      </c>
      <c r="G543">
        <v>193</v>
      </c>
      <c r="H543" t="s">
        <v>11</v>
      </c>
      <c r="I543" t="b" cm="1">
        <f t="array" ref="I543">isDup(B543,B544, 0.7)</f>
        <v>0</v>
      </c>
    </row>
    <row r="544" spans="1:9" ht="17" x14ac:dyDescent="0.2">
      <c r="A544" t="s">
        <v>4198</v>
      </c>
      <c r="B544" s="1" t="s">
        <v>4199</v>
      </c>
      <c r="C544" t="s">
        <v>4200</v>
      </c>
      <c r="D544" s="1" t="s">
        <v>4201</v>
      </c>
      <c r="E544" t="b">
        <v>0</v>
      </c>
      <c r="F544">
        <v>16</v>
      </c>
      <c r="G544">
        <v>269</v>
      </c>
      <c r="H544" t="s">
        <v>11</v>
      </c>
      <c r="I544" t="b" cm="1">
        <f t="array" ref="I544">isDup(B544,B545, 0.7)</f>
        <v>0</v>
      </c>
    </row>
    <row r="545" spans="1:9" ht="17" x14ac:dyDescent="0.2">
      <c r="A545" t="s">
        <v>4337</v>
      </c>
      <c r="B545" s="1" t="s">
        <v>4338</v>
      </c>
      <c r="C545" t="s">
        <v>147</v>
      </c>
      <c r="D545" s="1" t="s">
        <v>2</v>
      </c>
      <c r="E545" t="b">
        <v>0</v>
      </c>
      <c r="F545">
        <v>39</v>
      </c>
      <c r="G545">
        <v>114</v>
      </c>
      <c r="H545" t="s">
        <v>11</v>
      </c>
      <c r="I545" t="b" cm="1">
        <f t="array" ref="I545">isDup(B545,B546, 0.7)</f>
        <v>0</v>
      </c>
    </row>
    <row r="546" spans="1:9" ht="17" x14ac:dyDescent="0.2">
      <c r="A546" t="s">
        <v>915</v>
      </c>
      <c r="B546" s="1" t="s">
        <v>916</v>
      </c>
      <c r="C546" t="s">
        <v>917</v>
      </c>
      <c r="D546" s="1" t="s">
        <v>730</v>
      </c>
      <c r="E546" t="b">
        <v>0</v>
      </c>
      <c r="F546">
        <v>144</v>
      </c>
      <c r="G546">
        <v>303</v>
      </c>
      <c r="H546" t="s">
        <v>11</v>
      </c>
      <c r="I546" t="b" cm="1">
        <f t="array" ref="I546">isDup(B546,B547, 0.7)</f>
        <v>0</v>
      </c>
    </row>
    <row r="547" spans="1:9" ht="17" x14ac:dyDescent="0.2">
      <c r="A547" t="s">
        <v>1233</v>
      </c>
      <c r="B547" s="1" t="s">
        <v>1234</v>
      </c>
      <c r="C547" t="s">
        <v>1226</v>
      </c>
      <c r="D547" s="1" t="s">
        <v>1227</v>
      </c>
      <c r="E547" t="b">
        <v>0</v>
      </c>
      <c r="F547">
        <v>425</v>
      </c>
      <c r="G547">
        <v>768</v>
      </c>
      <c r="H547" t="s">
        <v>11</v>
      </c>
      <c r="I547" t="b" cm="1">
        <f t="array" ref="I547">isDup(B547,B548, 0.7)</f>
        <v>1</v>
      </c>
    </row>
    <row r="548" spans="1:9" ht="34" x14ac:dyDescent="0.2">
      <c r="A548" t="s">
        <v>3178</v>
      </c>
      <c r="B548" s="1" t="s">
        <v>3179</v>
      </c>
      <c r="C548" t="s">
        <v>3180</v>
      </c>
      <c r="D548" s="1" t="s">
        <v>3181</v>
      </c>
      <c r="E548" t="b">
        <v>0</v>
      </c>
      <c r="F548">
        <v>61</v>
      </c>
      <c r="G548">
        <v>246</v>
      </c>
      <c r="H548" t="s">
        <v>11</v>
      </c>
      <c r="I548" t="b" cm="1">
        <f t="array" ref="I548">isDup(B548,B549, 0.7)</f>
        <v>0</v>
      </c>
    </row>
    <row r="549" spans="1:9" ht="17" x14ac:dyDescent="0.2">
      <c r="A549" t="s">
        <v>4993</v>
      </c>
      <c r="B549" s="1" t="s">
        <v>4994</v>
      </c>
      <c r="C549" t="s">
        <v>3160</v>
      </c>
      <c r="D549" s="1" t="s">
        <v>4995</v>
      </c>
      <c r="E549" t="b">
        <v>0</v>
      </c>
      <c r="F549">
        <v>336</v>
      </c>
      <c r="G549">
        <v>158</v>
      </c>
      <c r="H549" t="s">
        <v>11</v>
      </c>
      <c r="I549" t="b" cm="1">
        <f t="array" ref="I549">isDup(B549,B550, 0.7)</f>
        <v>0</v>
      </c>
    </row>
    <row r="550" spans="1:9" ht="17" x14ac:dyDescent="0.2">
      <c r="A550" t="s">
        <v>4533</v>
      </c>
      <c r="B550" s="1" t="s">
        <v>4534</v>
      </c>
      <c r="C550" t="s">
        <v>1592</v>
      </c>
      <c r="D550" s="1" t="s">
        <v>1593</v>
      </c>
      <c r="E550" t="b">
        <v>0</v>
      </c>
      <c r="F550">
        <v>4</v>
      </c>
      <c r="G550">
        <v>0</v>
      </c>
      <c r="H550" t="s">
        <v>11</v>
      </c>
      <c r="I550" t="b" cm="1">
        <f t="array" ref="I550">isDup(B550,B551, 0.7)</f>
        <v>0</v>
      </c>
    </row>
    <row r="551" spans="1:9" ht="34" x14ac:dyDescent="0.2">
      <c r="A551" t="s">
        <v>4144</v>
      </c>
      <c r="B551" s="1" t="s">
        <v>4145</v>
      </c>
      <c r="C551" t="s">
        <v>173</v>
      </c>
      <c r="D551" s="1" t="s">
        <v>2</v>
      </c>
      <c r="E551" t="b">
        <v>0</v>
      </c>
      <c r="F551">
        <v>19</v>
      </c>
      <c r="G551">
        <v>51</v>
      </c>
      <c r="H551" t="s">
        <v>11</v>
      </c>
      <c r="I551" t="b" cm="1">
        <f t="array" ref="I551">isDup(B551,B552, 0.7)</f>
        <v>0</v>
      </c>
    </row>
    <row r="552" spans="1:9" ht="17" x14ac:dyDescent="0.2">
      <c r="A552" t="s">
        <v>3587</v>
      </c>
      <c r="B552" s="1" t="s">
        <v>3588</v>
      </c>
      <c r="C552" t="s">
        <v>100</v>
      </c>
      <c r="D552" s="1" t="s">
        <v>3589</v>
      </c>
      <c r="E552" t="b">
        <v>0</v>
      </c>
      <c r="F552">
        <v>154</v>
      </c>
      <c r="G552">
        <v>288</v>
      </c>
      <c r="H552" t="s">
        <v>11</v>
      </c>
      <c r="I552" t="b" cm="1">
        <f t="array" ref="I552">isDup(B552,B553, 0.7)</f>
        <v>0</v>
      </c>
    </row>
    <row r="553" spans="1:9" ht="17" x14ac:dyDescent="0.2">
      <c r="A553" t="s">
        <v>3306</v>
      </c>
      <c r="B553" s="1" t="s">
        <v>3307</v>
      </c>
      <c r="C553" t="s">
        <v>301</v>
      </c>
      <c r="D553" s="1" t="s">
        <v>302</v>
      </c>
      <c r="E553" t="b">
        <v>0</v>
      </c>
      <c r="F553">
        <v>459</v>
      </c>
      <c r="G553">
        <v>133</v>
      </c>
      <c r="H553" t="s">
        <v>11</v>
      </c>
      <c r="I553" t="b" cm="1">
        <f t="array" ref="I553">isDup(B553,B554, 0.7)</f>
        <v>0</v>
      </c>
    </row>
    <row r="554" spans="1:9" ht="17" x14ac:dyDescent="0.2">
      <c r="A554" t="s">
        <v>4304</v>
      </c>
      <c r="B554" s="1" t="s">
        <v>4305</v>
      </c>
      <c r="C554" t="s">
        <v>3289</v>
      </c>
      <c r="D554" s="1" t="s">
        <v>2</v>
      </c>
      <c r="E554" t="b">
        <v>0</v>
      </c>
      <c r="F554">
        <v>12</v>
      </c>
      <c r="G554">
        <v>35</v>
      </c>
      <c r="H554" t="s">
        <v>11</v>
      </c>
      <c r="I554" t="b" cm="1">
        <f t="array" ref="I554">isDup(B554,B555, 0.7)</f>
        <v>0</v>
      </c>
    </row>
    <row r="555" spans="1:9" ht="34" x14ac:dyDescent="0.2">
      <c r="A555" t="s">
        <v>5396</v>
      </c>
      <c r="B555" s="1" t="s">
        <v>5397</v>
      </c>
      <c r="C555" t="s">
        <v>3964</v>
      </c>
      <c r="D555" s="1" t="s">
        <v>109</v>
      </c>
      <c r="E555" t="b">
        <v>0</v>
      </c>
      <c r="F555">
        <v>71</v>
      </c>
      <c r="G555">
        <v>179</v>
      </c>
      <c r="H555" t="s">
        <v>11</v>
      </c>
      <c r="I555" t="b" cm="1">
        <f t="array" ref="I555">isDup(B555,B556, 0.7)</f>
        <v>1</v>
      </c>
    </row>
    <row r="556" spans="1:9" ht="34" x14ac:dyDescent="0.2">
      <c r="A556" t="s">
        <v>5328</v>
      </c>
      <c r="B556" s="1" t="s">
        <v>5329</v>
      </c>
      <c r="C556" t="s">
        <v>275</v>
      </c>
      <c r="D556" s="1" t="s">
        <v>565</v>
      </c>
      <c r="E556" t="b">
        <v>0</v>
      </c>
      <c r="F556">
        <v>299</v>
      </c>
      <c r="G556">
        <v>310</v>
      </c>
      <c r="H556" t="s">
        <v>11</v>
      </c>
      <c r="I556" t="b" cm="1">
        <f t="array" ref="I556">isDup(B556,B557, 0.7)</f>
        <v>0</v>
      </c>
    </row>
    <row r="557" spans="1:9" ht="17" x14ac:dyDescent="0.2">
      <c r="A557" t="s">
        <v>2027</v>
      </c>
      <c r="B557" s="1" t="s">
        <v>2028</v>
      </c>
      <c r="C557" t="s">
        <v>2029</v>
      </c>
      <c r="D557" s="1" t="s">
        <v>109</v>
      </c>
      <c r="E557" t="b">
        <v>0</v>
      </c>
      <c r="F557">
        <v>648</v>
      </c>
      <c r="G557">
        <v>45</v>
      </c>
      <c r="H557" t="s">
        <v>11</v>
      </c>
      <c r="I557" t="b" cm="1">
        <f t="array" ref="I557">isDup(B557,B558, 0.7)</f>
        <v>0</v>
      </c>
    </row>
    <row r="558" spans="1:9" ht="17" x14ac:dyDescent="0.2">
      <c r="A558" t="s">
        <v>6274</v>
      </c>
      <c r="B558" s="1" t="s">
        <v>6275</v>
      </c>
      <c r="C558" t="s">
        <v>6276</v>
      </c>
      <c r="D558" s="1" t="s">
        <v>6277</v>
      </c>
      <c r="E558" t="b">
        <v>0</v>
      </c>
      <c r="F558">
        <v>12</v>
      </c>
      <c r="G558">
        <v>54</v>
      </c>
      <c r="H558" t="s">
        <v>338</v>
      </c>
      <c r="I558" t="b" cm="1">
        <f t="array" ref="I558">isDup(B558,B559, 0.7)</f>
        <v>0</v>
      </c>
    </row>
    <row r="559" spans="1:9" ht="34" x14ac:dyDescent="0.2">
      <c r="A559" t="s">
        <v>3247</v>
      </c>
      <c r="B559" s="1" t="s">
        <v>3251</v>
      </c>
      <c r="C559" t="s">
        <v>814</v>
      </c>
      <c r="D559" s="1" t="s">
        <v>3252</v>
      </c>
      <c r="E559" t="b">
        <v>0</v>
      </c>
      <c r="F559">
        <v>719</v>
      </c>
      <c r="G559">
        <v>733</v>
      </c>
      <c r="H559" t="s">
        <v>11</v>
      </c>
      <c r="I559" t="b" cm="1">
        <f t="array" ref="I559">isDup(B559,B560, 0.7)</f>
        <v>0</v>
      </c>
    </row>
    <row r="560" spans="1:9" ht="17" x14ac:dyDescent="0.2">
      <c r="A560" t="s">
        <v>2571</v>
      </c>
      <c r="B560" s="1" t="s">
        <v>2572</v>
      </c>
      <c r="C560" t="s">
        <v>2573</v>
      </c>
      <c r="D560" s="1" t="s">
        <v>2574</v>
      </c>
      <c r="E560" t="b">
        <v>0</v>
      </c>
      <c r="F560">
        <v>67</v>
      </c>
      <c r="G560">
        <v>152</v>
      </c>
      <c r="H560" t="s">
        <v>11</v>
      </c>
      <c r="I560" t="b" cm="1">
        <f t="array" ref="I560">isDup(B560,B561, 0.7)</f>
        <v>0</v>
      </c>
    </row>
    <row r="561" spans="1:9" ht="17" x14ac:dyDescent="0.2">
      <c r="A561" t="s">
        <v>1763</v>
      </c>
      <c r="B561" s="1" t="s">
        <v>1764</v>
      </c>
      <c r="C561" t="s">
        <v>349</v>
      </c>
      <c r="D561" s="1" t="s">
        <v>2</v>
      </c>
      <c r="E561" t="b">
        <v>0</v>
      </c>
      <c r="F561">
        <v>6</v>
      </c>
      <c r="G561">
        <v>77</v>
      </c>
      <c r="H561" t="s">
        <v>11</v>
      </c>
      <c r="I561" t="b" cm="1">
        <f t="array" ref="I561">isDup(B561,B562, 0.7)</f>
        <v>0</v>
      </c>
    </row>
    <row r="562" spans="1:9" ht="17" x14ac:dyDescent="0.2">
      <c r="A562" t="s">
        <v>6736</v>
      </c>
      <c r="B562" s="1" t="s">
        <v>6740</v>
      </c>
      <c r="C562" t="s">
        <v>1245</v>
      </c>
      <c r="D562" s="1" t="s">
        <v>2272</v>
      </c>
      <c r="E562" t="b">
        <v>0</v>
      </c>
      <c r="F562">
        <v>14</v>
      </c>
      <c r="G562">
        <v>157</v>
      </c>
      <c r="H562" t="s">
        <v>11</v>
      </c>
      <c r="I562" t="b" cm="1">
        <f t="array" ref="I562">isDup(B562,B563, 0.7)</f>
        <v>0</v>
      </c>
    </row>
    <row r="563" spans="1:9" ht="17" x14ac:dyDescent="0.2">
      <c r="A563" t="s">
        <v>1384</v>
      </c>
      <c r="B563" s="1" t="s">
        <v>1385</v>
      </c>
      <c r="C563" t="s">
        <v>754</v>
      </c>
      <c r="D563" s="1" t="s">
        <v>2</v>
      </c>
      <c r="E563" t="b">
        <v>0</v>
      </c>
      <c r="F563">
        <v>697</v>
      </c>
      <c r="G563">
        <v>411</v>
      </c>
      <c r="H563" t="s">
        <v>11</v>
      </c>
      <c r="I563" t="b" cm="1">
        <f t="array" ref="I563">isDup(B563,B564, 0.7)</f>
        <v>0</v>
      </c>
    </row>
    <row r="564" spans="1:9" ht="17" x14ac:dyDescent="0.2">
      <c r="A564" t="s">
        <v>1707</v>
      </c>
      <c r="B564" s="1" t="s">
        <v>1708</v>
      </c>
      <c r="C564" t="s">
        <v>373</v>
      </c>
      <c r="D564" s="1" t="s">
        <v>2</v>
      </c>
      <c r="E564" t="b">
        <v>0</v>
      </c>
      <c r="F564">
        <v>1438</v>
      </c>
      <c r="G564">
        <v>29</v>
      </c>
      <c r="H564" t="s">
        <v>47</v>
      </c>
      <c r="I564" t="b" cm="1">
        <f t="array" ref="I564">isDup(B564,B565, 0.7)</f>
        <v>1</v>
      </c>
    </row>
    <row r="565" spans="1:9" ht="17" x14ac:dyDescent="0.2">
      <c r="A565" t="s">
        <v>3245</v>
      </c>
      <c r="B565" s="1" t="s">
        <v>3246</v>
      </c>
      <c r="C565" t="s">
        <v>373</v>
      </c>
      <c r="D565" s="1" t="s">
        <v>2</v>
      </c>
      <c r="E565" t="b">
        <v>0</v>
      </c>
      <c r="F565">
        <v>1438</v>
      </c>
      <c r="G565">
        <v>29</v>
      </c>
      <c r="H565" t="s">
        <v>47</v>
      </c>
      <c r="I565" t="b" cm="1">
        <f t="array" ref="I565">isDup(B565,B566, 0.7)</f>
        <v>1</v>
      </c>
    </row>
    <row r="566" spans="1:9" ht="17" x14ac:dyDescent="0.2">
      <c r="A566" t="s">
        <v>6171</v>
      </c>
      <c r="B566" s="1" t="s">
        <v>6172</v>
      </c>
      <c r="C566" t="s">
        <v>373</v>
      </c>
      <c r="D566" s="1" t="s">
        <v>2</v>
      </c>
      <c r="E566" t="b">
        <v>0</v>
      </c>
      <c r="F566">
        <v>1441</v>
      </c>
      <c r="G566">
        <v>29</v>
      </c>
      <c r="H566" t="s">
        <v>47</v>
      </c>
      <c r="I566" t="b" cm="1">
        <f t="array" ref="I566">isDup(B566,B567, 0.7)</f>
        <v>1</v>
      </c>
    </row>
    <row r="567" spans="1:9" ht="17" x14ac:dyDescent="0.2">
      <c r="A567" t="s">
        <v>4788</v>
      </c>
      <c r="B567" s="1" t="s">
        <v>4789</v>
      </c>
      <c r="C567" t="s">
        <v>373</v>
      </c>
      <c r="D567" s="1" t="s">
        <v>2</v>
      </c>
      <c r="E567" t="b">
        <v>0</v>
      </c>
      <c r="F567">
        <v>1438</v>
      </c>
      <c r="G567">
        <v>29</v>
      </c>
      <c r="H567" t="s">
        <v>47</v>
      </c>
      <c r="I567" t="b" cm="1">
        <f t="array" ref="I567">isDup(B567,B568, 0.7)</f>
        <v>1</v>
      </c>
    </row>
    <row r="568" spans="1:9" ht="17" x14ac:dyDescent="0.2">
      <c r="A568" t="s">
        <v>371</v>
      </c>
      <c r="B568" s="1" t="s">
        <v>372</v>
      </c>
      <c r="C568" t="s">
        <v>373</v>
      </c>
      <c r="D568" s="1" t="s">
        <v>2</v>
      </c>
      <c r="E568" t="b">
        <v>0</v>
      </c>
      <c r="F568">
        <v>1438</v>
      </c>
      <c r="G568">
        <v>29</v>
      </c>
      <c r="H568" t="s">
        <v>47</v>
      </c>
      <c r="I568" t="b" cm="1">
        <f t="array" ref="I568">isDup(B568,B569, 0.7)</f>
        <v>0</v>
      </c>
    </row>
    <row r="569" spans="1:9" ht="17" x14ac:dyDescent="0.2">
      <c r="A569" t="s">
        <v>5089</v>
      </c>
      <c r="B569" s="1" t="s">
        <v>5093</v>
      </c>
      <c r="C569" t="s">
        <v>2300</v>
      </c>
      <c r="E569" t="b">
        <v>0</v>
      </c>
      <c r="F569">
        <v>548</v>
      </c>
      <c r="G569">
        <v>932</v>
      </c>
      <c r="H569" t="s">
        <v>31</v>
      </c>
      <c r="I569" t="b" cm="1">
        <f t="array" ref="I569">isDup(B569,B570, 0.7)</f>
        <v>0</v>
      </c>
    </row>
    <row r="570" spans="1:9" ht="17" x14ac:dyDescent="0.2">
      <c r="A570" t="s">
        <v>352</v>
      </c>
      <c r="B570" s="1" t="s">
        <v>353</v>
      </c>
      <c r="C570" t="s">
        <v>354</v>
      </c>
      <c r="D570" s="1" t="s">
        <v>355</v>
      </c>
      <c r="E570" t="b">
        <v>0</v>
      </c>
      <c r="F570">
        <v>9948</v>
      </c>
      <c r="G570">
        <v>389</v>
      </c>
      <c r="H570" t="s">
        <v>11</v>
      </c>
      <c r="I570" t="b" cm="1">
        <f t="array" ref="I570">isDup(B570,B571, 0.7)</f>
        <v>0</v>
      </c>
    </row>
    <row r="571" spans="1:9" ht="17" x14ac:dyDescent="0.2">
      <c r="A571" t="s">
        <v>7133</v>
      </c>
      <c r="B571" s="1" t="s">
        <v>7134</v>
      </c>
      <c r="C571" t="s">
        <v>7135</v>
      </c>
      <c r="D571" s="1" t="s">
        <v>2</v>
      </c>
      <c r="E571" t="b">
        <v>0</v>
      </c>
      <c r="F571">
        <v>3764</v>
      </c>
      <c r="G571">
        <v>508</v>
      </c>
      <c r="H571" t="s">
        <v>11</v>
      </c>
      <c r="I571" t="b" cm="1">
        <f t="array" ref="I571">isDup(B571,B572, 0.7)</f>
        <v>0</v>
      </c>
    </row>
    <row r="572" spans="1:9" ht="17" x14ac:dyDescent="0.2">
      <c r="A572" t="s">
        <v>3663</v>
      </c>
      <c r="B572" s="1" t="s">
        <v>3664</v>
      </c>
      <c r="C572" t="s">
        <v>3665</v>
      </c>
      <c r="D572" s="1" t="s">
        <v>3666</v>
      </c>
      <c r="E572" t="b">
        <v>0</v>
      </c>
      <c r="F572">
        <v>116</v>
      </c>
      <c r="G572">
        <v>250</v>
      </c>
      <c r="H572" t="s">
        <v>110</v>
      </c>
      <c r="I572" t="b" cm="1">
        <f t="array" ref="I572">isDup(B572,B573, 0.7)</f>
        <v>0</v>
      </c>
    </row>
    <row r="573" spans="1:9" ht="17" x14ac:dyDescent="0.2">
      <c r="A573" t="s">
        <v>756</v>
      </c>
      <c r="B573" s="1" t="s">
        <v>757</v>
      </c>
      <c r="C573" t="s">
        <v>604</v>
      </c>
      <c r="D573" s="1" t="s">
        <v>2</v>
      </c>
      <c r="E573" t="b">
        <v>0</v>
      </c>
      <c r="F573">
        <v>428</v>
      </c>
      <c r="G573">
        <v>599</v>
      </c>
      <c r="H573" t="s">
        <v>11</v>
      </c>
      <c r="I573" t="b" cm="1">
        <f t="array" ref="I573">isDup(B573,B574, 0.7)</f>
        <v>0</v>
      </c>
    </row>
    <row r="574" spans="1:9" ht="17" x14ac:dyDescent="0.2">
      <c r="A574" t="s">
        <v>3402</v>
      </c>
      <c r="B574" s="1" t="s">
        <v>3403</v>
      </c>
      <c r="C574" t="s">
        <v>3404</v>
      </c>
      <c r="D574" s="1" t="s">
        <v>1423</v>
      </c>
      <c r="E574" t="b">
        <v>0</v>
      </c>
      <c r="F574">
        <v>27</v>
      </c>
      <c r="G574">
        <v>141</v>
      </c>
      <c r="H574" t="s">
        <v>83</v>
      </c>
      <c r="I574" t="b" cm="1">
        <f t="array" ref="I574">isDup(B574,B575, 0.7)</f>
        <v>0</v>
      </c>
    </row>
    <row r="575" spans="1:9" ht="34" x14ac:dyDescent="0.2">
      <c r="A575" t="s">
        <v>764</v>
      </c>
      <c r="B575" s="1" t="s">
        <v>765</v>
      </c>
      <c r="C575" t="s">
        <v>766</v>
      </c>
      <c r="D575" s="1" t="s">
        <v>2</v>
      </c>
      <c r="E575" t="b">
        <v>0</v>
      </c>
      <c r="F575">
        <v>141</v>
      </c>
      <c r="G575">
        <v>292</v>
      </c>
      <c r="H575" t="s">
        <v>11</v>
      </c>
      <c r="I575" t="b" cm="1">
        <f t="array" ref="I575">isDup(B575,B576, 0.7)</f>
        <v>0</v>
      </c>
    </row>
    <row r="576" spans="1:9" ht="17" x14ac:dyDescent="0.2">
      <c r="A576" t="s">
        <v>6829</v>
      </c>
      <c r="B576" s="1" t="s">
        <v>6830</v>
      </c>
      <c r="C576" t="s">
        <v>2938</v>
      </c>
      <c r="D576" s="1" t="s">
        <v>6831</v>
      </c>
      <c r="E576" t="b">
        <v>0</v>
      </c>
      <c r="F576">
        <v>2725</v>
      </c>
      <c r="G576">
        <v>3875</v>
      </c>
      <c r="H576" t="s">
        <v>11</v>
      </c>
      <c r="I576" t="b" cm="1">
        <f t="array" ref="I576">isDup(B576,B577, 0.7)</f>
        <v>0</v>
      </c>
    </row>
    <row r="577" spans="1:9" ht="34" x14ac:dyDescent="0.2">
      <c r="A577" t="s">
        <v>4641</v>
      </c>
      <c r="B577" s="1" t="s">
        <v>4642</v>
      </c>
      <c r="C577" t="s">
        <v>4643</v>
      </c>
      <c r="D577" s="1" t="s">
        <v>2</v>
      </c>
      <c r="E577" t="b">
        <v>0</v>
      </c>
      <c r="F577">
        <v>3795</v>
      </c>
      <c r="G577">
        <v>95</v>
      </c>
      <c r="H577" t="s">
        <v>47</v>
      </c>
      <c r="I577" t="b" cm="1">
        <f t="array" ref="I577">isDup(B577,B578, 0.7)</f>
        <v>0</v>
      </c>
    </row>
    <row r="578" spans="1:9" ht="17" x14ac:dyDescent="0.2">
      <c r="A578" t="s">
        <v>5280</v>
      </c>
      <c r="B578" s="1" t="s">
        <v>5281</v>
      </c>
      <c r="C578" t="s">
        <v>1320</v>
      </c>
      <c r="D578" s="1" t="s">
        <v>2</v>
      </c>
      <c r="E578" t="b">
        <v>0</v>
      </c>
      <c r="F578">
        <v>1</v>
      </c>
      <c r="G578">
        <v>42</v>
      </c>
      <c r="H578" t="s">
        <v>11</v>
      </c>
      <c r="I578" t="b" cm="1">
        <f t="array" ref="I578">isDup(B578,B579, 0.7)</f>
        <v>0</v>
      </c>
    </row>
    <row r="579" spans="1:9" ht="17" x14ac:dyDescent="0.2">
      <c r="A579" t="s">
        <v>3620</v>
      </c>
      <c r="B579" s="1" t="s">
        <v>3621</v>
      </c>
      <c r="C579" t="s">
        <v>483</v>
      </c>
      <c r="D579" s="1" t="s">
        <v>2</v>
      </c>
      <c r="E579" t="b">
        <v>0</v>
      </c>
      <c r="F579">
        <v>14</v>
      </c>
      <c r="G579">
        <v>5</v>
      </c>
      <c r="H579" t="s">
        <v>11</v>
      </c>
      <c r="I579" t="b" cm="1">
        <f t="array" ref="I579">isDup(B579,B580, 0.7)</f>
        <v>0</v>
      </c>
    </row>
    <row r="580" spans="1:9" ht="17" x14ac:dyDescent="0.2">
      <c r="A580" t="s">
        <v>7136</v>
      </c>
      <c r="B580" s="1" t="s">
        <v>7137</v>
      </c>
      <c r="C580" t="s">
        <v>289</v>
      </c>
      <c r="D580" s="1" t="s">
        <v>2</v>
      </c>
      <c r="E580" t="b">
        <v>0</v>
      </c>
      <c r="F580">
        <v>3637</v>
      </c>
      <c r="G580">
        <v>3735</v>
      </c>
      <c r="H580" t="s">
        <v>11</v>
      </c>
      <c r="I580" t="b" cm="1">
        <f t="array" ref="I580">isDup(B580,B581, 0.7)</f>
        <v>0</v>
      </c>
    </row>
    <row r="581" spans="1:9" ht="17" x14ac:dyDescent="0.2">
      <c r="A581" t="s">
        <v>2885</v>
      </c>
      <c r="B581" s="1" t="s">
        <v>2886</v>
      </c>
      <c r="C581" t="s">
        <v>2024</v>
      </c>
      <c r="D581" s="1" t="s">
        <v>2767</v>
      </c>
      <c r="E581" t="b">
        <v>0</v>
      </c>
      <c r="F581">
        <v>1322</v>
      </c>
      <c r="G581">
        <v>1009</v>
      </c>
      <c r="H581" t="s">
        <v>11</v>
      </c>
      <c r="I581" t="b" cm="1">
        <f t="array" ref="I581">isDup(B581,B582, 0.7)</f>
        <v>0</v>
      </c>
    </row>
    <row r="582" spans="1:9" ht="34" x14ac:dyDescent="0.2">
      <c r="A582" t="s">
        <v>585</v>
      </c>
      <c r="B582" s="1" t="s">
        <v>586</v>
      </c>
      <c r="C582" t="s">
        <v>587</v>
      </c>
      <c r="D582" s="1" t="s">
        <v>588</v>
      </c>
      <c r="E582" t="b">
        <v>0</v>
      </c>
      <c r="F582">
        <v>1</v>
      </c>
      <c r="G582">
        <v>0</v>
      </c>
      <c r="H582" t="s">
        <v>11</v>
      </c>
      <c r="I582" t="b" cm="1">
        <f t="array" ref="I582">isDup(B582,B583, 0.7)</f>
        <v>0</v>
      </c>
    </row>
    <row r="583" spans="1:9" ht="17" x14ac:dyDescent="0.2">
      <c r="A583" t="s">
        <v>1782</v>
      </c>
      <c r="B583" s="1" t="s">
        <v>1783</v>
      </c>
      <c r="C583" t="s">
        <v>1784</v>
      </c>
      <c r="D583" s="1" t="s">
        <v>2</v>
      </c>
      <c r="E583" t="b">
        <v>0</v>
      </c>
      <c r="F583">
        <v>619</v>
      </c>
      <c r="G583">
        <v>1376</v>
      </c>
      <c r="H583" t="s">
        <v>11</v>
      </c>
      <c r="I583" t="b" cm="1">
        <f t="array" ref="I583">isDup(B583,B584, 0.7)</f>
        <v>0</v>
      </c>
    </row>
    <row r="584" spans="1:9" ht="17" x14ac:dyDescent="0.2">
      <c r="A584" t="s">
        <v>1187</v>
      </c>
      <c r="B584" s="1" t="s">
        <v>1188</v>
      </c>
      <c r="C584" t="s">
        <v>1189</v>
      </c>
      <c r="D584" s="1" t="s">
        <v>1190</v>
      </c>
      <c r="E584" t="b">
        <v>0</v>
      </c>
      <c r="F584">
        <v>7993</v>
      </c>
      <c r="G584">
        <v>410</v>
      </c>
      <c r="H584" t="s">
        <v>11</v>
      </c>
      <c r="I584" t="b" cm="1">
        <f t="array" ref="I584">isDup(B584,B585, 0.7)</f>
        <v>0</v>
      </c>
    </row>
    <row r="585" spans="1:9" ht="17" x14ac:dyDescent="0.2">
      <c r="A585" t="s">
        <v>7008</v>
      </c>
      <c r="B585" s="1" t="s">
        <v>7009</v>
      </c>
      <c r="C585" t="s">
        <v>94</v>
      </c>
      <c r="D585" s="1" t="s">
        <v>7010</v>
      </c>
      <c r="E585" t="b">
        <v>0</v>
      </c>
      <c r="F585">
        <v>360</v>
      </c>
      <c r="G585">
        <v>1610</v>
      </c>
      <c r="H585" t="s">
        <v>47</v>
      </c>
      <c r="I585" t="b" cm="1">
        <f t="array" ref="I585">isDup(B585,B586, 0.7)</f>
        <v>0</v>
      </c>
    </row>
    <row r="586" spans="1:9" ht="34" x14ac:dyDescent="0.2">
      <c r="A586" t="s">
        <v>5822</v>
      </c>
      <c r="B586" s="1" t="s">
        <v>5823</v>
      </c>
      <c r="C586" t="s">
        <v>636</v>
      </c>
      <c r="D586" s="1" t="s">
        <v>2</v>
      </c>
      <c r="E586" t="b">
        <v>0</v>
      </c>
      <c r="F586">
        <v>3087</v>
      </c>
      <c r="G586">
        <v>553</v>
      </c>
      <c r="H586" t="s">
        <v>11</v>
      </c>
      <c r="I586" t="b" cm="1">
        <f t="array" ref="I586">isDup(B586,B587, 0.7)</f>
        <v>0</v>
      </c>
    </row>
    <row r="587" spans="1:9" ht="17" x14ac:dyDescent="0.2">
      <c r="A587" t="s">
        <v>3857</v>
      </c>
      <c r="B587" s="1" t="s">
        <v>3858</v>
      </c>
      <c r="C587" t="s">
        <v>3859</v>
      </c>
      <c r="D587" s="1" t="s">
        <v>3860</v>
      </c>
      <c r="E587" t="b">
        <v>0</v>
      </c>
      <c r="F587">
        <v>800</v>
      </c>
      <c r="G587">
        <v>975</v>
      </c>
      <c r="H587" t="s">
        <v>1580</v>
      </c>
      <c r="I587" t="b" cm="1">
        <f t="array" ref="I587">isDup(B587,B588, 0.7)</f>
        <v>1</v>
      </c>
    </row>
    <row r="588" spans="1:9" ht="17" x14ac:dyDescent="0.2">
      <c r="A588" t="s">
        <v>3797</v>
      </c>
      <c r="B588" s="1" t="s">
        <v>3798</v>
      </c>
      <c r="C588" t="s">
        <v>2098</v>
      </c>
      <c r="D588" s="1" t="s">
        <v>54</v>
      </c>
      <c r="E588" t="b">
        <v>1</v>
      </c>
      <c r="F588">
        <v>149787</v>
      </c>
      <c r="G588">
        <v>949</v>
      </c>
      <c r="H588" t="s">
        <v>3</v>
      </c>
      <c r="I588" t="b" cm="1">
        <f t="array" ref="I588">isDup(B588,B589, 0.7)</f>
        <v>0</v>
      </c>
    </row>
    <row r="589" spans="1:9" ht="17" x14ac:dyDescent="0.2">
      <c r="A589" t="s">
        <v>2963</v>
      </c>
      <c r="B589" s="1" t="s">
        <v>2964</v>
      </c>
      <c r="C589" t="s">
        <v>289</v>
      </c>
      <c r="D589" s="1" t="s">
        <v>2</v>
      </c>
      <c r="E589" t="b">
        <v>0</v>
      </c>
      <c r="F589">
        <v>3635</v>
      </c>
      <c r="G589">
        <v>3732</v>
      </c>
      <c r="H589" t="s">
        <v>11</v>
      </c>
      <c r="I589" t="b" cm="1">
        <f t="array" ref="I589">isDup(B589,B590, 0.7)</f>
        <v>0</v>
      </c>
    </row>
    <row r="590" spans="1:9" ht="17" x14ac:dyDescent="0.2">
      <c r="A590" t="s">
        <v>4805</v>
      </c>
      <c r="B590" s="1" t="s">
        <v>4806</v>
      </c>
      <c r="C590" t="s">
        <v>1888</v>
      </c>
      <c r="D590" s="1" t="s">
        <v>4807</v>
      </c>
      <c r="E590" t="b">
        <v>0</v>
      </c>
      <c r="F590">
        <v>425</v>
      </c>
      <c r="G590">
        <v>330</v>
      </c>
      <c r="H590" t="s">
        <v>11</v>
      </c>
      <c r="I590" t="b" cm="1">
        <f t="array" ref="I590">isDup(B590,B591, 0.7)</f>
        <v>0</v>
      </c>
    </row>
    <row r="591" spans="1:9" ht="17" x14ac:dyDescent="0.2">
      <c r="A591" t="s">
        <v>5386</v>
      </c>
      <c r="B591" s="1" t="s">
        <v>5387</v>
      </c>
      <c r="C591" t="s">
        <v>4537</v>
      </c>
      <c r="D591" s="1" t="s">
        <v>2716</v>
      </c>
      <c r="E591" t="b">
        <v>0</v>
      </c>
      <c r="F591">
        <v>5788</v>
      </c>
      <c r="G591">
        <v>6216</v>
      </c>
      <c r="H591" t="s">
        <v>11</v>
      </c>
      <c r="I591" t="b" cm="1">
        <f t="array" ref="I591">isDup(B591,B592, 0.7)</f>
        <v>0</v>
      </c>
    </row>
    <row r="592" spans="1:9" ht="17" x14ac:dyDescent="0.2">
      <c r="A592" t="s">
        <v>4857</v>
      </c>
      <c r="B592" s="1" t="s">
        <v>4858</v>
      </c>
      <c r="C592" t="s">
        <v>4750</v>
      </c>
      <c r="D592" s="1" t="s">
        <v>2</v>
      </c>
      <c r="E592" t="b">
        <v>0</v>
      </c>
      <c r="F592">
        <v>18</v>
      </c>
      <c r="G592">
        <v>107</v>
      </c>
      <c r="H592" t="s">
        <v>11</v>
      </c>
      <c r="I592" t="b" cm="1">
        <f t="array" ref="I592">isDup(B592,B593, 0.7)</f>
        <v>0</v>
      </c>
    </row>
    <row r="593" spans="1:9" ht="17" x14ac:dyDescent="0.2">
      <c r="A593" t="s">
        <v>4727</v>
      </c>
      <c r="B593" s="1" t="s">
        <v>4728</v>
      </c>
      <c r="C593" t="s">
        <v>1226</v>
      </c>
      <c r="D593" s="1" t="s">
        <v>316</v>
      </c>
      <c r="E593" t="b">
        <v>0</v>
      </c>
      <c r="F593">
        <v>595</v>
      </c>
      <c r="G593">
        <v>141</v>
      </c>
      <c r="H593" t="s">
        <v>11</v>
      </c>
      <c r="I593" t="b" cm="1">
        <f t="array" ref="I593">isDup(B593,B594, 0.7)</f>
        <v>0</v>
      </c>
    </row>
    <row r="594" spans="1:9" ht="34" x14ac:dyDescent="0.2">
      <c r="A594" t="s">
        <v>949</v>
      </c>
      <c r="B594" s="1" t="s">
        <v>950</v>
      </c>
      <c r="C594" t="s">
        <v>951</v>
      </c>
      <c r="D594" s="1" t="s">
        <v>952</v>
      </c>
      <c r="E594" t="b">
        <v>0</v>
      </c>
      <c r="F594">
        <v>393</v>
      </c>
      <c r="G594">
        <v>888</v>
      </c>
      <c r="H594" t="s">
        <v>11</v>
      </c>
      <c r="I594" t="b" cm="1">
        <f t="array" ref="I594">isDup(B594,B595, 0.7)</f>
        <v>0</v>
      </c>
    </row>
    <row r="595" spans="1:9" ht="17" x14ac:dyDescent="0.2">
      <c r="A595" t="s">
        <v>4384</v>
      </c>
      <c r="B595" s="1" t="s">
        <v>4385</v>
      </c>
      <c r="C595" t="s">
        <v>208</v>
      </c>
      <c r="D595" s="1" t="s">
        <v>2</v>
      </c>
      <c r="E595" t="b">
        <v>0</v>
      </c>
      <c r="F595">
        <v>17687</v>
      </c>
      <c r="G595">
        <v>14204</v>
      </c>
      <c r="H595" t="s">
        <v>11</v>
      </c>
      <c r="I595" t="b" cm="1">
        <f t="array" ref="I595">isDup(B595,B596, 0.7)</f>
        <v>0</v>
      </c>
    </row>
    <row r="596" spans="1:9" ht="17" x14ac:dyDescent="0.2">
      <c r="A596" t="s">
        <v>1299</v>
      </c>
      <c r="B596" s="1" t="s">
        <v>1300</v>
      </c>
      <c r="C596" t="s">
        <v>1301</v>
      </c>
      <c r="D596" s="1" t="s">
        <v>2</v>
      </c>
      <c r="E596" t="b">
        <v>0</v>
      </c>
      <c r="F596">
        <v>22</v>
      </c>
      <c r="G596">
        <v>118</v>
      </c>
      <c r="H596" t="s">
        <v>11</v>
      </c>
      <c r="I596" t="b" cm="1">
        <f t="array" ref="I596">isDup(B596,B597, 0.7)</f>
        <v>0</v>
      </c>
    </row>
    <row r="597" spans="1:9" ht="17" x14ac:dyDescent="0.2">
      <c r="A597" t="s">
        <v>5590</v>
      </c>
      <c r="B597" s="1" t="s">
        <v>5591</v>
      </c>
      <c r="C597" t="s">
        <v>1697</v>
      </c>
      <c r="D597" s="1" t="s">
        <v>701</v>
      </c>
      <c r="E597" t="b">
        <v>0</v>
      </c>
      <c r="F597">
        <v>24</v>
      </c>
      <c r="G597">
        <v>74</v>
      </c>
      <c r="H597" t="s">
        <v>11</v>
      </c>
      <c r="I597" t="b" cm="1">
        <f t="array" ref="I597">isDup(B597,B598, 0.7)</f>
        <v>0</v>
      </c>
    </row>
    <row r="598" spans="1:9" ht="17" x14ac:dyDescent="0.2">
      <c r="A598" t="s">
        <v>5176</v>
      </c>
      <c r="B598" s="1" t="s">
        <v>5177</v>
      </c>
      <c r="C598" t="s">
        <v>4263</v>
      </c>
      <c r="D598" s="1" t="s">
        <v>5178</v>
      </c>
      <c r="E598" t="b">
        <v>0</v>
      </c>
      <c r="F598">
        <v>164</v>
      </c>
      <c r="G598">
        <v>77</v>
      </c>
      <c r="H598" t="s">
        <v>11</v>
      </c>
      <c r="I598" t="b" cm="1">
        <f t="array" ref="I598">isDup(B598,B599, 0.7)</f>
        <v>0</v>
      </c>
    </row>
    <row r="599" spans="1:9" ht="17" x14ac:dyDescent="0.2">
      <c r="A599" t="s">
        <v>6096</v>
      </c>
      <c r="B599" s="1" t="s">
        <v>6097</v>
      </c>
      <c r="C599" t="s">
        <v>2226</v>
      </c>
      <c r="D599" s="1" t="s">
        <v>4469</v>
      </c>
      <c r="E599" t="b">
        <v>0</v>
      </c>
      <c r="F599">
        <v>1953</v>
      </c>
      <c r="G599">
        <v>2435</v>
      </c>
      <c r="H599" t="s">
        <v>11</v>
      </c>
      <c r="I599" t="b" cm="1">
        <f t="array" ref="I599">isDup(B599,B600, 0.7)</f>
        <v>0</v>
      </c>
    </row>
    <row r="600" spans="1:9" ht="17" x14ac:dyDescent="0.2">
      <c r="A600" t="s">
        <v>4274</v>
      </c>
      <c r="B600" s="1" t="s">
        <v>4276</v>
      </c>
      <c r="C600" t="s">
        <v>4277</v>
      </c>
      <c r="D600" s="1" t="s">
        <v>4278</v>
      </c>
      <c r="E600" t="b">
        <v>0</v>
      </c>
      <c r="F600">
        <v>244</v>
      </c>
      <c r="G600">
        <v>240</v>
      </c>
      <c r="H600" t="s">
        <v>11</v>
      </c>
      <c r="I600" t="b" cm="1">
        <f t="array" ref="I600">isDup(B600,B601, 0.7)</f>
        <v>0</v>
      </c>
    </row>
    <row r="601" spans="1:9" ht="17" x14ac:dyDescent="0.2">
      <c r="A601" t="s">
        <v>6063</v>
      </c>
      <c r="B601" s="1" t="s">
        <v>6064</v>
      </c>
      <c r="C601" t="s">
        <v>1197</v>
      </c>
      <c r="D601" s="1" t="s">
        <v>2</v>
      </c>
      <c r="E601" t="b">
        <v>0</v>
      </c>
      <c r="F601">
        <v>9</v>
      </c>
      <c r="G601">
        <v>232</v>
      </c>
      <c r="H601" t="s">
        <v>370</v>
      </c>
      <c r="I601" t="b" cm="1">
        <f t="array" ref="I601">isDup(B601,B602, 0.7)</f>
        <v>0</v>
      </c>
    </row>
    <row r="602" spans="1:9" ht="34" x14ac:dyDescent="0.2">
      <c r="A602" t="s">
        <v>5786</v>
      </c>
      <c r="B602" s="1" t="s">
        <v>5787</v>
      </c>
      <c r="C602" t="s">
        <v>3037</v>
      </c>
      <c r="D602" s="1" t="s">
        <v>5788</v>
      </c>
      <c r="E602" t="b">
        <v>0</v>
      </c>
      <c r="F602">
        <v>11</v>
      </c>
      <c r="G602">
        <v>32</v>
      </c>
      <c r="H602" t="s">
        <v>11</v>
      </c>
      <c r="I602" t="b" cm="1">
        <f t="array" ref="I602">isDup(B602,B603, 0.7)</f>
        <v>0</v>
      </c>
    </row>
    <row r="603" spans="1:9" ht="17" x14ac:dyDescent="0.2">
      <c r="A603" t="s">
        <v>4799</v>
      </c>
      <c r="B603" s="1" t="s">
        <v>4800</v>
      </c>
      <c r="C603" t="s">
        <v>157</v>
      </c>
      <c r="D603" s="1" t="s">
        <v>2</v>
      </c>
      <c r="E603" t="b">
        <v>0</v>
      </c>
      <c r="F603">
        <v>276</v>
      </c>
      <c r="G603">
        <v>503</v>
      </c>
      <c r="H603" t="s">
        <v>11</v>
      </c>
      <c r="I603" t="b" cm="1">
        <f t="array" ref="I603">isDup(B603,B604, 0.7)</f>
        <v>0</v>
      </c>
    </row>
    <row r="604" spans="1:9" ht="17" x14ac:dyDescent="0.2">
      <c r="A604" t="s">
        <v>5908</v>
      </c>
      <c r="B604" s="1" t="s">
        <v>5909</v>
      </c>
      <c r="C604" t="s">
        <v>157</v>
      </c>
      <c r="D604" s="1" t="s">
        <v>2</v>
      </c>
      <c r="E604" t="b">
        <v>0</v>
      </c>
      <c r="F604">
        <v>276</v>
      </c>
      <c r="G604">
        <v>503</v>
      </c>
      <c r="H604" t="s">
        <v>11</v>
      </c>
      <c r="I604" t="b" cm="1">
        <f t="array" ref="I604">isDup(B604,B605, 0.7)</f>
        <v>0</v>
      </c>
    </row>
    <row r="605" spans="1:9" ht="17" x14ac:dyDescent="0.2">
      <c r="A605" t="s">
        <v>517</v>
      </c>
      <c r="B605" s="1" t="s">
        <v>518</v>
      </c>
      <c r="C605" t="s">
        <v>167</v>
      </c>
      <c r="D605" s="1" t="s">
        <v>519</v>
      </c>
      <c r="E605" t="b">
        <v>0</v>
      </c>
      <c r="F605">
        <v>680</v>
      </c>
      <c r="G605">
        <v>30</v>
      </c>
      <c r="H605" t="s">
        <v>11</v>
      </c>
      <c r="I605" t="b" cm="1">
        <f t="array" ref="I605">isDup(B605,B606, 0.7)</f>
        <v>0</v>
      </c>
    </row>
    <row r="606" spans="1:9" ht="17" x14ac:dyDescent="0.2">
      <c r="A606" t="s">
        <v>750</v>
      </c>
      <c r="B606" s="1" t="s">
        <v>751</v>
      </c>
      <c r="C606" t="s">
        <v>349</v>
      </c>
      <c r="D606" s="1" t="s">
        <v>2</v>
      </c>
      <c r="E606" t="b">
        <v>0</v>
      </c>
      <c r="F606">
        <v>6</v>
      </c>
      <c r="G606">
        <v>77</v>
      </c>
      <c r="H606" t="s">
        <v>11</v>
      </c>
      <c r="I606" t="b" cm="1">
        <f t="array" ref="I606">isDup(B606,B607, 0.7)</f>
        <v>0</v>
      </c>
    </row>
    <row r="607" spans="1:9" ht="17" x14ac:dyDescent="0.2">
      <c r="A607" t="s">
        <v>6865</v>
      </c>
      <c r="B607" s="1" t="s">
        <v>6866</v>
      </c>
      <c r="C607" t="s">
        <v>4731</v>
      </c>
      <c r="D607" s="1" t="s">
        <v>6867</v>
      </c>
      <c r="E607" t="b">
        <v>0</v>
      </c>
      <c r="F607">
        <v>764</v>
      </c>
      <c r="G607">
        <v>479</v>
      </c>
      <c r="H607" t="s">
        <v>1688</v>
      </c>
      <c r="I607" t="b" cm="1">
        <f t="array" ref="I607">isDup(B607,B608, 0.7)</f>
        <v>0</v>
      </c>
    </row>
    <row r="608" spans="1:9" ht="17" x14ac:dyDescent="0.2">
      <c r="A608" t="s">
        <v>3227</v>
      </c>
      <c r="B608" s="1" t="s">
        <v>3229</v>
      </c>
      <c r="C608" t="s">
        <v>3230</v>
      </c>
      <c r="D608" s="1" t="s">
        <v>3231</v>
      </c>
      <c r="E608" t="b">
        <v>0</v>
      </c>
      <c r="F608">
        <v>272</v>
      </c>
      <c r="G608">
        <v>376</v>
      </c>
      <c r="H608" t="s">
        <v>359</v>
      </c>
      <c r="I608" t="b" cm="1">
        <f t="array" ref="I608">isDup(B608,B609, 0.7)</f>
        <v>1</v>
      </c>
    </row>
    <row r="609" spans="1:9" ht="17" x14ac:dyDescent="0.2">
      <c r="A609" t="s">
        <v>642</v>
      </c>
      <c r="B609" s="1" t="s">
        <v>643</v>
      </c>
      <c r="C609" t="s">
        <v>644</v>
      </c>
      <c r="D609" s="1" t="s">
        <v>2</v>
      </c>
      <c r="E609" t="b">
        <v>0</v>
      </c>
      <c r="F609">
        <v>31241</v>
      </c>
      <c r="G609">
        <v>146</v>
      </c>
      <c r="H609" t="s">
        <v>262</v>
      </c>
      <c r="I609" t="b" cm="1">
        <f t="array" ref="I609">isDup(B609,B610, 0.7)</f>
        <v>0</v>
      </c>
    </row>
    <row r="610" spans="1:9" ht="34" x14ac:dyDescent="0.2">
      <c r="A610" t="s">
        <v>6573</v>
      </c>
      <c r="B610" s="1" t="s">
        <v>6574</v>
      </c>
      <c r="C610" t="s">
        <v>796</v>
      </c>
      <c r="D610" s="1" t="s">
        <v>2688</v>
      </c>
      <c r="E610" t="b">
        <v>0</v>
      </c>
      <c r="F610">
        <v>13</v>
      </c>
      <c r="G610">
        <v>27</v>
      </c>
      <c r="H610" t="s">
        <v>11</v>
      </c>
      <c r="I610" t="b" cm="1">
        <f t="array" ref="I610">isDup(B610,B611, 0.7)</f>
        <v>0</v>
      </c>
    </row>
    <row r="611" spans="1:9" ht="17" x14ac:dyDescent="0.2">
      <c r="A611" t="s">
        <v>4564</v>
      </c>
      <c r="B611" s="1" t="s">
        <v>4565</v>
      </c>
      <c r="C611" t="s">
        <v>38</v>
      </c>
      <c r="D611" s="1" t="s">
        <v>2</v>
      </c>
      <c r="E611" t="b">
        <v>0</v>
      </c>
      <c r="F611">
        <v>5</v>
      </c>
      <c r="G611">
        <v>66</v>
      </c>
      <c r="H611" t="s">
        <v>11</v>
      </c>
      <c r="I611" t="b" cm="1">
        <f t="array" ref="I611">isDup(B611,B612, 0.7)</f>
        <v>0</v>
      </c>
    </row>
    <row r="612" spans="1:9" ht="17" x14ac:dyDescent="0.2">
      <c r="A612" t="s">
        <v>5941</v>
      </c>
      <c r="B612" s="1" t="s">
        <v>5942</v>
      </c>
      <c r="C612" t="s">
        <v>5943</v>
      </c>
      <c r="D612" s="1" t="s">
        <v>5944</v>
      </c>
      <c r="E612" t="b">
        <v>0</v>
      </c>
      <c r="F612">
        <v>91</v>
      </c>
      <c r="G612">
        <v>129</v>
      </c>
      <c r="H612" t="s">
        <v>11</v>
      </c>
      <c r="I612" t="b" cm="1">
        <f t="array" ref="I612">isDup(B612,B613, 0.7)</f>
        <v>0</v>
      </c>
    </row>
    <row r="613" spans="1:9" ht="17" x14ac:dyDescent="0.2">
      <c r="A613" t="s">
        <v>5989</v>
      </c>
      <c r="B613" s="1" t="s">
        <v>5990</v>
      </c>
      <c r="C613" t="s">
        <v>4907</v>
      </c>
      <c r="D613" s="1" t="s">
        <v>5991</v>
      </c>
      <c r="E613" t="b">
        <v>0</v>
      </c>
      <c r="F613">
        <v>516</v>
      </c>
      <c r="G613">
        <v>493</v>
      </c>
      <c r="H613" t="s">
        <v>11</v>
      </c>
      <c r="I613" t="b" cm="1">
        <f t="array" ref="I613">isDup(B613,B614, 0.7)</f>
        <v>0</v>
      </c>
    </row>
    <row r="614" spans="1:9" ht="17" x14ac:dyDescent="0.2">
      <c r="A614" t="s">
        <v>6698</v>
      </c>
      <c r="B614" s="1" t="s">
        <v>6699</v>
      </c>
      <c r="C614" t="s">
        <v>2661</v>
      </c>
      <c r="D614" s="1" t="s">
        <v>61</v>
      </c>
      <c r="E614" t="b">
        <v>0</v>
      </c>
      <c r="F614">
        <v>96</v>
      </c>
      <c r="G614">
        <v>78</v>
      </c>
      <c r="H614" t="s">
        <v>11</v>
      </c>
      <c r="I614" t="b" cm="1">
        <f t="array" ref="I614">isDup(B614,B615, 0.7)</f>
        <v>0</v>
      </c>
    </row>
    <row r="615" spans="1:9" ht="17" x14ac:dyDescent="0.2">
      <c r="A615" t="s">
        <v>1373</v>
      </c>
      <c r="B615" s="1" t="s">
        <v>1374</v>
      </c>
      <c r="C615" t="s">
        <v>325</v>
      </c>
      <c r="D615" s="1" t="s">
        <v>1375</v>
      </c>
      <c r="E615" t="b">
        <v>0</v>
      </c>
      <c r="F615">
        <v>54</v>
      </c>
      <c r="G615">
        <v>11</v>
      </c>
      <c r="H615" t="s">
        <v>359</v>
      </c>
      <c r="I615" t="b" cm="1">
        <f t="array" ref="I615">isDup(B615,B616, 0.7)</f>
        <v>0</v>
      </c>
    </row>
    <row r="616" spans="1:9" ht="34" x14ac:dyDescent="0.2">
      <c r="A616" t="s">
        <v>2771</v>
      </c>
      <c r="B616" s="1" t="s">
        <v>2772</v>
      </c>
      <c r="C616" t="s">
        <v>275</v>
      </c>
      <c r="D616" s="1" t="s">
        <v>2</v>
      </c>
      <c r="E616" t="b">
        <v>0</v>
      </c>
      <c r="F616">
        <v>256</v>
      </c>
      <c r="G616">
        <v>149</v>
      </c>
      <c r="H616" t="s">
        <v>47</v>
      </c>
      <c r="I616" t="b" cm="1">
        <f t="array" ref="I616">isDup(B616,B617, 0.7)</f>
        <v>0</v>
      </c>
    </row>
    <row r="617" spans="1:9" ht="17" x14ac:dyDescent="0.2">
      <c r="A617" t="s">
        <v>1590</v>
      </c>
      <c r="B617" s="1" t="s">
        <v>1591</v>
      </c>
      <c r="C617" t="s">
        <v>1592</v>
      </c>
      <c r="D617" s="1" t="s">
        <v>1593</v>
      </c>
      <c r="E617" t="b">
        <v>0</v>
      </c>
      <c r="F617">
        <v>4</v>
      </c>
      <c r="G617">
        <v>0</v>
      </c>
      <c r="H617" t="s">
        <v>11</v>
      </c>
      <c r="I617" t="b" cm="1">
        <f t="array" ref="I617">isDup(B617,B618, 0.7)</f>
        <v>0</v>
      </c>
    </row>
    <row r="618" spans="1:9" ht="17" x14ac:dyDescent="0.2">
      <c r="A618" t="s">
        <v>220</v>
      </c>
      <c r="B618" s="1" t="s">
        <v>221</v>
      </c>
      <c r="C618" t="s">
        <v>222</v>
      </c>
      <c r="D618" s="1" t="s">
        <v>223</v>
      </c>
      <c r="E618" t="b">
        <v>0</v>
      </c>
      <c r="F618">
        <v>9221</v>
      </c>
      <c r="G618">
        <v>7169</v>
      </c>
      <c r="H618" t="s">
        <v>11</v>
      </c>
      <c r="I618" t="b" cm="1">
        <f t="array" ref="I618">isDup(B618,B619, 0.7)</f>
        <v>0</v>
      </c>
    </row>
    <row r="619" spans="1:9" ht="17" x14ac:dyDescent="0.2">
      <c r="A619" t="s">
        <v>1549</v>
      </c>
      <c r="B619" s="1" t="s">
        <v>1550</v>
      </c>
      <c r="C619" t="s">
        <v>1551</v>
      </c>
      <c r="D619" s="1" t="s">
        <v>1552</v>
      </c>
      <c r="E619" t="b">
        <v>0</v>
      </c>
      <c r="F619">
        <v>3944</v>
      </c>
      <c r="G619">
        <v>848</v>
      </c>
      <c r="H619" t="s">
        <v>11</v>
      </c>
      <c r="I619" t="b" cm="1">
        <f t="array" ref="I619">isDup(B619,B620, 0.7)</f>
        <v>0</v>
      </c>
    </row>
    <row r="620" spans="1:9" ht="34" x14ac:dyDescent="0.2">
      <c r="A620" t="s">
        <v>4485</v>
      </c>
      <c r="B620" s="1" t="s">
        <v>4486</v>
      </c>
      <c r="C620" t="s">
        <v>2516</v>
      </c>
      <c r="D620" s="1" t="s">
        <v>2</v>
      </c>
      <c r="E620" t="b">
        <v>0</v>
      </c>
      <c r="F620">
        <v>143</v>
      </c>
      <c r="G620">
        <v>166</v>
      </c>
      <c r="H620" t="s">
        <v>641</v>
      </c>
      <c r="I620" t="b" cm="1">
        <f t="array" ref="I620">isDup(B620,B621, 0.7)</f>
        <v>0</v>
      </c>
    </row>
    <row r="621" spans="1:9" ht="17" x14ac:dyDescent="0.2">
      <c r="A621" t="s">
        <v>6676</v>
      </c>
      <c r="B621" s="1" t="s">
        <v>6677</v>
      </c>
      <c r="C621" t="s">
        <v>2216</v>
      </c>
      <c r="E621" t="b">
        <v>0</v>
      </c>
      <c r="F621">
        <v>10</v>
      </c>
      <c r="G621">
        <v>59</v>
      </c>
      <c r="H621" t="s">
        <v>1688</v>
      </c>
      <c r="I621" t="b" cm="1">
        <f t="array" ref="I621">isDup(B621,B622, 0.7)</f>
        <v>0</v>
      </c>
    </row>
    <row r="622" spans="1:9" ht="17" x14ac:dyDescent="0.2">
      <c r="A622" t="s">
        <v>3735</v>
      </c>
      <c r="B622" s="1" t="s">
        <v>3736</v>
      </c>
      <c r="C622" t="s">
        <v>3737</v>
      </c>
      <c r="D622" s="1" t="s">
        <v>3738</v>
      </c>
      <c r="E622" t="b">
        <v>0</v>
      </c>
      <c r="F622">
        <v>80</v>
      </c>
      <c r="G622">
        <v>266</v>
      </c>
      <c r="H622" t="s">
        <v>641</v>
      </c>
      <c r="I622" t="b" cm="1">
        <f t="array" ref="I622">isDup(B622,B623, 0.7)</f>
        <v>0</v>
      </c>
    </row>
    <row r="623" spans="1:9" ht="17" x14ac:dyDescent="0.2">
      <c r="A623" t="s">
        <v>4097</v>
      </c>
      <c r="B623" s="1" t="s">
        <v>4098</v>
      </c>
      <c r="C623" t="s">
        <v>3282</v>
      </c>
      <c r="D623" s="1" t="s">
        <v>3283</v>
      </c>
      <c r="E623" t="b">
        <v>0</v>
      </c>
      <c r="F623">
        <v>1977</v>
      </c>
      <c r="G623">
        <v>964</v>
      </c>
      <c r="H623" t="s">
        <v>11</v>
      </c>
      <c r="I623" t="b" cm="1">
        <f t="array" ref="I623">isDup(B623,B624, 0.7)</f>
        <v>0</v>
      </c>
    </row>
    <row r="624" spans="1:9" ht="17" x14ac:dyDescent="0.2">
      <c r="A624" t="s">
        <v>3131</v>
      </c>
      <c r="B624" s="1" t="s">
        <v>3132</v>
      </c>
      <c r="C624" t="s">
        <v>1598</v>
      </c>
      <c r="D624" s="1" t="s">
        <v>3133</v>
      </c>
      <c r="E624" t="b">
        <v>0</v>
      </c>
      <c r="F624">
        <v>312</v>
      </c>
      <c r="G624">
        <v>1283</v>
      </c>
      <c r="H624" t="s">
        <v>11</v>
      </c>
      <c r="I624" t="b" cm="1">
        <f t="array" ref="I624">isDup(B624,B625, 0.7)</f>
        <v>0</v>
      </c>
    </row>
    <row r="625" spans="1:9" ht="17" x14ac:dyDescent="0.2">
      <c r="A625" t="s">
        <v>2190</v>
      </c>
      <c r="B625" s="1" t="s">
        <v>2191</v>
      </c>
      <c r="C625" t="s">
        <v>1112</v>
      </c>
      <c r="D625" s="1" t="s">
        <v>2013</v>
      </c>
      <c r="E625" t="b">
        <v>0</v>
      </c>
      <c r="F625">
        <v>1605</v>
      </c>
      <c r="G625">
        <v>288</v>
      </c>
      <c r="H625" t="s">
        <v>11</v>
      </c>
      <c r="I625" t="b" cm="1">
        <f t="array" ref="I625">isDup(B625,B626, 0.7)</f>
        <v>0</v>
      </c>
    </row>
    <row r="626" spans="1:9" ht="17" x14ac:dyDescent="0.2">
      <c r="A626" t="s">
        <v>520</v>
      </c>
      <c r="B626" s="1" t="s">
        <v>521</v>
      </c>
      <c r="C626" t="s">
        <v>522</v>
      </c>
      <c r="D626" s="1" t="s">
        <v>523</v>
      </c>
      <c r="E626" t="b">
        <v>0</v>
      </c>
      <c r="F626">
        <v>1431</v>
      </c>
      <c r="G626">
        <v>1784</v>
      </c>
      <c r="H626" t="s">
        <v>11</v>
      </c>
      <c r="I626" t="b" cm="1">
        <f t="array" ref="I626">isDup(B626,B627, 0.7)</f>
        <v>0</v>
      </c>
    </row>
    <row r="627" spans="1:9" ht="17" x14ac:dyDescent="0.2">
      <c r="A627" t="s">
        <v>7096</v>
      </c>
      <c r="B627" s="1" t="s">
        <v>7097</v>
      </c>
      <c r="C627" t="s">
        <v>5032</v>
      </c>
      <c r="D627" s="1" t="s">
        <v>487</v>
      </c>
      <c r="E627" t="b">
        <v>0</v>
      </c>
      <c r="F627">
        <v>285</v>
      </c>
      <c r="G627">
        <v>355</v>
      </c>
      <c r="H627" t="s">
        <v>11</v>
      </c>
      <c r="I627" t="b" cm="1">
        <f t="array" ref="I627">isDup(B627,B628, 0.7)</f>
        <v>0</v>
      </c>
    </row>
    <row r="628" spans="1:9" ht="17" x14ac:dyDescent="0.2">
      <c r="A628" t="s">
        <v>5045</v>
      </c>
      <c r="B628" s="1" t="s">
        <v>5046</v>
      </c>
      <c r="C628" t="s">
        <v>649</v>
      </c>
      <c r="D628" s="1" t="s">
        <v>2</v>
      </c>
      <c r="E628" t="b">
        <v>0</v>
      </c>
      <c r="F628">
        <v>38</v>
      </c>
      <c r="G628">
        <v>14</v>
      </c>
      <c r="H628" t="s">
        <v>31</v>
      </c>
      <c r="I628" t="b" cm="1">
        <f t="array" ref="I628">isDup(B628,B629, 0.7)</f>
        <v>0</v>
      </c>
    </row>
    <row r="629" spans="1:9" ht="34" x14ac:dyDescent="0.2">
      <c r="A629" t="s">
        <v>6336</v>
      </c>
      <c r="B629" s="1" t="s">
        <v>6337</v>
      </c>
      <c r="C629" t="s">
        <v>26</v>
      </c>
      <c r="D629" s="1" t="s">
        <v>6338</v>
      </c>
      <c r="E629" t="b">
        <v>0</v>
      </c>
      <c r="F629">
        <v>668</v>
      </c>
      <c r="G629">
        <v>784</v>
      </c>
      <c r="H629" t="s">
        <v>11</v>
      </c>
      <c r="I629" t="b" cm="1">
        <f t="array" ref="I629">isDup(B629,B630, 0.7)</f>
        <v>0</v>
      </c>
    </row>
    <row r="630" spans="1:9" ht="17" x14ac:dyDescent="0.2">
      <c r="A630" t="s">
        <v>1909</v>
      </c>
      <c r="B630" s="1" t="s">
        <v>1910</v>
      </c>
      <c r="C630" t="s">
        <v>1873</v>
      </c>
      <c r="D630" s="1" t="s">
        <v>2</v>
      </c>
      <c r="E630" t="b">
        <v>0</v>
      </c>
      <c r="F630">
        <v>14</v>
      </c>
      <c r="G630">
        <v>65</v>
      </c>
      <c r="H630" t="s">
        <v>11</v>
      </c>
      <c r="I630" t="b" cm="1">
        <f t="array" ref="I630">isDup(B630,B631, 0.7)</f>
        <v>0</v>
      </c>
    </row>
    <row r="631" spans="1:9" ht="17" x14ac:dyDescent="0.2">
      <c r="A631" t="s">
        <v>2156</v>
      </c>
      <c r="B631" s="1" t="s">
        <v>2157</v>
      </c>
      <c r="C631" t="s">
        <v>26</v>
      </c>
      <c r="D631" s="1" t="s">
        <v>2</v>
      </c>
      <c r="E631" t="b">
        <v>0</v>
      </c>
      <c r="F631">
        <v>3</v>
      </c>
      <c r="G631">
        <v>1</v>
      </c>
      <c r="H631" t="s">
        <v>11</v>
      </c>
      <c r="I631" t="b" cm="1">
        <f t="array" ref="I631">isDup(B631,B632, 0.7)</f>
        <v>0</v>
      </c>
    </row>
    <row r="632" spans="1:9" ht="17" x14ac:dyDescent="0.2">
      <c r="A632" t="s">
        <v>5456</v>
      </c>
      <c r="B632" s="1" t="s">
        <v>5457</v>
      </c>
      <c r="C632" t="s">
        <v>2087</v>
      </c>
      <c r="D632" s="1" t="s">
        <v>2</v>
      </c>
      <c r="E632" t="b">
        <v>0</v>
      </c>
      <c r="F632">
        <v>8</v>
      </c>
      <c r="G632">
        <v>79</v>
      </c>
      <c r="H632" t="s">
        <v>11</v>
      </c>
      <c r="I632" t="b" cm="1">
        <f t="array" ref="I632">isDup(B632,B633, 0.7)</f>
        <v>0</v>
      </c>
    </row>
    <row r="633" spans="1:9" ht="17" x14ac:dyDescent="0.2">
      <c r="A633" t="s">
        <v>3689</v>
      </c>
      <c r="B633" s="1" t="s">
        <v>3690</v>
      </c>
      <c r="C633" t="s">
        <v>1506</v>
      </c>
      <c r="D633" s="1" t="s">
        <v>2</v>
      </c>
      <c r="E633" t="b">
        <v>0</v>
      </c>
      <c r="F633">
        <v>0</v>
      </c>
      <c r="G633">
        <v>5</v>
      </c>
      <c r="H633" t="s">
        <v>11</v>
      </c>
      <c r="I633" t="b" cm="1">
        <f t="array" ref="I633">isDup(B633,B634, 0.7)</f>
        <v>0</v>
      </c>
    </row>
    <row r="634" spans="1:9" ht="34" x14ac:dyDescent="0.2">
      <c r="A634" t="s">
        <v>2931</v>
      </c>
      <c r="B634" s="1" t="s">
        <v>2932</v>
      </c>
      <c r="C634" t="s">
        <v>1652</v>
      </c>
      <c r="D634" s="1" t="s">
        <v>2933</v>
      </c>
      <c r="E634" t="b">
        <v>0</v>
      </c>
      <c r="F634">
        <v>438</v>
      </c>
      <c r="G634">
        <v>134</v>
      </c>
      <c r="H634" t="s">
        <v>11</v>
      </c>
      <c r="I634" t="b" cm="1">
        <f t="array" ref="I634">isDup(B634,B635, 0.7)</f>
        <v>0</v>
      </c>
    </row>
    <row r="635" spans="1:9" ht="34" x14ac:dyDescent="0.2">
      <c r="A635" t="s">
        <v>283</v>
      </c>
      <c r="B635" s="1" t="s">
        <v>284</v>
      </c>
      <c r="C635" t="s">
        <v>285</v>
      </c>
      <c r="D635" s="1" t="s">
        <v>286</v>
      </c>
      <c r="E635" t="b">
        <v>0</v>
      </c>
      <c r="F635">
        <v>228</v>
      </c>
      <c r="G635">
        <v>1</v>
      </c>
      <c r="H635" t="s">
        <v>11</v>
      </c>
      <c r="I635" t="b" cm="1">
        <f t="array" ref="I635">isDup(B635,B636, 0.7)</f>
        <v>0</v>
      </c>
    </row>
    <row r="636" spans="1:9" ht="34" x14ac:dyDescent="0.2">
      <c r="A636" t="s">
        <v>568</v>
      </c>
      <c r="B636" s="1" t="s">
        <v>569</v>
      </c>
      <c r="C636" t="s">
        <v>285</v>
      </c>
      <c r="D636" s="1" t="s">
        <v>286</v>
      </c>
      <c r="E636" t="b">
        <v>0</v>
      </c>
      <c r="F636">
        <v>228</v>
      </c>
      <c r="G636">
        <v>1</v>
      </c>
      <c r="H636" t="s">
        <v>11</v>
      </c>
      <c r="I636" t="b" cm="1">
        <f t="array" ref="I636">isDup(B636,B637, 0.7)</f>
        <v>0</v>
      </c>
    </row>
    <row r="637" spans="1:9" ht="34" x14ac:dyDescent="0.2">
      <c r="A637" t="s">
        <v>884</v>
      </c>
      <c r="B637" s="1" t="s">
        <v>885</v>
      </c>
      <c r="C637" t="s">
        <v>285</v>
      </c>
      <c r="D637" s="1" t="s">
        <v>286</v>
      </c>
      <c r="E637" t="b">
        <v>0</v>
      </c>
      <c r="F637">
        <v>228</v>
      </c>
      <c r="G637">
        <v>1</v>
      </c>
      <c r="H637" t="s">
        <v>11</v>
      </c>
      <c r="I637" t="b" cm="1">
        <f t="array" ref="I637">isDup(B637,B638, 0.7)</f>
        <v>0</v>
      </c>
    </row>
    <row r="638" spans="1:9" ht="34" x14ac:dyDescent="0.2">
      <c r="A638" t="s">
        <v>1553</v>
      </c>
      <c r="B638" s="1" t="s">
        <v>1554</v>
      </c>
      <c r="C638" t="s">
        <v>285</v>
      </c>
      <c r="D638" s="1" t="s">
        <v>286</v>
      </c>
      <c r="E638" t="b">
        <v>0</v>
      </c>
      <c r="F638">
        <v>228</v>
      </c>
      <c r="G638">
        <v>1</v>
      </c>
      <c r="H638" t="s">
        <v>11</v>
      </c>
      <c r="I638" t="b" cm="1">
        <f t="array" ref="I638">isDup(B638,B639, 0.7)</f>
        <v>0</v>
      </c>
    </row>
    <row r="639" spans="1:9" ht="34" x14ac:dyDescent="0.2">
      <c r="A639" t="s">
        <v>1176</v>
      </c>
      <c r="B639" s="1" t="s">
        <v>1179</v>
      </c>
      <c r="C639" t="s">
        <v>285</v>
      </c>
      <c r="D639" s="1" t="s">
        <v>286</v>
      </c>
      <c r="E639" t="b">
        <v>0</v>
      </c>
      <c r="F639">
        <v>228</v>
      </c>
      <c r="G639">
        <v>1</v>
      </c>
      <c r="H639" t="s">
        <v>11</v>
      </c>
      <c r="I639" t="b" cm="1">
        <f t="array" ref="I639">isDup(B639,B640, 0.7)</f>
        <v>0</v>
      </c>
    </row>
    <row r="640" spans="1:9" ht="34" x14ac:dyDescent="0.2">
      <c r="A640" t="s">
        <v>3890</v>
      </c>
      <c r="B640" s="1" t="s">
        <v>3891</v>
      </c>
      <c r="C640" t="s">
        <v>285</v>
      </c>
      <c r="D640" s="1" t="s">
        <v>286</v>
      </c>
      <c r="E640" t="b">
        <v>0</v>
      </c>
      <c r="F640">
        <v>228</v>
      </c>
      <c r="G640">
        <v>1</v>
      </c>
      <c r="H640" t="s">
        <v>11</v>
      </c>
      <c r="I640" t="b" cm="1">
        <f t="array" ref="I640">isDup(B640,B641, 0.7)</f>
        <v>0</v>
      </c>
    </row>
    <row r="641" spans="1:9" ht="34" x14ac:dyDescent="0.2">
      <c r="A641" t="s">
        <v>5324</v>
      </c>
      <c r="B641" s="1" t="s">
        <v>5325</v>
      </c>
      <c r="C641" t="s">
        <v>285</v>
      </c>
      <c r="D641" s="1" t="s">
        <v>286</v>
      </c>
      <c r="E641" t="b">
        <v>0</v>
      </c>
      <c r="F641">
        <v>227</v>
      </c>
      <c r="G641">
        <v>1</v>
      </c>
      <c r="H641" t="s">
        <v>11</v>
      </c>
      <c r="I641" t="b" cm="1">
        <f t="array" ref="I641">isDup(B641,B642, 0.7)</f>
        <v>0</v>
      </c>
    </row>
    <row r="642" spans="1:9" ht="34" x14ac:dyDescent="0.2">
      <c r="A642" t="s">
        <v>4968</v>
      </c>
      <c r="B642" s="1" t="s">
        <v>4974</v>
      </c>
      <c r="C642" t="s">
        <v>285</v>
      </c>
      <c r="D642" s="1" t="s">
        <v>286</v>
      </c>
      <c r="E642" t="b">
        <v>0</v>
      </c>
      <c r="F642">
        <v>227</v>
      </c>
      <c r="G642">
        <v>1</v>
      </c>
      <c r="H642" t="s">
        <v>11</v>
      </c>
      <c r="I642" t="b" cm="1">
        <f t="array" ref="I642">isDup(B642,B643, 0.7)</f>
        <v>0</v>
      </c>
    </row>
    <row r="643" spans="1:9" ht="34" x14ac:dyDescent="0.2">
      <c r="A643" t="s">
        <v>1913</v>
      </c>
      <c r="B643" s="1" t="s">
        <v>1916</v>
      </c>
      <c r="C643" t="s">
        <v>285</v>
      </c>
      <c r="D643" s="1" t="s">
        <v>286</v>
      </c>
      <c r="E643" t="b">
        <v>0</v>
      </c>
      <c r="F643">
        <v>228</v>
      </c>
      <c r="G643">
        <v>1</v>
      </c>
      <c r="H643" t="s">
        <v>11</v>
      </c>
      <c r="I643" t="b" cm="1">
        <f t="array" ref="I643">isDup(B643,B644, 0.7)</f>
        <v>0</v>
      </c>
    </row>
    <row r="644" spans="1:9" ht="34" x14ac:dyDescent="0.2">
      <c r="A644" t="s">
        <v>3496</v>
      </c>
      <c r="B644" s="1" t="s">
        <v>3499</v>
      </c>
      <c r="C644" t="s">
        <v>285</v>
      </c>
      <c r="D644" s="1" t="s">
        <v>286</v>
      </c>
      <c r="E644" t="b">
        <v>0</v>
      </c>
      <c r="F644">
        <v>228</v>
      </c>
      <c r="G644">
        <v>1</v>
      </c>
      <c r="H644" t="s">
        <v>11</v>
      </c>
      <c r="I644" t="b" cm="1">
        <f t="array" ref="I644">isDup(B644,B645, 0.7)</f>
        <v>0</v>
      </c>
    </row>
    <row r="645" spans="1:9" ht="34" x14ac:dyDescent="0.2">
      <c r="A645" t="s">
        <v>4255</v>
      </c>
      <c r="B645" s="1" t="s">
        <v>4258</v>
      </c>
      <c r="C645" t="s">
        <v>285</v>
      </c>
      <c r="D645" s="1" t="s">
        <v>286</v>
      </c>
      <c r="E645" t="b">
        <v>0</v>
      </c>
      <c r="F645">
        <v>228</v>
      </c>
      <c r="G645">
        <v>1</v>
      </c>
      <c r="H645" t="s">
        <v>11</v>
      </c>
      <c r="I645" t="b" cm="1">
        <f t="array" ref="I645">isDup(B645,B646, 0.7)</f>
        <v>0</v>
      </c>
    </row>
    <row r="646" spans="1:9" ht="34" x14ac:dyDescent="0.2">
      <c r="A646" t="s">
        <v>4635</v>
      </c>
      <c r="B646" s="1" t="s">
        <v>4637</v>
      </c>
      <c r="C646" t="s">
        <v>285</v>
      </c>
      <c r="D646" s="1" t="s">
        <v>286</v>
      </c>
      <c r="E646" t="b">
        <v>0</v>
      </c>
      <c r="F646">
        <v>228</v>
      </c>
      <c r="G646">
        <v>1</v>
      </c>
      <c r="H646" t="s">
        <v>11</v>
      </c>
      <c r="I646" t="b" cm="1">
        <f t="array" ref="I646">isDup(B646,B647, 0.7)</f>
        <v>0</v>
      </c>
    </row>
    <row r="647" spans="1:9" ht="34" x14ac:dyDescent="0.2">
      <c r="A647" t="s">
        <v>5610</v>
      </c>
      <c r="B647" s="1" t="s">
        <v>5611</v>
      </c>
      <c r="C647" t="s">
        <v>285</v>
      </c>
      <c r="D647" s="1" t="s">
        <v>286</v>
      </c>
      <c r="E647" t="b">
        <v>0</v>
      </c>
      <c r="F647">
        <v>227</v>
      </c>
      <c r="G647">
        <v>1</v>
      </c>
      <c r="H647" t="s">
        <v>11</v>
      </c>
      <c r="I647" t="b" cm="1">
        <f t="array" ref="I647">isDup(B647,B648, 0.7)</f>
        <v>0</v>
      </c>
    </row>
    <row r="648" spans="1:9" ht="34" x14ac:dyDescent="0.2">
      <c r="A648" t="s">
        <v>6415</v>
      </c>
      <c r="B648" s="1" t="s">
        <v>6416</v>
      </c>
      <c r="C648" t="s">
        <v>285</v>
      </c>
      <c r="D648" s="1" t="s">
        <v>286</v>
      </c>
      <c r="E648" t="b">
        <v>0</v>
      </c>
      <c r="F648">
        <v>227</v>
      </c>
      <c r="G648">
        <v>1</v>
      </c>
      <c r="H648" t="s">
        <v>11</v>
      </c>
      <c r="I648" t="b" cm="1">
        <f t="array" ref="I648">isDup(B648,B649, 0.7)</f>
        <v>0</v>
      </c>
    </row>
    <row r="649" spans="1:9" ht="34" x14ac:dyDescent="0.2">
      <c r="A649" t="s">
        <v>7050</v>
      </c>
      <c r="B649" s="1" t="s">
        <v>7052</v>
      </c>
      <c r="C649" t="s">
        <v>285</v>
      </c>
      <c r="D649" s="1" t="s">
        <v>286</v>
      </c>
      <c r="E649" t="b">
        <v>0</v>
      </c>
      <c r="F649">
        <v>227</v>
      </c>
      <c r="G649">
        <v>1</v>
      </c>
      <c r="H649" t="s">
        <v>11</v>
      </c>
      <c r="I649" t="b" cm="1">
        <f t="array" ref="I649">isDup(B649,B650, 0.7)</f>
        <v>0</v>
      </c>
    </row>
    <row r="650" spans="1:9" ht="34" x14ac:dyDescent="0.2">
      <c r="A650" t="s">
        <v>2312</v>
      </c>
      <c r="B650" s="1" t="s">
        <v>2313</v>
      </c>
      <c r="C650" t="s">
        <v>285</v>
      </c>
      <c r="D650" s="1" t="s">
        <v>286</v>
      </c>
      <c r="E650" t="b">
        <v>0</v>
      </c>
      <c r="F650">
        <v>228</v>
      </c>
      <c r="G650">
        <v>1</v>
      </c>
      <c r="H650" t="s">
        <v>11</v>
      </c>
      <c r="I650" t="b" cm="1">
        <f t="array" ref="I650">isDup(B650,B651, 0.7)</f>
        <v>0</v>
      </c>
    </row>
    <row r="651" spans="1:9" ht="34" x14ac:dyDescent="0.2">
      <c r="A651" t="s">
        <v>6010</v>
      </c>
      <c r="B651" s="1" t="s">
        <v>6013</v>
      </c>
      <c r="C651" t="s">
        <v>285</v>
      </c>
      <c r="D651" s="1" t="s">
        <v>286</v>
      </c>
      <c r="E651" t="b">
        <v>0</v>
      </c>
      <c r="F651">
        <v>227</v>
      </c>
      <c r="G651">
        <v>1</v>
      </c>
      <c r="H651" t="s">
        <v>11</v>
      </c>
      <c r="I651" t="b" cm="1">
        <f t="array" ref="I651">isDup(B651,B652, 0.7)</f>
        <v>0</v>
      </c>
    </row>
    <row r="652" spans="1:9" ht="34" x14ac:dyDescent="0.2">
      <c r="A652" t="s">
        <v>2666</v>
      </c>
      <c r="B652" s="1" t="s">
        <v>2668</v>
      </c>
      <c r="C652" t="s">
        <v>285</v>
      </c>
      <c r="D652" s="1" t="s">
        <v>286</v>
      </c>
      <c r="E652" t="b">
        <v>0</v>
      </c>
      <c r="F652">
        <v>227</v>
      </c>
      <c r="G652">
        <v>1</v>
      </c>
      <c r="H652" t="s">
        <v>11</v>
      </c>
      <c r="I652" t="b" cm="1">
        <f t="array" ref="I652">isDup(B652,B653, 0.7)</f>
        <v>0</v>
      </c>
    </row>
    <row r="653" spans="1:9" ht="34" x14ac:dyDescent="0.2">
      <c r="A653" t="s">
        <v>3087</v>
      </c>
      <c r="B653" s="1" t="s">
        <v>3088</v>
      </c>
      <c r="C653" t="s">
        <v>285</v>
      </c>
      <c r="D653" s="1" t="s">
        <v>286</v>
      </c>
      <c r="E653" t="b">
        <v>0</v>
      </c>
      <c r="F653">
        <v>228</v>
      </c>
      <c r="G653">
        <v>1</v>
      </c>
      <c r="H653" t="s">
        <v>11</v>
      </c>
      <c r="I653" t="b" cm="1">
        <f t="array" ref="I653">isDup(B653,B654, 0.7)</f>
        <v>0</v>
      </c>
    </row>
    <row r="654" spans="1:9" ht="34" x14ac:dyDescent="0.2">
      <c r="A654" t="s">
        <v>6773</v>
      </c>
      <c r="B654" s="1" t="s">
        <v>6775</v>
      </c>
      <c r="C654" t="s">
        <v>285</v>
      </c>
      <c r="D654" s="1" t="s">
        <v>286</v>
      </c>
      <c r="E654" t="b">
        <v>0</v>
      </c>
      <c r="F654">
        <v>227</v>
      </c>
      <c r="G654">
        <v>1</v>
      </c>
      <c r="H654" t="s">
        <v>11</v>
      </c>
      <c r="I654" t="b" cm="1">
        <f t="array" ref="I654">isDup(B654,B655, 0.7)</f>
        <v>0</v>
      </c>
    </row>
    <row r="655" spans="1:9" ht="17" x14ac:dyDescent="0.2">
      <c r="A655" t="s">
        <v>6628</v>
      </c>
      <c r="B655" s="1" t="s">
        <v>6629</v>
      </c>
      <c r="C655" t="s">
        <v>2516</v>
      </c>
      <c r="D655" s="1" t="s">
        <v>6630</v>
      </c>
      <c r="E655" t="b">
        <v>0</v>
      </c>
      <c r="F655">
        <v>79</v>
      </c>
      <c r="G655">
        <v>235</v>
      </c>
      <c r="H655" t="s">
        <v>11</v>
      </c>
      <c r="I655" t="b" cm="1">
        <f t="array" ref="I655">isDup(B655,B656, 0.7)</f>
        <v>0</v>
      </c>
    </row>
    <row r="656" spans="1:9" ht="17" x14ac:dyDescent="0.2">
      <c r="A656" t="s">
        <v>931</v>
      </c>
      <c r="B656" s="1" t="s">
        <v>932</v>
      </c>
      <c r="C656" t="s">
        <v>413</v>
      </c>
      <c r="D656" s="1" t="s">
        <v>2</v>
      </c>
      <c r="E656" t="b">
        <v>0</v>
      </c>
      <c r="F656">
        <v>300</v>
      </c>
      <c r="G656">
        <v>321</v>
      </c>
      <c r="H656" t="s">
        <v>11</v>
      </c>
      <c r="I656" t="b" cm="1">
        <f t="array" ref="I656">isDup(B656,B657, 0.7)</f>
        <v>0</v>
      </c>
    </row>
    <row r="657" spans="1:9" ht="17" x14ac:dyDescent="0.2">
      <c r="A657" t="s">
        <v>4291</v>
      </c>
      <c r="B657" s="1" t="s">
        <v>4292</v>
      </c>
      <c r="C657" t="s">
        <v>4293</v>
      </c>
      <c r="D657" s="1" t="s">
        <v>2</v>
      </c>
      <c r="E657" t="b">
        <v>0</v>
      </c>
      <c r="F657">
        <v>57</v>
      </c>
      <c r="G657">
        <v>102</v>
      </c>
      <c r="H657" t="s">
        <v>11</v>
      </c>
      <c r="I657" t="b" cm="1">
        <f t="array" ref="I657">isDup(B657,B658, 0.7)</f>
        <v>0</v>
      </c>
    </row>
    <row r="658" spans="1:9" ht="17" x14ac:dyDescent="0.2">
      <c r="A658" t="s">
        <v>1013</v>
      </c>
      <c r="B658" s="1" t="s">
        <v>1014</v>
      </c>
      <c r="C658" t="s">
        <v>1015</v>
      </c>
      <c r="D658" s="1" t="s">
        <v>2</v>
      </c>
      <c r="E658" t="b">
        <v>0</v>
      </c>
      <c r="F658">
        <v>1104</v>
      </c>
      <c r="G658">
        <v>1998</v>
      </c>
      <c r="H658" t="s">
        <v>11</v>
      </c>
      <c r="I658" t="b" cm="1">
        <f t="array" ref="I658">isDup(B658,B659, 0.7)</f>
        <v>0</v>
      </c>
    </row>
    <row r="659" spans="1:9" ht="17" x14ac:dyDescent="0.2">
      <c r="A659" t="s">
        <v>6767</v>
      </c>
      <c r="B659" s="1" t="s">
        <v>6768</v>
      </c>
      <c r="C659" t="s">
        <v>6769</v>
      </c>
      <c r="D659" s="1" t="s">
        <v>6770</v>
      </c>
      <c r="E659" t="b">
        <v>0</v>
      </c>
      <c r="F659">
        <v>2105</v>
      </c>
      <c r="G659">
        <v>3280</v>
      </c>
      <c r="H659" t="s">
        <v>11</v>
      </c>
      <c r="I659" t="b" cm="1">
        <f t="array" ref="I659">isDup(B659,B660, 0.7)</f>
        <v>0</v>
      </c>
    </row>
    <row r="660" spans="1:9" ht="17" x14ac:dyDescent="0.2">
      <c r="A660" t="s">
        <v>3868</v>
      </c>
      <c r="B660" s="1" t="s">
        <v>3869</v>
      </c>
      <c r="C660" t="s">
        <v>3870</v>
      </c>
      <c r="D660" s="1" t="s">
        <v>2</v>
      </c>
      <c r="E660" t="b">
        <v>0</v>
      </c>
      <c r="F660">
        <v>56</v>
      </c>
      <c r="G660">
        <v>314</v>
      </c>
      <c r="H660" t="s">
        <v>11</v>
      </c>
      <c r="I660" t="b" cm="1">
        <f t="array" ref="I660">isDup(B660,B661, 0.7)</f>
        <v>0</v>
      </c>
    </row>
    <row r="661" spans="1:9" ht="34" x14ac:dyDescent="0.2">
      <c r="A661" t="s">
        <v>5739</v>
      </c>
      <c r="B661" s="1" t="s">
        <v>5740</v>
      </c>
      <c r="C661" t="s">
        <v>215</v>
      </c>
      <c r="D661" s="1" t="s">
        <v>5741</v>
      </c>
      <c r="E661" t="b">
        <v>0</v>
      </c>
      <c r="F661">
        <v>465</v>
      </c>
      <c r="G661">
        <v>111</v>
      </c>
      <c r="H661" t="s">
        <v>11</v>
      </c>
      <c r="I661" t="b" cm="1">
        <f t="array" ref="I661">isDup(B661,B662, 0.7)</f>
        <v>0</v>
      </c>
    </row>
    <row r="662" spans="1:9" ht="34" x14ac:dyDescent="0.2">
      <c r="A662" t="s">
        <v>822</v>
      </c>
      <c r="B662" s="1" t="s">
        <v>823</v>
      </c>
      <c r="C662" t="s">
        <v>824</v>
      </c>
      <c r="D662" s="1" t="s">
        <v>825</v>
      </c>
      <c r="E662" t="b">
        <v>0</v>
      </c>
      <c r="F662">
        <v>505</v>
      </c>
      <c r="G662">
        <v>82</v>
      </c>
      <c r="H662" t="s">
        <v>641</v>
      </c>
      <c r="I662" t="b" cm="1">
        <f t="array" ref="I662">isDup(B662,B663, 0.7)</f>
        <v>0</v>
      </c>
    </row>
    <row r="663" spans="1:9" ht="34" x14ac:dyDescent="0.2">
      <c r="A663" t="s">
        <v>3672</v>
      </c>
      <c r="B663" s="1" t="s">
        <v>3673</v>
      </c>
      <c r="C663" t="s">
        <v>1206</v>
      </c>
      <c r="D663" s="1" t="s">
        <v>2</v>
      </c>
      <c r="E663" t="b">
        <v>0</v>
      </c>
      <c r="F663">
        <v>217</v>
      </c>
      <c r="G663">
        <v>238</v>
      </c>
      <c r="H663" t="s">
        <v>11</v>
      </c>
      <c r="I663" t="b" cm="1">
        <f t="array" ref="I663">isDup(B663,B664, 0.7)</f>
        <v>0</v>
      </c>
    </row>
    <row r="664" spans="1:9" ht="34" x14ac:dyDescent="0.2">
      <c r="A664" t="s">
        <v>7004</v>
      </c>
      <c r="B664" s="1" t="s">
        <v>7005</v>
      </c>
      <c r="C664" t="s">
        <v>7006</v>
      </c>
      <c r="D664" s="1" t="s">
        <v>7007</v>
      </c>
      <c r="E664" t="b">
        <v>0</v>
      </c>
      <c r="F664">
        <v>28</v>
      </c>
      <c r="G664">
        <v>56</v>
      </c>
      <c r="H664" t="s">
        <v>11</v>
      </c>
      <c r="I664" t="b" cm="1">
        <f t="array" ref="I664">isDup(B664,B665, 0.7)</f>
        <v>0</v>
      </c>
    </row>
    <row r="665" spans="1:9" ht="17" x14ac:dyDescent="0.2">
      <c r="A665" t="s">
        <v>4015</v>
      </c>
      <c r="B665" s="1" t="s">
        <v>4016</v>
      </c>
      <c r="C665" t="s">
        <v>3999</v>
      </c>
      <c r="D665" s="1" t="s">
        <v>4000</v>
      </c>
      <c r="E665" t="b">
        <v>0</v>
      </c>
      <c r="F665">
        <v>2396</v>
      </c>
      <c r="G665">
        <v>500</v>
      </c>
      <c r="H665" t="s">
        <v>11</v>
      </c>
      <c r="I665" t="b" cm="1">
        <f t="array" ref="I665">isDup(B665,B666, 0.7)</f>
        <v>0</v>
      </c>
    </row>
    <row r="666" spans="1:9" ht="17" x14ac:dyDescent="0.2">
      <c r="A666" t="s">
        <v>6247</v>
      </c>
      <c r="B666" s="1" t="s">
        <v>6248</v>
      </c>
      <c r="C666" t="s">
        <v>6249</v>
      </c>
      <c r="D666" s="1" t="s">
        <v>2</v>
      </c>
      <c r="E666" t="b">
        <v>0</v>
      </c>
      <c r="F666">
        <v>1306</v>
      </c>
      <c r="G666">
        <v>1716</v>
      </c>
      <c r="H666" t="s">
        <v>11</v>
      </c>
      <c r="I666" t="b" cm="1">
        <f t="array" ref="I666">isDup(B666,B667, 0.7)</f>
        <v>0</v>
      </c>
    </row>
    <row r="667" spans="1:9" ht="17" x14ac:dyDescent="0.2">
      <c r="A667" t="s">
        <v>3172</v>
      </c>
      <c r="B667" s="1" t="s">
        <v>3173</v>
      </c>
      <c r="C667" t="s">
        <v>472</v>
      </c>
      <c r="D667" s="1" t="s">
        <v>473</v>
      </c>
      <c r="E667" t="b">
        <v>0</v>
      </c>
      <c r="F667">
        <v>292</v>
      </c>
      <c r="G667">
        <v>0</v>
      </c>
      <c r="H667" t="s">
        <v>110</v>
      </c>
      <c r="I667" t="b" cm="1">
        <f t="array" ref="I667">isDup(B667,B668, 0.7)</f>
        <v>0</v>
      </c>
    </row>
    <row r="668" spans="1:9" ht="17" x14ac:dyDescent="0.2">
      <c r="A668" t="s">
        <v>3274</v>
      </c>
      <c r="B668" s="1" t="s">
        <v>3275</v>
      </c>
      <c r="C668" t="s">
        <v>289</v>
      </c>
      <c r="D668" s="1" t="s">
        <v>2</v>
      </c>
      <c r="E668" t="b">
        <v>0</v>
      </c>
      <c r="F668">
        <v>3634</v>
      </c>
      <c r="G668">
        <v>3732</v>
      </c>
      <c r="H668" t="s">
        <v>11</v>
      </c>
      <c r="I668" t="b" cm="1">
        <f t="array" ref="I668">isDup(B668,B669, 0.7)</f>
        <v>0</v>
      </c>
    </row>
    <row r="669" spans="1:9" ht="34" x14ac:dyDescent="0.2">
      <c r="A669" t="s">
        <v>4409</v>
      </c>
      <c r="B669" s="1" t="s">
        <v>4410</v>
      </c>
      <c r="C669" t="s">
        <v>4411</v>
      </c>
      <c r="D669" s="1" t="s">
        <v>4412</v>
      </c>
      <c r="E669" t="b">
        <v>0</v>
      </c>
      <c r="F669">
        <v>648</v>
      </c>
      <c r="G669">
        <v>784</v>
      </c>
      <c r="H669" t="s">
        <v>4413</v>
      </c>
      <c r="I669" t="b" cm="1">
        <f t="array" ref="I669">isDup(B669,B670, 0.7)</f>
        <v>0</v>
      </c>
    </row>
    <row r="670" spans="1:9" ht="17" x14ac:dyDescent="0.2">
      <c r="A670" t="s">
        <v>2034</v>
      </c>
      <c r="B670" s="1" t="s">
        <v>2035</v>
      </c>
      <c r="C670" t="s">
        <v>2036</v>
      </c>
      <c r="D670" s="1" t="s">
        <v>2</v>
      </c>
      <c r="E670" t="b">
        <v>0</v>
      </c>
      <c r="F670">
        <v>27</v>
      </c>
      <c r="G670">
        <v>168</v>
      </c>
      <c r="H670" t="s">
        <v>1088</v>
      </c>
      <c r="I670" t="b" cm="1">
        <f t="array" ref="I670">isDup(B670,B671, 0.7)</f>
        <v>0</v>
      </c>
    </row>
    <row r="671" spans="1:9" ht="34" x14ac:dyDescent="0.2">
      <c r="A671" t="s">
        <v>3535</v>
      </c>
      <c r="B671" s="1" t="s">
        <v>3536</v>
      </c>
      <c r="C671" t="s">
        <v>1226</v>
      </c>
      <c r="D671" s="1" t="s">
        <v>1227</v>
      </c>
      <c r="E671" t="b">
        <v>0</v>
      </c>
      <c r="F671">
        <v>427</v>
      </c>
      <c r="G671">
        <v>768</v>
      </c>
      <c r="H671" t="s">
        <v>11</v>
      </c>
      <c r="I671" t="b" cm="1">
        <f t="array" ref="I671">isDup(B671,B672, 0.7)</f>
        <v>1</v>
      </c>
    </row>
    <row r="672" spans="1:9" ht="34" x14ac:dyDescent="0.2">
      <c r="A672" t="s">
        <v>4719</v>
      </c>
      <c r="B672" s="1" t="s">
        <v>4720</v>
      </c>
      <c r="C672" t="s">
        <v>3964</v>
      </c>
      <c r="D672" s="1" t="s">
        <v>109</v>
      </c>
      <c r="E672" t="b">
        <v>0</v>
      </c>
      <c r="F672">
        <v>71</v>
      </c>
      <c r="G672">
        <v>179</v>
      </c>
      <c r="H672" t="s">
        <v>11</v>
      </c>
      <c r="I672" t="b" cm="1">
        <f t="array" ref="I672">isDup(B672,B673, 0.7)</f>
        <v>0</v>
      </c>
    </row>
    <row r="673" spans="1:9" ht="34" x14ac:dyDescent="0.2">
      <c r="A673" t="s">
        <v>5164</v>
      </c>
      <c r="B673" s="1" t="s">
        <v>5165</v>
      </c>
      <c r="C673" t="s">
        <v>5166</v>
      </c>
      <c r="D673" s="1" t="s">
        <v>5167</v>
      </c>
      <c r="E673" t="b">
        <v>0</v>
      </c>
      <c r="F673">
        <v>5153</v>
      </c>
      <c r="G673">
        <v>508</v>
      </c>
      <c r="H673" t="s">
        <v>3</v>
      </c>
      <c r="I673" t="b" cm="1">
        <f t="array" ref="I673">isDup(B673,B674, 0.7)</f>
        <v>0</v>
      </c>
    </row>
    <row r="674" spans="1:9" ht="34" x14ac:dyDescent="0.2">
      <c r="A674" t="s">
        <v>6776</v>
      </c>
      <c r="B674" s="1" t="s">
        <v>6777</v>
      </c>
      <c r="C674" t="s">
        <v>6778</v>
      </c>
      <c r="D674" s="1" t="s">
        <v>1813</v>
      </c>
      <c r="E674" t="b">
        <v>0</v>
      </c>
      <c r="F674">
        <v>3752</v>
      </c>
      <c r="G674">
        <v>1</v>
      </c>
      <c r="H674" t="s">
        <v>11</v>
      </c>
      <c r="I674" t="b" cm="1">
        <f t="array" ref="I674">isDup(B674,B675, 0.7)</f>
        <v>0</v>
      </c>
    </row>
    <row r="675" spans="1:9" ht="34" x14ac:dyDescent="0.2">
      <c r="A675" t="s">
        <v>290</v>
      </c>
      <c r="B675" s="1" t="s">
        <v>291</v>
      </c>
      <c r="C675" t="s">
        <v>292</v>
      </c>
      <c r="D675" s="1" t="s">
        <v>2</v>
      </c>
      <c r="E675" t="b">
        <v>0</v>
      </c>
      <c r="F675">
        <v>27</v>
      </c>
      <c r="G675">
        <v>23</v>
      </c>
      <c r="H675" t="s">
        <v>11</v>
      </c>
      <c r="I675" t="b" cm="1">
        <f t="array" ref="I675">isDup(B675,B676, 0.7)</f>
        <v>0</v>
      </c>
    </row>
    <row r="676" spans="1:9" ht="17" x14ac:dyDescent="0.2">
      <c r="A676" t="s">
        <v>4414</v>
      </c>
      <c r="B676" s="1" t="s">
        <v>4415</v>
      </c>
      <c r="C676" t="s">
        <v>4416</v>
      </c>
      <c r="D676" s="1" t="s">
        <v>4417</v>
      </c>
      <c r="E676" t="b">
        <v>0</v>
      </c>
      <c r="F676">
        <v>240</v>
      </c>
      <c r="G676">
        <v>154</v>
      </c>
      <c r="H676" t="s">
        <v>11</v>
      </c>
      <c r="I676" t="b" cm="1">
        <f t="array" ref="I676">isDup(B676,B677, 0.7)</f>
        <v>0</v>
      </c>
    </row>
    <row r="677" spans="1:9" ht="17" x14ac:dyDescent="0.2">
      <c r="A677" t="s">
        <v>5365</v>
      </c>
      <c r="B677" s="1" t="s">
        <v>5366</v>
      </c>
      <c r="C677" t="s">
        <v>173</v>
      </c>
      <c r="D677" s="1" t="s">
        <v>2</v>
      </c>
      <c r="E677" t="b">
        <v>0</v>
      </c>
      <c r="F677">
        <v>517</v>
      </c>
      <c r="G677">
        <v>411</v>
      </c>
      <c r="H677" t="s">
        <v>11</v>
      </c>
      <c r="I677" t="b" cm="1">
        <f t="array" ref="I677">isDup(B677,B678, 0.7)</f>
        <v>0</v>
      </c>
    </row>
    <row r="678" spans="1:9" ht="34" x14ac:dyDescent="0.2">
      <c r="A678" t="s">
        <v>4545</v>
      </c>
      <c r="B678" s="1" t="s">
        <v>4546</v>
      </c>
      <c r="C678" t="s">
        <v>1005</v>
      </c>
      <c r="D678" s="1" t="s">
        <v>4547</v>
      </c>
      <c r="E678" t="b">
        <v>0</v>
      </c>
      <c r="F678">
        <v>713</v>
      </c>
      <c r="G678">
        <v>798</v>
      </c>
      <c r="H678" t="s">
        <v>11</v>
      </c>
      <c r="I678" t="b" cm="1">
        <f t="array" ref="I678">isDup(B678,B679, 0.7)</f>
        <v>0</v>
      </c>
    </row>
    <row r="679" spans="1:9" ht="17" x14ac:dyDescent="0.2">
      <c r="A679" t="s">
        <v>440</v>
      </c>
      <c r="B679" s="1" t="s">
        <v>441</v>
      </c>
      <c r="C679" t="s">
        <v>442</v>
      </c>
      <c r="D679" s="1" t="s">
        <v>443</v>
      </c>
      <c r="E679" t="b">
        <v>0</v>
      </c>
      <c r="F679">
        <v>6122</v>
      </c>
      <c r="G679">
        <v>384</v>
      </c>
      <c r="H679" t="s">
        <v>11</v>
      </c>
      <c r="I679" t="b" cm="1">
        <f t="array" ref="I679">isDup(B679,B680, 0.7)</f>
        <v>0</v>
      </c>
    </row>
    <row r="680" spans="1:9" ht="17" x14ac:dyDescent="0.2">
      <c r="A680" t="s">
        <v>5824</v>
      </c>
      <c r="B680" s="1" t="s">
        <v>5825</v>
      </c>
      <c r="C680" t="s">
        <v>4359</v>
      </c>
      <c r="D680" s="1" t="s">
        <v>2</v>
      </c>
      <c r="E680" t="b">
        <v>0</v>
      </c>
      <c r="F680">
        <v>83</v>
      </c>
      <c r="G680">
        <v>149</v>
      </c>
      <c r="H680" t="s">
        <v>11</v>
      </c>
      <c r="I680" t="b" cm="1">
        <f t="array" ref="I680">isDup(B680,B681, 0.7)</f>
        <v>0</v>
      </c>
    </row>
    <row r="681" spans="1:9" ht="34" x14ac:dyDescent="0.2">
      <c r="A681" t="s">
        <v>929</v>
      </c>
      <c r="B681" s="1" t="s">
        <v>930</v>
      </c>
      <c r="C681" t="s">
        <v>891</v>
      </c>
      <c r="D681" s="1" t="s">
        <v>2</v>
      </c>
      <c r="E681" t="b">
        <v>0</v>
      </c>
      <c r="F681">
        <v>1564</v>
      </c>
      <c r="G681">
        <v>5000</v>
      </c>
      <c r="H681" t="s">
        <v>11</v>
      </c>
      <c r="I681" t="b" cm="1">
        <f t="array" ref="I681">isDup(B681,B682, 0.7)</f>
        <v>0</v>
      </c>
    </row>
    <row r="682" spans="1:9" ht="17" x14ac:dyDescent="0.2">
      <c r="A682" t="s">
        <v>4379</v>
      </c>
      <c r="B682" s="1" t="s">
        <v>4380</v>
      </c>
      <c r="C682" t="s">
        <v>1134</v>
      </c>
      <c r="D682" s="1" t="s">
        <v>2</v>
      </c>
      <c r="E682" t="b">
        <v>0</v>
      </c>
      <c r="F682">
        <v>4537</v>
      </c>
      <c r="G682">
        <v>398</v>
      </c>
      <c r="H682" t="s">
        <v>11</v>
      </c>
      <c r="I682" t="b" cm="1">
        <f t="array" ref="I682">isDup(B682,B683, 0.7)</f>
        <v>0</v>
      </c>
    </row>
    <row r="683" spans="1:9" ht="17" x14ac:dyDescent="0.2">
      <c r="A683" t="s">
        <v>596</v>
      </c>
      <c r="B683" s="1" t="s">
        <v>597</v>
      </c>
      <c r="C683" t="s">
        <v>564</v>
      </c>
      <c r="D683" s="1" t="s">
        <v>2</v>
      </c>
      <c r="E683" t="b">
        <v>0</v>
      </c>
      <c r="F683">
        <v>93</v>
      </c>
      <c r="G683">
        <v>2</v>
      </c>
      <c r="H683" t="s">
        <v>73</v>
      </c>
      <c r="I683" t="b" cm="1">
        <f t="array" ref="I683">isDup(B683,B684, 0.7)</f>
        <v>1</v>
      </c>
    </row>
    <row r="684" spans="1:9" ht="17" x14ac:dyDescent="0.2">
      <c r="A684" t="s">
        <v>1199</v>
      </c>
      <c r="B684" s="1" t="s">
        <v>1200</v>
      </c>
      <c r="C684" t="s">
        <v>564</v>
      </c>
      <c r="D684" s="1" t="s">
        <v>2</v>
      </c>
      <c r="E684" t="b">
        <v>0</v>
      </c>
      <c r="F684">
        <v>93</v>
      </c>
      <c r="G684">
        <v>2</v>
      </c>
      <c r="H684" t="s">
        <v>73</v>
      </c>
      <c r="I684" t="b" cm="1">
        <f t="array" ref="I684">isDup(B684,B685, 0.7)</f>
        <v>1</v>
      </c>
    </row>
    <row r="685" spans="1:9" ht="17" x14ac:dyDescent="0.2">
      <c r="A685" t="s">
        <v>3510</v>
      </c>
      <c r="B685" s="1" t="s">
        <v>3511</v>
      </c>
      <c r="C685" t="s">
        <v>564</v>
      </c>
      <c r="D685" s="1" t="s">
        <v>2</v>
      </c>
      <c r="E685" t="b">
        <v>0</v>
      </c>
      <c r="F685">
        <v>93</v>
      </c>
      <c r="G685">
        <v>2</v>
      </c>
      <c r="H685" t="s">
        <v>73</v>
      </c>
      <c r="I685" t="b" cm="1">
        <f t="array" ref="I685">isDup(B685,B686, 0.7)</f>
        <v>1</v>
      </c>
    </row>
    <row r="686" spans="1:9" ht="17" x14ac:dyDescent="0.2">
      <c r="A686" t="s">
        <v>4996</v>
      </c>
      <c r="B686" s="1" t="s">
        <v>4997</v>
      </c>
      <c r="C686" t="s">
        <v>564</v>
      </c>
      <c r="D686" s="1" t="s">
        <v>2</v>
      </c>
      <c r="E686" t="b">
        <v>0</v>
      </c>
      <c r="F686">
        <v>93</v>
      </c>
      <c r="G686">
        <v>2</v>
      </c>
      <c r="H686" t="s">
        <v>73</v>
      </c>
      <c r="I686" t="b" cm="1">
        <f t="array" ref="I686">isDup(B686,B687, 0.7)</f>
        <v>1</v>
      </c>
    </row>
    <row r="687" spans="1:9" ht="17" x14ac:dyDescent="0.2">
      <c r="A687" t="s">
        <v>7065</v>
      </c>
      <c r="B687" s="1" t="s">
        <v>7066</v>
      </c>
      <c r="C687" t="s">
        <v>564</v>
      </c>
      <c r="D687" s="1" t="s">
        <v>2</v>
      </c>
      <c r="E687" t="b">
        <v>0</v>
      </c>
      <c r="F687">
        <v>93</v>
      </c>
      <c r="G687">
        <v>2</v>
      </c>
      <c r="H687" t="s">
        <v>73</v>
      </c>
      <c r="I687" t="b" cm="1">
        <f t="array" ref="I687">isDup(B687,B688, 0.7)</f>
        <v>1</v>
      </c>
    </row>
    <row r="688" spans="1:9" ht="17" x14ac:dyDescent="0.2">
      <c r="A688" t="s">
        <v>1927</v>
      </c>
      <c r="B688" s="1" t="s">
        <v>1928</v>
      </c>
      <c r="C688" t="s">
        <v>564</v>
      </c>
      <c r="D688" s="1" t="s">
        <v>2</v>
      </c>
      <c r="E688" t="b">
        <v>0</v>
      </c>
      <c r="F688">
        <v>93</v>
      </c>
      <c r="G688">
        <v>2</v>
      </c>
      <c r="H688" t="s">
        <v>73</v>
      </c>
      <c r="I688" t="b" cm="1">
        <f t="array" ref="I688">isDup(B688,B689, 0.7)</f>
        <v>1</v>
      </c>
    </row>
    <row r="689" spans="1:9" ht="17" x14ac:dyDescent="0.2">
      <c r="A689" t="s">
        <v>4270</v>
      </c>
      <c r="B689" s="1" t="s">
        <v>4271</v>
      </c>
      <c r="C689" t="s">
        <v>564</v>
      </c>
      <c r="D689" s="1" t="s">
        <v>2</v>
      </c>
      <c r="E689" t="b">
        <v>0</v>
      </c>
      <c r="F689">
        <v>93</v>
      </c>
      <c r="G689">
        <v>2</v>
      </c>
      <c r="H689" t="s">
        <v>73</v>
      </c>
      <c r="I689" t="b" cm="1">
        <f t="array" ref="I689">isDup(B689,B690, 0.7)</f>
        <v>1</v>
      </c>
    </row>
    <row r="690" spans="1:9" ht="17" x14ac:dyDescent="0.2">
      <c r="A690" t="s">
        <v>6432</v>
      </c>
      <c r="B690" s="1" t="s">
        <v>6433</v>
      </c>
      <c r="C690" t="s">
        <v>564</v>
      </c>
      <c r="D690" s="1" t="s">
        <v>2</v>
      </c>
      <c r="E690" t="b">
        <v>0</v>
      </c>
      <c r="F690">
        <v>93</v>
      </c>
      <c r="G690">
        <v>2</v>
      </c>
      <c r="H690" t="s">
        <v>73</v>
      </c>
      <c r="I690" t="b" cm="1">
        <f t="array" ref="I690">isDup(B690,B691, 0.7)</f>
        <v>1</v>
      </c>
    </row>
    <row r="691" spans="1:9" ht="17" x14ac:dyDescent="0.2">
      <c r="A691" t="s">
        <v>5625</v>
      </c>
      <c r="B691" s="1" t="s">
        <v>5626</v>
      </c>
      <c r="C691" t="s">
        <v>564</v>
      </c>
      <c r="D691" s="1" t="s">
        <v>2</v>
      </c>
      <c r="E691" t="b">
        <v>0</v>
      </c>
      <c r="F691">
        <v>93</v>
      </c>
      <c r="G691">
        <v>2</v>
      </c>
      <c r="H691" t="s">
        <v>73</v>
      </c>
      <c r="I691" t="b" cm="1">
        <f t="array" ref="I691">isDup(B691,B692, 0.7)</f>
        <v>1</v>
      </c>
    </row>
    <row r="692" spans="1:9" ht="17" x14ac:dyDescent="0.2">
      <c r="A692" t="s">
        <v>2681</v>
      </c>
      <c r="B692" s="1" t="s">
        <v>2682</v>
      </c>
      <c r="C692" t="s">
        <v>564</v>
      </c>
      <c r="D692" s="1" t="s">
        <v>2</v>
      </c>
      <c r="E692" t="b">
        <v>0</v>
      </c>
      <c r="F692">
        <v>93</v>
      </c>
      <c r="G692">
        <v>2</v>
      </c>
      <c r="H692" t="s">
        <v>73</v>
      </c>
      <c r="I692" t="b" cm="1">
        <f t="array" ref="I692">isDup(B692,B693, 0.7)</f>
        <v>0</v>
      </c>
    </row>
    <row r="693" spans="1:9" ht="34" x14ac:dyDescent="0.2">
      <c r="A693" t="s">
        <v>6184</v>
      </c>
      <c r="B693" s="1" t="s">
        <v>6185</v>
      </c>
      <c r="C693" t="s">
        <v>6186</v>
      </c>
      <c r="D693" s="1" t="s">
        <v>6187</v>
      </c>
      <c r="E693" t="b">
        <v>0</v>
      </c>
      <c r="F693">
        <v>2604</v>
      </c>
      <c r="G693">
        <v>370</v>
      </c>
      <c r="H693" t="s">
        <v>11</v>
      </c>
      <c r="I693" t="b" cm="1">
        <f t="array" ref="I693">isDup(B693,B694, 0.7)</f>
        <v>0</v>
      </c>
    </row>
    <row r="694" spans="1:9" ht="17" x14ac:dyDescent="0.2">
      <c r="A694" t="s">
        <v>6952</v>
      </c>
      <c r="B694" s="1" t="s">
        <v>6953</v>
      </c>
      <c r="C694" t="s">
        <v>289</v>
      </c>
      <c r="D694" s="1" t="s">
        <v>565</v>
      </c>
      <c r="E694" t="b">
        <v>0</v>
      </c>
      <c r="F694">
        <v>1032</v>
      </c>
      <c r="G694">
        <v>189</v>
      </c>
      <c r="H694" t="s">
        <v>11</v>
      </c>
      <c r="I694" t="b" cm="1">
        <f t="array" ref="I694">isDup(B694,B695, 0.7)</f>
        <v>0</v>
      </c>
    </row>
    <row r="695" spans="1:9" ht="17" x14ac:dyDescent="0.2">
      <c r="A695" t="s">
        <v>5533</v>
      </c>
      <c r="B695" s="1" t="s">
        <v>5534</v>
      </c>
      <c r="C695" t="s">
        <v>289</v>
      </c>
      <c r="D695" s="1" t="s">
        <v>565</v>
      </c>
      <c r="E695" t="b">
        <v>0</v>
      </c>
      <c r="F695">
        <v>1032</v>
      </c>
      <c r="G695">
        <v>189</v>
      </c>
      <c r="H695" t="s">
        <v>11</v>
      </c>
      <c r="I695" t="b" cm="1">
        <f t="array" ref="I695">isDup(B695,B696, 0.7)</f>
        <v>0</v>
      </c>
    </row>
    <row r="696" spans="1:9" ht="17" x14ac:dyDescent="0.2">
      <c r="A696" t="s">
        <v>2201</v>
      </c>
      <c r="B696" s="1" t="s">
        <v>2202</v>
      </c>
      <c r="C696" t="s">
        <v>289</v>
      </c>
      <c r="D696" s="1" t="s">
        <v>565</v>
      </c>
      <c r="E696" t="b">
        <v>0</v>
      </c>
      <c r="F696">
        <v>1032</v>
      </c>
      <c r="G696">
        <v>189</v>
      </c>
      <c r="H696" t="s">
        <v>11</v>
      </c>
      <c r="I696" t="b" cm="1">
        <f t="array" ref="I696">isDup(B696,B697, 0.7)</f>
        <v>0</v>
      </c>
    </row>
    <row r="697" spans="1:9" ht="17" x14ac:dyDescent="0.2">
      <c r="A697" t="s">
        <v>5766</v>
      </c>
      <c r="B697" s="1" t="s">
        <v>5767</v>
      </c>
      <c r="C697" t="s">
        <v>289</v>
      </c>
      <c r="D697" s="1" t="s">
        <v>565</v>
      </c>
      <c r="E697" t="b">
        <v>0</v>
      </c>
      <c r="F697">
        <v>1032</v>
      </c>
      <c r="G697">
        <v>189</v>
      </c>
      <c r="H697" t="s">
        <v>11</v>
      </c>
      <c r="I697" t="b" cm="1">
        <f t="array" ref="I697">isDup(B697,B698, 0.7)</f>
        <v>0</v>
      </c>
    </row>
    <row r="698" spans="1:9" ht="17" x14ac:dyDescent="0.2">
      <c r="A698" t="s">
        <v>6773</v>
      </c>
      <c r="B698" s="1" t="s">
        <v>6774</v>
      </c>
      <c r="C698" t="s">
        <v>289</v>
      </c>
      <c r="D698" s="1" t="s">
        <v>565</v>
      </c>
      <c r="E698" t="b">
        <v>0</v>
      </c>
      <c r="F698">
        <v>1032</v>
      </c>
      <c r="G698">
        <v>189</v>
      </c>
      <c r="H698" t="s">
        <v>11</v>
      </c>
      <c r="I698" t="b" cm="1">
        <f t="array" ref="I698">isDup(B698,B699, 0.7)</f>
        <v>0</v>
      </c>
    </row>
    <row r="699" spans="1:9" ht="17" x14ac:dyDescent="0.2">
      <c r="A699" t="s">
        <v>807</v>
      </c>
      <c r="B699" s="1" t="s">
        <v>808</v>
      </c>
      <c r="C699" t="s">
        <v>289</v>
      </c>
      <c r="D699" s="1" t="s">
        <v>565</v>
      </c>
      <c r="E699" t="b">
        <v>0</v>
      </c>
      <c r="F699">
        <v>1031</v>
      </c>
      <c r="G699">
        <v>189</v>
      </c>
      <c r="H699" t="s">
        <v>11</v>
      </c>
      <c r="I699" t="b" cm="1">
        <f t="array" ref="I699">isDup(B699,B700, 0.7)</f>
        <v>0</v>
      </c>
    </row>
    <row r="700" spans="1:9" ht="17" x14ac:dyDescent="0.2">
      <c r="A700" t="s">
        <v>3496</v>
      </c>
      <c r="B700" s="1" t="s">
        <v>3497</v>
      </c>
      <c r="C700" t="s">
        <v>289</v>
      </c>
      <c r="D700" s="1" t="s">
        <v>565</v>
      </c>
      <c r="E700" t="b">
        <v>0</v>
      </c>
      <c r="F700">
        <v>1031</v>
      </c>
      <c r="G700">
        <v>189</v>
      </c>
      <c r="H700" t="s">
        <v>11</v>
      </c>
      <c r="I700" t="b" cm="1">
        <f t="array" ref="I700">isDup(B700,B701, 0.7)</f>
        <v>0</v>
      </c>
    </row>
    <row r="701" spans="1:9" ht="17" x14ac:dyDescent="0.2">
      <c r="A701" t="s">
        <v>5074</v>
      </c>
      <c r="B701" s="1" t="s">
        <v>5075</v>
      </c>
      <c r="C701" t="s">
        <v>1614</v>
      </c>
      <c r="D701" s="1" t="s">
        <v>2</v>
      </c>
      <c r="E701" t="b">
        <v>0</v>
      </c>
      <c r="F701">
        <v>15</v>
      </c>
      <c r="G701">
        <v>0</v>
      </c>
      <c r="H701" t="s">
        <v>31</v>
      </c>
      <c r="I701" t="b" cm="1">
        <f t="array" ref="I701">isDup(B701,B702, 0.7)</f>
        <v>0</v>
      </c>
    </row>
    <row r="702" spans="1:9" ht="17" x14ac:dyDescent="0.2">
      <c r="A702" t="s">
        <v>6503</v>
      </c>
      <c r="B702" s="1" t="s">
        <v>6504</v>
      </c>
      <c r="C702" t="s">
        <v>1614</v>
      </c>
      <c r="D702" s="1" t="s">
        <v>2</v>
      </c>
      <c r="E702" t="b">
        <v>0</v>
      </c>
      <c r="F702">
        <v>15</v>
      </c>
      <c r="G702">
        <v>0</v>
      </c>
      <c r="H702" t="s">
        <v>31</v>
      </c>
      <c r="I702" t="b" cm="1">
        <f t="array" ref="I702">isDup(B702,B703, 0.7)</f>
        <v>0</v>
      </c>
    </row>
    <row r="703" spans="1:9" ht="17" x14ac:dyDescent="0.2">
      <c r="A703" t="s">
        <v>7017</v>
      </c>
      <c r="B703" s="1" t="s">
        <v>7018</v>
      </c>
      <c r="C703" t="s">
        <v>564</v>
      </c>
      <c r="D703" s="1" t="s">
        <v>2</v>
      </c>
      <c r="E703" t="b">
        <v>0</v>
      </c>
      <c r="F703">
        <v>19</v>
      </c>
      <c r="G703">
        <v>184</v>
      </c>
      <c r="H703" t="s">
        <v>641</v>
      </c>
      <c r="I703" t="b" cm="1">
        <f t="array" ref="I703">isDup(B703,B704, 0.7)</f>
        <v>0</v>
      </c>
    </row>
    <row r="704" spans="1:9" ht="17" x14ac:dyDescent="0.2">
      <c r="A704" t="s">
        <v>1491</v>
      </c>
      <c r="B704" s="1" t="s">
        <v>1492</v>
      </c>
      <c r="C704" t="s">
        <v>50</v>
      </c>
      <c r="D704" s="1" t="s">
        <v>51</v>
      </c>
      <c r="E704" t="b">
        <v>0</v>
      </c>
      <c r="F704">
        <v>629</v>
      </c>
      <c r="G704">
        <v>139</v>
      </c>
      <c r="H704" t="s">
        <v>11</v>
      </c>
      <c r="I704" t="b" cm="1">
        <f t="array" ref="I704">isDup(B704,B705, 0.7)</f>
        <v>0</v>
      </c>
    </row>
    <row r="705" spans="1:9" ht="17" x14ac:dyDescent="0.2">
      <c r="A705" t="s">
        <v>5873</v>
      </c>
      <c r="B705" s="1" t="s">
        <v>5874</v>
      </c>
      <c r="C705" t="s">
        <v>3431</v>
      </c>
      <c r="D705" s="1" t="s">
        <v>2</v>
      </c>
      <c r="E705" t="b">
        <v>0</v>
      </c>
      <c r="F705">
        <v>19</v>
      </c>
      <c r="G705">
        <v>57</v>
      </c>
      <c r="H705" t="s">
        <v>11</v>
      </c>
      <c r="I705" t="b" cm="1">
        <f t="array" ref="I705">isDup(B705,B706, 0.7)</f>
        <v>0</v>
      </c>
    </row>
    <row r="706" spans="1:9" ht="17" x14ac:dyDescent="0.2">
      <c r="A706" t="s">
        <v>2987</v>
      </c>
      <c r="B706" s="1" t="s">
        <v>2988</v>
      </c>
      <c r="C706" t="s">
        <v>2016</v>
      </c>
      <c r="D706" s="1" t="s">
        <v>2</v>
      </c>
      <c r="E706" t="b">
        <v>0</v>
      </c>
      <c r="F706">
        <v>7</v>
      </c>
      <c r="G706">
        <v>88</v>
      </c>
      <c r="H706" t="s">
        <v>11</v>
      </c>
      <c r="I706" t="b" cm="1">
        <f t="array" ref="I706">isDup(B706,B707, 0.7)</f>
        <v>0</v>
      </c>
    </row>
    <row r="707" spans="1:9" ht="34" x14ac:dyDescent="0.2">
      <c r="A707" t="s">
        <v>1856</v>
      </c>
      <c r="B707" s="1" t="s">
        <v>1857</v>
      </c>
      <c r="C707" t="s">
        <v>1858</v>
      </c>
      <c r="D707" s="1" t="s">
        <v>1859</v>
      </c>
      <c r="E707" t="b">
        <v>0</v>
      </c>
      <c r="F707">
        <v>339</v>
      </c>
      <c r="G707">
        <v>430</v>
      </c>
      <c r="H707" t="s">
        <v>11</v>
      </c>
      <c r="I707" t="b" cm="1">
        <f t="array" ref="I707">isDup(B707,B708, 0.7)</f>
        <v>0</v>
      </c>
    </row>
    <row r="708" spans="1:9" ht="17" x14ac:dyDescent="0.2">
      <c r="A708" t="s">
        <v>3198</v>
      </c>
      <c r="B708" s="1" t="s">
        <v>3199</v>
      </c>
      <c r="C708" t="s">
        <v>3200</v>
      </c>
      <c r="D708" s="1" t="s">
        <v>2</v>
      </c>
      <c r="E708" t="b">
        <v>0</v>
      </c>
      <c r="F708">
        <v>474</v>
      </c>
      <c r="G708">
        <v>247</v>
      </c>
      <c r="H708" t="s">
        <v>11</v>
      </c>
      <c r="I708" t="b" cm="1">
        <f t="array" ref="I708">isDup(B708,B709, 0.7)</f>
        <v>0</v>
      </c>
    </row>
    <row r="709" spans="1:9" ht="17" x14ac:dyDescent="0.2">
      <c r="A709" t="s">
        <v>5839</v>
      </c>
      <c r="B709" s="1" t="s">
        <v>5840</v>
      </c>
      <c r="C709" t="s">
        <v>5841</v>
      </c>
      <c r="D709" s="1" t="s">
        <v>5842</v>
      </c>
      <c r="E709" t="b">
        <v>0</v>
      </c>
      <c r="F709">
        <v>474</v>
      </c>
      <c r="G709">
        <v>626</v>
      </c>
      <c r="H709" t="s">
        <v>11</v>
      </c>
      <c r="I709" t="b" cm="1">
        <f t="array" ref="I709">isDup(B709,B710, 0.7)</f>
        <v>0</v>
      </c>
    </row>
    <row r="710" spans="1:9" ht="17" x14ac:dyDescent="0.2">
      <c r="A710" t="s">
        <v>1860</v>
      </c>
      <c r="B710" s="1" t="s">
        <v>1861</v>
      </c>
      <c r="C710" t="s">
        <v>1862</v>
      </c>
      <c r="D710" s="1" t="s">
        <v>1863</v>
      </c>
      <c r="E710" t="b">
        <v>0</v>
      </c>
      <c r="F710">
        <v>463</v>
      </c>
      <c r="G710">
        <v>222</v>
      </c>
      <c r="H710" t="s">
        <v>11</v>
      </c>
      <c r="I710" t="b" cm="1">
        <f t="array" ref="I710">isDup(B710,B711, 0.7)</f>
        <v>0</v>
      </c>
    </row>
    <row r="711" spans="1:9" ht="17" x14ac:dyDescent="0.2">
      <c r="A711" t="s">
        <v>5361</v>
      </c>
      <c r="B711" s="1" t="s">
        <v>5362</v>
      </c>
      <c r="C711" t="s">
        <v>516</v>
      </c>
      <c r="D711" s="1" t="s">
        <v>1844</v>
      </c>
      <c r="E711" t="b">
        <v>0</v>
      </c>
      <c r="F711">
        <v>239</v>
      </c>
      <c r="G711">
        <v>226</v>
      </c>
      <c r="H711" t="s">
        <v>11</v>
      </c>
      <c r="I711" t="b" cm="1">
        <f t="array" ref="I711">isDup(B711,B712, 0.7)</f>
        <v>0</v>
      </c>
    </row>
    <row r="712" spans="1:9" ht="34" x14ac:dyDescent="0.2">
      <c r="A712" t="s">
        <v>6049</v>
      </c>
      <c r="B712" s="1" t="s">
        <v>6050</v>
      </c>
      <c r="C712" t="s">
        <v>2421</v>
      </c>
      <c r="D712" s="1" t="s">
        <v>6051</v>
      </c>
      <c r="E712" t="b">
        <v>0</v>
      </c>
      <c r="F712">
        <v>1055</v>
      </c>
      <c r="G712">
        <v>1475</v>
      </c>
      <c r="H712" t="s">
        <v>11</v>
      </c>
      <c r="I712" t="b" cm="1">
        <f t="array" ref="I712">isDup(B712,B713, 0.7)</f>
        <v>0</v>
      </c>
    </row>
    <row r="713" spans="1:9" ht="17" x14ac:dyDescent="0.2">
      <c r="A713" t="s">
        <v>6010</v>
      </c>
      <c r="B713" s="1" t="s">
        <v>6011</v>
      </c>
      <c r="C713" t="s">
        <v>472</v>
      </c>
      <c r="D713" s="1" t="s">
        <v>5519</v>
      </c>
      <c r="E713" t="b">
        <v>0</v>
      </c>
      <c r="F713">
        <v>241</v>
      </c>
      <c r="G713">
        <v>317</v>
      </c>
      <c r="H713" t="s">
        <v>11</v>
      </c>
      <c r="I713" t="b" cm="1">
        <f t="array" ref="I713">isDup(B713,B714, 0.7)</f>
        <v>0</v>
      </c>
    </row>
    <row r="714" spans="1:9" ht="17" x14ac:dyDescent="0.2">
      <c r="A714" t="s">
        <v>5811</v>
      </c>
      <c r="B714" s="1" t="s">
        <v>5812</v>
      </c>
      <c r="C714" t="s">
        <v>824</v>
      </c>
      <c r="D714" s="1" t="s">
        <v>2</v>
      </c>
      <c r="E714" t="b">
        <v>0</v>
      </c>
      <c r="F714">
        <v>204</v>
      </c>
      <c r="G714">
        <v>328</v>
      </c>
      <c r="H714" t="s">
        <v>11</v>
      </c>
      <c r="I714" t="b" cm="1">
        <f t="array" ref="I714">isDup(B714,B715, 0.7)</f>
        <v>0</v>
      </c>
    </row>
    <row r="715" spans="1:9" ht="17" x14ac:dyDescent="0.2">
      <c r="A715" t="s">
        <v>5064</v>
      </c>
      <c r="B715" s="1" t="s">
        <v>5065</v>
      </c>
      <c r="C715" t="s">
        <v>5066</v>
      </c>
      <c r="D715" s="1" t="s">
        <v>5067</v>
      </c>
      <c r="E715" t="b">
        <v>0</v>
      </c>
      <c r="F715">
        <v>392</v>
      </c>
      <c r="G715">
        <v>408</v>
      </c>
      <c r="H715" t="s">
        <v>11</v>
      </c>
      <c r="I715" t="b" cm="1">
        <f t="array" ref="I715">isDup(B715,B716, 0.7)</f>
        <v>0</v>
      </c>
    </row>
    <row r="716" spans="1:9" ht="34" x14ac:dyDescent="0.2">
      <c r="A716" t="s">
        <v>5799</v>
      </c>
      <c r="B716" s="1" t="s">
        <v>5800</v>
      </c>
      <c r="C716" t="s">
        <v>5801</v>
      </c>
      <c r="D716" s="1" t="s">
        <v>3467</v>
      </c>
      <c r="E716" t="b">
        <v>0</v>
      </c>
      <c r="F716">
        <v>4091</v>
      </c>
      <c r="G716">
        <v>2393</v>
      </c>
      <c r="H716" t="s">
        <v>11</v>
      </c>
      <c r="I716" t="b" cm="1">
        <f t="array" ref="I716">isDup(B716,B717, 0.7)</f>
        <v>0</v>
      </c>
    </row>
    <row r="717" spans="1:9" ht="17" x14ac:dyDescent="0.2">
      <c r="A717" t="s">
        <v>5303</v>
      </c>
      <c r="B717" s="1" t="s">
        <v>5304</v>
      </c>
      <c r="C717" t="s">
        <v>222</v>
      </c>
      <c r="D717" s="1" t="s">
        <v>2</v>
      </c>
      <c r="E717" t="b">
        <v>0</v>
      </c>
      <c r="F717">
        <v>741</v>
      </c>
      <c r="G717">
        <v>848</v>
      </c>
      <c r="H717" t="s">
        <v>11</v>
      </c>
      <c r="I717" t="b" cm="1">
        <f t="array" ref="I717">isDup(B717,B718, 0.7)</f>
        <v>0</v>
      </c>
    </row>
    <row r="718" spans="1:9" ht="17" x14ac:dyDescent="0.2">
      <c r="A718" t="s">
        <v>6545</v>
      </c>
      <c r="B718" s="1" t="s">
        <v>6546</v>
      </c>
      <c r="C718" t="s">
        <v>1568</v>
      </c>
      <c r="D718" s="1" t="s">
        <v>3449</v>
      </c>
      <c r="E718" t="b">
        <v>0</v>
      </c>
      <c r="F718">
        <v>187</v>
      </c>
      <c r="G718">
        <v>361</v>
      </c>
      <c r="H718" t="s">
        <v>11</v>
      </c>
      <c r="I718" t="b" cm="1">
        <f t="array" ref="I718">isDup(B718,B719, 0.7)</f>
        <v>0</v>
      </c>
    </row>
    <row r="719" spans="1:9" ht="17" x14ac:dyDescent="0.2">
      <c r="A719" t="s">
        <v>3098</v>
      </c>
      <c r="B719" s="1" t="s">
        <v>3099</v>
      </c>
      <c r="C719" t="s">
        <v>413</v>
      </c>
      <c r="D719" s="1" t="s">
        <v>477</v>
      </c>
      <c r="E719" t="b">
        <v>0</v>
      </c>
      <c r="F719">
        <v>888</v>
      </c>
      <c r="G719">
        <v>1573</v>
      </c>
      <c r="H719" t="s">
        <v>11</v>
      </c>
      <c r="I719" t="b" cm="1">
        <f t="array" ref="I719">isDup(B719,B720, 0.7)</f>
        <v>0</v>
      </c>
    </row>
    <row r="720" spans="1:9" ht="17" x14ac:dyDescent="0.2">
      <c r="A720" t="s">
        <v>2241</v>
      </c>
      <c r="B720" s="1" t="s">
        <v>2242</v>
      </c>
      <c r="C720" t="s">
        <v>1824</v>
      </c>
      <c r="D720" s="1" t="s">
        <v>61</v>
      </c>
      <c r="E720" t="b">
        <v>0</v>
      </c>
      <c r="F720">
        <v>141</v>
      </c>
      <c r="G720">
        <v>313</v>
      </c>
      <c r="H720" t="s">
        <v>11</v>
      </c>
      <c r="I720" t="b" cm="1">
        <f t="array" ref="I720">isDup(B720,B721, 0.7)</f>
        <v>0</v>
      </c>
    </row>
    <row r="721" spans="1:9" ht="17" x14ac:dyDescent="0.2">
      <c r="A721" t="s">
        <v>1457</v>
      </c>
      <c r="B721" s="1" t="s">
        <v>1458</v>
      </c>
      <c r="C721" t="s">
        <v>1044</v>
      </c>
      <c r="D721" s="1" t="s">
        <v>1459</v>
      </c>
      <c r="E721" t="b">
        <v>0</v>
      </c>
      <c r="F721">
        <v>6</v>
      </c>
      <c r="G721">
        <v>65</v>
      </c>
      <c r="H721" t="s">
        <v>11</v>
      </c>
      <c r="I721" t="b" cm="1">
        <f t="array" ref="I721">isDup(B721,B722, 0.7)</f>
        <v>0</v>
      </c>
    </row>
    <row r="722" spans="1:9" ht="17" x14ac:dyDescent="0.2">
      <c r="A722" t="s">
        <v>1854</v>
      </c>
      <c r="B722" s="1" t="s">
        <v>1855</v>
      </c>
      <c r="C722" t="s">
        <v>1250</v>
      </c>
      <c r="D722" s="1" t="s">
        <v>1251</v>
      </c>
      <c r="E722" t="b">
        <v>0</v>
      </c>
      <c r="F722">
        <v>1355</v>
      </c>
      <c r="G722">
        <v>1069</v>
      </c>
      <c r="H722" t="s">
        <v>11</v>
      </c>
      <c r="I722" t="b" cm="1">
        <f t="array" ref="I722">isDup(B722,B723, 0.7)</f>
        <v>0</v>
      </c>
    </row>
    <row r="723" spans="1:9" ht="17" x14ac:dyDescent="0.2">
      <c r="A723" t="s">
        <v>6054</v>
      </c>
      <c r="B723" s="1" t="s">
        <v>6055</v>
      </c>
      <c r="C723" t="s">
        <v>6056</v>
      </c>
      <c r="D723" s="1" t="s">
        <v>2</v>
      </c>
      <c r="E723" t="b">
        <v>0</v>
      </c>
      <c r="F723">
        <v>3</v>
      </c>
      <c r="G723">
        <v>21</v>
      </c>
      <c r="H723" t="s">
        <v>11</v>
      </c>
      <c r="I723" t="b" cm="1">
        <f t="array" ref="I723">isDup(B723,B724, 0.7)</f>
        <v>0</v>
      </c>
    </row>
    <row r="724" spans="1:9" ht="17" x14ac:dyDescent="0.2">
      <c r="A724" t="s">
        <v>6615</v>
      </c>
      <c r="B724" s="1" t="s">
        <v>6616</v>
      </c>
      <c r="C724" t="s">
        <v>891</v>
      </c>
      <c r="D724" s="1" t="s">
        <v>6617</v>
      </c>
      <c r="E724" t="b">
        <v>0</v>
      </c>
      <c r="F724">
        <v>1465</v>
      </c>
      <c r="G724">
        <v>174</v>
      </c>
      <c r="H724" t="s">
        <v>11</v>
      </c>
      <c r="I724" t="b" cm="1">
        <f t="array" ref="I724">isDup(B724,B725, 0.7)</f>
        <v>0</v>
      </c>
    </row>
    <row r="725" spans="1:9" ht="17" x14ac:dyDescent="0.2">
      <c r="A725" t="s">
        <v>3684</v>
      </c>
      <c r="B725" s="1" t="s">
        <v>3685</v>
      </c>
      <c r="C725" t="s">
        <v>2642</v>
      </c>
      <c r="D725" s="1" t="s">
        <v>3686</v>
      </c>
      <c r="E725" t="b">
        <v>0</v>
      </c>
      <c r="F725">
        <v>39272</v>
      </c>
      <c r="G725">
        <v>193</v>
      </c>
      <c r="H725" t="s">
        <v>11</v>
      </c>
      <c r="I725" t="b" cm="1">
        <f t="array" ref="I725">isDup(B725,B726, 0.7)</f>
        <v>0</v>
      </c>
    </row>
    <row r="726" spans="1:9" ht="17" x14ac:dyDescent="0.2">
      <c r="A726" t="s">
        <v>3617</v>
      </c>
      <c r="B726" s="1" t="s">
        <v>3618</v>
      </c>
      <c r="C726" t="s">
        <v>1320</v>
      </c>
      <c r="D726" s="1" t="s">
        <v>3619</v>
      </c>
      <c r="E726" t="b">
        <v>0</v>
      </c>
      <c r="F726">
        <v>1047</v>
      </c>
      <c r="G726">
        <v>2009</v>
      </c>
      <c r="H726" t="s">
        <v>11</v>
      </c>
      <c r="I726" t="b" cm="1">
        <f t="array" ref="I726">isDup(B726,B727, 0.7)</f>
        <v>0</v>
      </c>
    </row>
    <row r="727" spans="1:9" ht="17" x14ac:dyDescent="0.2">
      <c r="A727" t="s">
        <v>1124</v>
      </c>
      <c r="B727" s="1" t="s">
        <v>1125</v>
      </c>
      <c r="C727" t="s">
        <v>1126</v>
      </c>
      <c r="D727" s="1" t="s">
        <v>1127</v>
      </c>
      <c r="E727" t="b">
        <v>0</v>
      </c>
      <c r="F727">
        <v>10</v>
      </c>
      <c r="G727">
        <v>85</v>
      </c>
      <c r="H727" t="s">
        <v>11</v>
      </c>
      <c r="I727" t="b" cm="1">
        <f t="array" ref="I727">isDup(B727,B728, 0.7)</f>
        <v>0</v>
      </c>
    </row>
    <row r="728" spans="1:9" ht="17" x14ac:dyDescent="0.2">
      <c r="A728" t="s">
        <v>3778</v>
      </c>
      <c r="B728" s="1" t="s">
        <v>3779</v>
      </c>
      <c r="C728" t="s">
        <v>700</v>
      </c>
      <c r="D728" s="1" t="s">
        <v>2135</v>
      </c>
      <c r="E728" t="b">
        <v>0</v>
      </c>
      <c r="F728">
        <v>197</v>
      </c>
      <c r="G728">
        <v>403</v>
      </c>
      <c r="H728" t="s">
        <v>11</v>
      </c>
      <c r="I728" t="b" cm="1">
        <f t="array" ref="I728">isDup(B728,B729, 0.7)</f>
        <v>0</v>
      </c>
    </row>
    <row r="729" spans="1:9" ht="34" x14ac:dyDescent="0.2">
      <c r="A729" t="s">
        <v>4020</v>
      </c>
      <c r="B729" s="1" t="s">
        <v>4021</v>
      </c>
      <c r="C729" t="s">
        <v>4022</v>
      </c>
      <c r="D729" s="1" t="s">
        <v>4023</v>
      </c>
      <c r="E729" t="b">
        <v>0</v>
      </c>
      <c r="F729">
        <v>1319</v>
      </c>
      <c r="G729">
        <v>1048</v>
      </c>
      <c r="H729" t="s">
        <v>11</v>
      </c>
      <c r="I729" t="b" cm="1">
        <f t="array" ref="I729">isDup(B729,B730, 0.7)</f>
        <v>1</v>
      </c>
    </row>
    <row r="730" spans="1:9" ht="17" x14ac:dyDescent="0.2">
      <c r="A730" t="s">
        <v>511</v>
      </c>
      <c r="B730" s="1" t="s">
        <v>512</v>
      </c>
      <c r="C730" t="s">
        <v>513</v>
      </c>
      <c r="D730" s="1" t="s">
        <v>2</v>
      </c>
      <c r="E730" t="b">
        <v>0</v>
      </c>
      <c r="F730">
        <v>6759</v>
      </c>
      <c r="G730">
        <v>97</v>
      </c>
      <c r="H730" t="s">
        <v>370</v>
      </c>
      <c r="I730" t="b" cm="1">
        <f t="array" ref="I730">isDup(B730,B731, 0.7)</f>
        <v>0</v>
      </c>
    </row>
    <row r="731" spans="1:9" ht="34" x14ac:dyDescent="0.2">
      <c r="A731" t="s">
        <v>4884</v>
      </c>
      <c r="B731" s="1" t="s">
        <v>4885</v>
      </c>
      <c r="C731" t="s">
        <v>4886</v>
      </c>
      <c r="D731" s="1" t="s">
        <v>2953</v>
      </c>
      <c r="E731" t="b">
        <v>0</v>
      </c>
      <c r="F731">
        <v>582</v>
      </c>
      <c r="G731">
        <v>1849</v>
      </c>
      <c r="H731" t="s">
        <v>11</v>
      </c>
      <c r="I731" t="b" cm="1">
        <f t="array" ref="I731">isDup(B731,B732, 0.7)</f>
        <v>0</v>
      </c>
    </row>
    <row r="732" spans="1:9" ht="17" x14ac:dyDescent="0.2">
      <c r="A732" t="s">
        <v>4832</v>
      </c>
      <c r="B732" s="1" t="s">
        <v>4833</v>
      </c>
      <c r="C732" t="s">
        <v>1254</v>
      </c>
      <c r="D732" s="1" t="s">
        <v>2</v>
      </c>
      <c r="E732" t="b">
        <v>0</v>
      </c>
      <c r="F732">
        <v>201</v>
      </c>
      <c r="G732">
        <v>266</v>
      </c>
      <c r="H732" t="s">
        <v>11</v>
      </c>
      <c r="I732" t="b" cm="1">
        <f t="array" ref="I732">isDup(B732,B733, 0.7)</f>
        <v>0</v>
      </c>
    </row>
    <row r="733" spans="1:9" ht="17" x14ac:dyDescent="0.2">
      <c r="A733" t="s">
        <v>3575</v>
      </c>
      <c r="B733" s="1" t="s">
        <v>3576</v>
      </c>
      <c r="C733" t="s">
        <v>3577</v>
      </c>
      <c r="D733" s="1" t="s">
        <v>3578</v>
      </c>
      <c r="E733" t="b">
        <v>0</v>
      </c>
      <c r="F733">
        <v>65</v>
      </c>
      <c r="G733">
        <v>102</v>
      </c>
      <c r="H733" t="s">
        <v>11</v>
      </c>
      <c r="I733" t="b" cm="1">
        <f t="array" ref="I733">isDup(B733,B734, 0.7)</f>
        <v>0</v>
      </c>
    </row>
    <row r="734" spans="1:9" ht="17" x14ac:dyDescent="0.2">
      <c r="A734" t="s">
        <v>6179</v>
      </c>
      <c r="B734" s="1" t="s">
        <v>6180</v>
      </c>
      <c r="C734" t="s">
        <v>133</v>
      </c>
      <c r="D734" s="1" t="s">
        <v>6181</v>
      </c>
      <c r="E734" t="b">
        <v>0</v>
      </c>
      <c r="F734">
        <v>40</v>
      </c>
      <c r="G734">
        <v>141</v>
      </c>
      <c r="H734" t="s">
        <v>11</v>
      </c>
      <c r="I734" t="b" cm="1">
        <f t="array" ref="I734">isDup(B734,B735, 0.7)</f>
        <v>0</v>
      </c>
    </row>
    <row r="735" spans="1:9" ht="34" x14ac:dyDescent="0.2">
      <c r="A735" t="s">
        <v>5937</v>
      </c>
      <c r="B735" s="1" t="s">
        <v>5938</v>
      </c>
      <c r="C735" t="s">
        <v>2413</v>
      </c>
      <c r="D735" s="1" t="s">
        <v>2</v>
      </c>
      <c r="E735" t="b">
        <v>0</v>
      </c>
      <c r="F735">
        <v>243</v>
      </c>
      <c r="G735">
        <v>297</v>
      </c>
      <c r="H735" t="s">
        <v>11</v>
      </c>
      <c r="I735" t="b" cm="1">
        <f t="array" ref="I735">isDup(B735,B736, 0.7)</f>
        <v>0</v>
      </c>
    </row>
    <row r="736" spans="1:9" ht="17" x14ac:dyDescent="0.2">
      <c r="A736" t="s">
        <v>191</v>
      </c>
      <c r="B736" s="1" t="s">
        <v>192</v>
      </c>
      <c r="C736" t="s">
        <v>193</v>
      </c>
      <c r="D736" s="1" t="s">
        <v>194</v>
      </c>
      <c r="E736" t="b">
        <v>0</v>
      </c>
      <c r="F736">
        <v>593</v>
      </c>
      <c r="G736">
        <v>236</v>
      </c>
      <c r="H736" t="s">
        <v>11</v>
      </c>
      <c r="I736" t="b" cm="1">
        <f t="array" ref="I736">isDup(B736,B737, 0.7)</f>
        <v>0</v>
      </c>
    </row>
    <row r="737" spans="1:9" ht="34" x14ac:dyDescent="0.2">
      <c r="A737" t="s">
        <v>3420</v>
      </c>
      <c r="B737" s="1" t="s">
        <v>3421</v>
      </c>
      <c r="C737" t="s">
        <v>782</v>
      </c>
      <c r="D737" s="1" t="s">
        <v>3422</v>
      </c>
      <c r="E737" t="b">
        <v>0</v>
      </c>
      <c r="F737">
        <v>14775</v>
      </c>
      <c r="G737">
        <v>424</v>
      </c>
      <c r="H737" t="s">
        <v>11</v>
      </c>
      <c r="I737" t="b" cm="1">
        <f t="array" ref="I737">isDup(B737,B738, 0.7)</f>
        <v>0</v>
      </c>
    </row>
    <row r="738" spans="1:9" ht="34" x14ac:dyDescent="0.2">
      <c r="A738" t="s">
        <v>3276</v>
      </c>
      <c r="B738" s="1" t="s">
        <v>3277</v>
      </c>
      <c r="C738" t="s">
        <v>3278</v>
      </c>
      <c r="D738" s="1" t="s">
        <v>3279</v>
      </c>
      <c r="E738" t="b">
        <v>0</v>
      </c>
      <c r="F738">
        <v>5343</v>
      </c>
      <c r="G738">
        <v>1341</v>
      </c>
      <c r="H738" t="s">
        <v>11</v>
      </c>
      <c r="I738" t="b" cm="1">
        <f t="array" ref="I738">isDup(B738,B739, 0.7)</f>
        <v>0</v>
      </c>
    </row>
    <row r="739" spans="1:9" ht="17" x14ac:dyDescent="0.2">
      <c r="A739" t="s">
        <v>4814</v>
      </c>
      <c r="B739" s="1" t="s">
        <v>4815</v>
      </c>
      <c r="C739" t="s">
        <v>2604</v>
      </c>
      <c r="D739" s="1" t="s">
        <v>4816</v>
      </c>
      <c r="E739" t="b">
        <v>0</v>
      </c>
      <c r="F739">
        <v>17</v>
      </c>
      <c r="G739">
        <v>72</v>
      </c>
      <c r="H739" t="s">
        <v>110</v>
      </c>
      <c r="I739" t="b" cm="1">
        <f t="array" ref="I739">isDup(B739,B740, 0.7)</f>
        <v>0</v>
      </c>
    </row>
    <row r="740" spans="1:9" ht="17" x14ac:dyDescent="0.2">
      <c r="A740" t="s">
        <v>1534</v>
      </c>
      <c r="B740" s="1" t="s">
        <v>1535</v>
      </c>
      <c r="C740" t="s">
        <v>1536</v>
      </c>
      <c r="D740" s="1" t="s">
        <v>848</v>
      </c>
      <c r="E740" t="b">
        <v>0</v>
      </c>
      <c r="F740">
        <v>31</v>
      </c>
      <c r="G740">
        <v>106</v>
      </c>
      <c r="H740" t="s">
        <v>11</v>
      </c>
      <c r="I740" t="b" cm="1">
        <f t="array" ref="I740">isDup(B740,B741, 0.7)</f>
        <v>0</v>
      </c>
    </row>
    <row r="741" spans="1:9" ht="17" x14ac:dyDescent="0.2">
      <c r="A741" t="s">
        <v>2249</v>
      </c>
      <c r="B741" s="1" t="s">
        <v>2250</v>
      </c>
      <c r="C741" t="s">
        <v>2251</v>
      </c>
      <c r="D741" s="1" t="s">
        <v>2252</v>
      </c>
      <c r="E741" t="b">
        <v>0</v>
      </c>
      <c r="F741">
        <v>175</v>
      </c>
      <c r="G741">
        <v>189</v>
      </c>
      <c r="H741" t="s">
        <v>11</v>
      </c>
      <c r="I741" t="b" cm="1">
        <f t="array" ref="I741">isDup(B741,B742, 0.7)</f>
        <v>0</v>
      </c>
    </row>
    <row r="742" spans="1:9" ht="17" x14ac:dyDescent="0.2">
      <c r="A742" t="s">
        <v>2214</v>
      </c>
      <c r="B742" s="1" t="s">
        <v>2215</v>
      </c>
      <c r="C742" t="s">
        <v>2216</v>
      </c>
      <c r="E742" t="b">
        <v>0</v>
      </c>
      <c r="F742">
        <v>9</v>
      </c>
      <c r="G742">
        <v>58</v>
      </c>
      <c r="H742" t="s">
        <v>1688</v>
      </c>
      <c r="I742" t="b" cm="1">
        <f t="array" ref="I742">isDup(B742,B743, 0.7)</f>
        <v>0</v>
      </c>
    </row>
    <row r="743" spans="1:9" ht="17" x14ac:dyDescent="0.2">
      <c r="A743" t="s">
        <v>3025</v>
      </c>
      <c r="B743" s="1" t="s">
        <v>3026</v>
      </c>
      <c r="C743" t="s">
        <v>3027</v>
      </c>
      <c r="D743" s="1" t="s">
        <v>3028</v>
      </c>
      <c r="E743" t="b">
        <v>0</v>
      </c>
      <c r="F743">
        <v>24</v>
      </c>
      <c r="G743">
        <v>105</v>
      </c>
      <c r="H743" t="s">
        <v>11</v>
      </c>
      <c r="I743" t="b" cm="1">
        <f t="array" ref="I743">isDup(B743,B744, 0.7)</f>
        <v>0</v>
      </c>
    </row>
    <row r="744" spans="1:9" ht="17" x14ac:dyDescent="0.2">
      <c r="A744" t="s">
        <v>3697</v>
      </c>
      <c r="B744" s="1" t="s">
        <v>3698</v>
      </c>
      <c r="C744" t="s">
        <v>726</v>
      </c>
      <c r="D744" s="1" t="s">
        <v>261</v>
      </c>
      <c r="E744" t="b">
        <v>0</v>
      </c>
      <c r="F744">
        <v>5477</v>
      </c>
      <c r="G744">
        <v>109</v>
      </c>
      <c r="H744" t="s">
        <v>11</v>
      </c>
      <c r="I744" t="b" cm="1">
        <f t="array" ref="I744">isDup(B744,B745, 0.7)</f>
        <v>0</v>
      </c>
    </row>
    <row r="745" spans="1:9" ht="34" x14ac:dyDescent="0.2">
      <c r="A745" t="s">
        <v>3783</v>
      </c>
      <c r="B745" s="1" t="s">
        <v>3784</v>
      </c>
      <c r="C745" t="s">
        <v>3785</v>
      </c>
      <c r="D745" s="1" t="s">
        <v>3786</v>
      </c>
      <c r="E745" t="b">
        <v>0</v>
      </c>
      <c r="F745">
        <v>85</v>
      </c>
      <c r="G745">
        <v>342</v>
      </c>
      <c r="H745" t="s">
        <v>11</v>
      </c>
      <c r="I745" t="b" cm="1">
        <f t="array" ref="I745">isDup(B745,B746, 0.7)</f>
        <v>0</v>
      </c>
    </row>
    <row r="746" spans="1:9" ht="17" x14ac:dyDescent="0.2">
      <c r="A746" t="s">
        <v>5580</v>
      </c>
      <c r="B746" s="1" t="s">
        <v>5581</v>
      </c>
      <c r="C746" t="s">
        <v>3706</v>
      </c>
      <c r="D746" s="1" t="s">
        <v>588</v>
      </c>
      <c r="E746" t="b">
        <v>0</v>
      </c>
      <c r="F746">
        <v>3454</v>
      </c>
      <c r="G746">
        <v>2616</v>
      </c>
      <c r="H746" t="s">
        <v>11</v>
      </c>
      <c r="I746" t="b" cm="1">
        <f t="array" ref="I746">isDup(B746,B747, 0.7)</f>
        <v>0</v>
      </c>
    </row>
    <row r="747" spans="1:9" ht="17" x14ac:dyDescent="0.2">
      <c r="A747" t="s">
        <v>5880</v>
      </c>
      <c r="B747" s="1" t="s">
        <v>5881</v>
      </c>
      <c r="C747" t="s">
        <v>5882</v>
      </c>
      <c r="D747" s="1" t="s">
        <v>4440</v>
      </c>
      <c r="E747" t="b">
        <v>0</v>
      </c>
      <c r="F747">
        <v>130</v>
      </c>
      <c r="G747">
        <v>225</v>
      </c>
      <c r="H747" t="s">
        <v>11</v>
      </c>
      <c r="I747" t="b" cm="1">
        <f t="array" ref="I747">isDup(B747,B748, 0.7)</f>
        <v>0</v>
      </c>
    </row>
    <row r="748" spans="1:9" ht="34" x14ac:dyDescent="0.2">
      <c r="A748" t="s">
        <v>1559</v>
      </c>
      <c r="B748" s="1" t="s">
        <v>1560</v>
      </c>
      <c r="C748" t="s">
        <v>1561</v>
      </c>
      <c r="D748" s="1" t="s">
        <v>2</v>
      </c>
      <c r="E748" t="b">
        <v>0</v>
      </c>
      <c r="F748">
        <v>1035</v>
      </c>
      <c r="G748">
        <v>803</v>
      </c>
      <c r="H748" t="s">
        <v>11</v>
      </c>
      <c r="I748" t="b" cm="1">
        <f t="array" ref="I748">isDup(B748,B749, 0.7)</f>
        <v>0</v>
      </c>
    </row>
    <row r="749" spans="1:9" ht="34" x14ac:dyDescent="0.2">
      <c r="A749" t="s">
        <v>4742</v>
      </c>
      <c r="B749" s="1" t="s">
        <v>4743</v>
      </c>
      <c r="C749" t="s">
        <v>2675</v>
      </c>
      <c r="D749" s="1" t="s">
        <v>2</v>
      </c>
      <c r="E749" t="b">
        <v>0</v>
      </c>
      <c r="F749">
        <v>88</v>
      </c>
      <c r="G749">
        <v>362</v>
      </c>
      <c r="H749" t="s">
        <v>11</v>
      </c>
      <c r="I749" t="b" cm="1">
        <f t="array" ref="I749">isDup(B749,B750, 0.7)</f>
        <v>0</v>
      </c>
    </row>
    <row r="750" spans="1:9" ht="17" x14ac:dyDescent="0.2">
      <c r="A750" t="s">
        <v>6422</v>
      </c>
      <c r="B750" s="1" t="s">
        <v>6423</v>
      </c>
      <c r="C750" t="s">
        <v>3774</v>
      </c>
      <c r="D750" s="1" t="s">
        <v>2</v>
      </c>
      <c r="E750" t="b">
        <v>0</v>
      </c>
      <c r="F750">
        <v>326</v>
      </c>
      <c r="G750">
        <v>249</v>
      </c>
      <c r="H750" t="s">
        <v>11</v>
      </c>
      <c r="I750" t="b" cm="1">
        <f t="array" ref="I750">isDup(B750,B751, 0.7)</f>
        <v>0</v>
      </c>
    </row>
    <row r="751" spans="1:9" ht="17" x14ac:dyDescent="0.2">
      <c r="A751" t="s">
        <v>408</v>
      </c>
      <c r="B751" s="1" t="s">
        <v>409</v>
      </c>
      <c r="C751" t="s">
        <v>410</v>
      </c>
      <c r="D751" s="1" t="s">
        <v>2</v>
      </c>
      <c r="E751" t="b">
        <v>0</v>
      </c>
      <c r="F751">
        <v>38</v>
      </c>
      <c r="G751">
        <v>284</v>
      </c>
      <c r="H751" t="s">
        <v>11</v>
      </c>
      <c r="I751" t="b" cm="1">
        <f t="array" ref="I751">isDup(B751,B752, 0.7)</f>
        <v>0</v>
      </c>
    </row>
    <row r="752" spans="1:9" ht="17" x14ac:dyDescent="0.2">
      <c r="A752" t="s">
        <v>1574</v>
      </c>
      <c r="B752" s="1" t="s">
        <v>1575</v>
      </c>
      <c r="C752" t="s">
        <v>1008</v>
      </c>
      <c r="D752" s="1" t="s">
        <v>1576</v>
      </c>
      <c r="E752" t="b">
        <v>0</v>
      </c>
      <c r="F752">
        <v>2715</v>
      </c>
      <c r="G752">
        <v>142</v>
      </c>
      <c r="H752" t="s">
        <v>11</v>
      </c>
      <c r="I752" t="b" cm="1">
        <f t="array" ref="I752">isDup(B752,B753, 0.7)</f>
        <v>0</v>
      </c>
    </row>
    <row r="753" spans="1:9" ht="34" x14ac:dyDescent="0.2">
      <c r="A753" t="s">
        <v>1440</v>
      </c>
      <c r="B753" s="1" t="s">
        <v>1441</v>
      </c>
      <c r="C753" t="s">
        <v>1442</v>
      </c>
      <c r="D753" s="1" t="s">
        <v>1443</v>
      </c>
      <c r="E753" t="b">
        <v>0</v>
      </c>
      <c r="F753">
        <v>308</v>
      </c>
      <c r="G753">
        <v>257</v>
      </c>
      <c r="H753" t="s">
        <v>11</v>
      </c>
      <c r="I753" t="b" cm="1">
        <f t="array" ref="I753">isDup(B753,B754, 0.7)</f>
        <v>0</v>
      </c>
    </row>
    <row r="754" spans="1:9" ht="17" x14ac:dyDescent="0.2">
      <c r="A754" t="s">
        <v>3409</v>
      </c>
      <c r="B754" s="1" t="s">
        <v>3410</v>
      </c>
      <c r="C754" t="s">
        <v>3411</v>
      </c>
      <c r="D754" s="1" t="s">
        <v>3412</v>
      </c>
      <c r="E754" t="b">
        <v>0</v>
      </c>
      <c r="F754">
        <v>117</v>
      </c>
      <c r="G754">
        <v>269</v>
      </c>
      <c r="H754" t="s">
        <v>11</v>
      </c>
      <c r="I754" t="b" cm="1">
        <f t="array" ref="I754">isDup(B754,B755, 0.7)</f>
        <v>0</v>
      </c>
    </row>
    <row r="755" spans="1:9" ht="17" x14ac:dyDescent="0.2">
      <c r="A755" t="s">
        <v>4437</v>
      </c>
      <c r="B755" s="1" t="s">
        <v>4438</v>
      </c>
      <c r="C755" t="s">
        <v>4439</v>
      </c>
      <c r="D755" s="1" t="s">
        <v>4440</v>
      </c>
      <c r="E755" t="b">
        <v>0</v>
      </c>
      <c r="F755">
        <v>70</v>
      </c>
      <c r="G755">
        <v>134</v>
      </c>
      <c r="H755" t="s">
        <v>11</v>
      </c>
      <c r="I755" t="b" cm="1">
        <f t="array" ref="I755">isDup(B755,B756, 0.7)</f>
        <v>0</v>
      </c>
    </row>
    <row r="756" spans="1:9" ht="17" x14ac:dyDescent="0.2">
      <c r="A756" t="s">
        <v>3286</v>
      </c>
      <c r="B756" s="1" t="s">
        <v>3288</v>
      </c>
      <c r="C756" t="s">
        <v>3289</v>
      </c>
      <c r="D756" s="1" t="s">
        <v>701</v>
      </c>
      <c r="E756" t="b">
        <v>0</v>
      </c>
      <c r="F756">
        <v>7</v>
      </c>
      <c r="G756">
        <v>32</v>
      </c>
      <c r="H756" t="s">
        <v>11</v>
      </c>
      <c r="I756" t="b" cm="1">
        <f t="array" ref="I756">isDup(B756,B757, 0.7)</f>
        <v>0</v>
      </c>
    </row>
    <row r="757" spans="1:9" ht="34" x14ac:dyDescent="0.2">
      <c r="A757" t="s">
        <v>4841</v>
      </c>
      <c r="B757" s="1" t="s">
        <v>4842</v>
      </c>
      <c r="C757" t="s">
        <v>985</v>
      </c>
      <c r="D757" s="1" t="s">
        <v>4843</v>
      </c>
      <c r="E757" t="b">
        <v>0</v>
      </c>
      <c r="F757">
        <v>94</v>
      </c>
      <c r="G757">
        <v>235</v>
      </c>
      <c r="H757" t="s">
        <v>11</v>
      </c>
      <c r="I757" t="b" cm="1">
        <f t="array" ref="I757">isDup(B757,B758, 0.7)</f>
        <v>0</v>
      </c>
    </row>
    <row r="758" spans="1:9" ht="17" x14ac:dyDescent="0.2">
      <c r="A758" t="s">
        <v>4603</v>
      </c>
      <c r="B758" s="1" t="s">
        <v>4604</v>
      </c>
      <c r="C758" t="s">
        <v>4605</v>
      </c>
      <c r="D758" s="1" t="s">
        <v>2</v>
      </c>
      <c r="E758" t="b">
        <v>0</v>
      </c>
      <c r="F758">
        <v>25</v>
      </c>
      <c r="G758">
        <v>139</v>
      </c>
      <c r="H758" t="s">
        <v>11</v>
      </c>
      <c r="I758" t="b" cm="1">
        <f t="array" ref="I758">isDup(B758,B759, 0.7)</f>
        <v>0</v>
      </c>
    </row>
    <row r="759" spans="1:9" ht="17" x14ac:dyDescent="0.2">
      <c r="A759" t="s">
        <v>2048</v>
      </c>
      <c r="B759" s="1" t="s">
        <v>2049</v>
      </c>
      <c r="C759" t="s">
        <v>2050</v>
      </c>
      <c r="D759" s="1" t="s">
        <v>2</v>
      </c>
      <c r="E759" t="b">
        <v>0</v>
      </c>
      <c r="F759">
        <v>2</v>
      </c>
      <c r="G759">
        <v>14</v>
      </c>
      <c r="H759" t="s">
        <v>11</v>
      </c>
      <c r="I759" t="b" cm="1">
        <f t="array" ref="I759">isDup(B759,B760, 0.7)</f>
        <v>0</v>
      </c>
    </row>
    <row r="760" spans="1:9" ht="34" x14ac:dyDescent="0.2">
      <c r="A760" t="s">
        <v>3849</v>
      </c>
      <c r="B760" s="1" t="s">
        <v>3850</v>
      </c>
      <c r="C760" t="s">
        <v>880</v>
      </c>
      <c r="D760" s="1" t="s">
        <v>2</v>
      </c>
      <c r="E760" t="b">
        <v>0</v>
      </c>
      <c r="F760">
        <v>216</v>
      </c>
      <c r="G760">
        <v>166</v>
      </c>
      <c r="H760" t="s">
        <v>11</v>
      </c>
      <c r="I760" t="b" cm="1">
        <f t="array" ref="I760">isDup(B760,B761, 0.7)</f>
        <v>0</v>
      </c>
    </row>
    <row r="761" spans="1:9" ht="17" x14ac:dyDescent="0.2">
      <c r="A761" t="s">
        <v>3892</v>
      </c>
      <c r="B761" s="1" t="s">
        <v>3893</v>
      </c>
      <c r="C761" t="s">
        <v>332</v>
      </c>
      <c r="D761" s="1" t="s">
        <v>1653</v>
      </c>
      <c r="E761" t="b">
        <v>0</v>
      </c>
      <c r="F761">
        <v>182</v>
      </c>
      <c r="G761">
        <v>838</v>
      </c>
      <c r="H761" t="s">
        <v>11</v>
      </c>
      <c r="I761" t="b" cm="1">
        <f t="array" ref="I761">isDup(B761,B762, 0.7)</f>
        <v>0</v>
      </c>
    </row>
    <row r="762" spans="1:9" ht="34" x14ac:dyDescent="0.2">
      <c r="A762" t="s">
        <v>6937</v>
      </c>
      <c r="B762" s="1" t="s">
        <v>6938</v>
      </c>
      <c r="C762" t="s">
        <v>3908</v>
      </c>
      <c r="D762" s="1" t="s">
        <v>6494</v>
      </c>
      <c r="E762" t="b">
        <v>0</v>
      </c>
      <c r="F762">
        <v>141</v>
      </c>
      <c r="G762">
        <v>439</v>
      </c>
      <c r="H762" t="s">
        <v>11</v>
      </c>
      <c r="I762" t="b" cm="1">
        <f t="array" ref="I762">isDup(B762,B763, 0.7)</f>
        <v>0</v>
      </c>
    </row>
    <row r="763" spans="1:9" ht="34" x14ac:dyDescent="0.2">
      <c r="A763" t="s">
        <v>1436</v>
      </c>
      <c r="B763" s="1" t="s">
        <v>1437</v>
      </c>
      <c r="C763" t="s">
        <v>181</v>
      </c>
      <c r="D763" s="1" t="s">
        <v>664</v>
      </c>
      <c r="E763" t="b">
        <v>1</v>
      </c>
      <c r="F763">
        <v>46263</v>
      </c>
      <c r="G763">
        <v>2125</v>
      </c>
      <c r="H763" t="s">
        <v>11</v>
      </c>
      <c r="I763" t="b" cm="1">
        <f t="array" ref="I763">isDup(B763,B764, 0.7)</f>
        <v>0</v>
      </c>
    </row>
    <row r="764" spans="1:9" ht="34" x14ac:dyDescent="0.2">
      <c r="A764" t="s">
        <v>5849</v>
      </c>
      <c r="B764" s="1" t="s">
        <v>5850</v>
      </c>
      <c r="C764" t="s">
        <v>992</v>
      </c>
      <c r="D764" s="1" t="s">
        <v>2</v>
      </c>
      <c r="E764" t="b">
        <v>0</v>
      </c>
      <c r="F764">
        <v>355</v>
      </c>
      <c r="G764">
        <v>880</v>
      </c>
      <c r="H764" t="s">
        <v>11</v>
      </c>
      <c r="I764" t="b" cm="1">
        <f t="array" ref="I764">isDup(B764,B765, 0.7)</f>
        <v>0</v>
      </c>
    </row>
    <row r="765" spans="1:9" ht="34" x14ac:dyDescent="0.2">
      <c r="A765" t="s">
        <v>3512</v>
      </c>
      <c r="B765" s="1" t="s">
        <v>3513</v>
      </c>
      <c r="C765" t="s">
        <v>3514</v>
      </c>
      <c r="D765" s="1" t="s">
        <v>2399</v>
      </c>
      <c r="E765" t="b">
        <v>0</v>
      </c>
      <c r="F765">
        <v>67</v>
      </c>
      <c r="G765">
        <v>44</v>
      </c>
      <c r="H765" t="s">
        <v>11</v>
      </c>
      <c r="I765" t="b" cm="1">
        <f t="array" ref="I765">isDup(B765,B766, 0.7)</f>
        <v>0</v>
      </c>
    </row>
    <row r="766" spans="1:9" ht="17" x14ac:dyDescent="0.2">
      <c r="A766" t="s">
        <v>5831</v>
      </c>
      <c r="B766" s="1" t="s">
        <v>5832</v>
      </c>
      <c r="C766" t="s">
        <v>5833</v>
      </c>
      <c r="D766" s="1" t="s">
        <v>2</v>
      </c>
      <c r="E766" t="b">
        <v>0</v>
      </c>
      <c r="F766">
        <v>53</v>
      </c>
      <c r="G766">
        <v>213</v>
      </c>
      <c r="H766" t="s">
        <v>11</v>
      </c>
      <c r="I766" t="b" cm="1">
        <f t="array" ref="I766">isDup(B766,B767, 0.7)</f>
        <v>0</v>
      </c>
    </row>
    <row r="767" spans="1:9" ht="17" x14ac:dyDescent="0.2">
      <c r="A767" t="s">
        <v>2865</v>
      </c>
      <c r="B767" s="1" t="s">
        <v>2866</v>
      </c>
      <c r="C767" t="s">
        <v>2867</v>
      </c>
      <c r="D767" s="1" t="s">
        <v>2</v>
      </c>
      <c r="E767" t="b">
        <v>0</v>
      </c>
      <c r="F767">
        <v>12</v>
      </c>
      <c r="G767">
        <v>85</v>
      </c>
      <c r="H767" t="s">
        <v>11</v>
      </c>
      <c r="I767" t="b" cm="1">
        <f t="array" ref="I767">isDup(B767,B768, 0.7)</f>
        <v>0</v>
      </c>
    </row>
    <row r="768" spans="1:9" ht="34" x14ac:dyDescent="0.2">
      <c r="A768" t="s">
        <v>474</v>
      </c>
      <c r="B768" s="1" t="s">
        <v>475</v>
      </c>
      <c r="C768" t="s">
        <v>476</v>
      </c>
      <c r="D768" s="1" t="s">
        <v>477</v>
      </c>
      <c r="E768" t="b">
        <v>0</v>
      </c>
      <c r="F768">
        <v>39</v>
      </c>
      <c r="G768">
        <v>179</v>
      </c>
      <c r="H768" t="s">
        <v>11</v>
      </c>
      <c r="I768" t="b" cm="1">
        <f t="array" ref="I768">isDup(B768,B769, 0.7)</f>
        <v>0</v>
      </c>
    </row>
    <row r="769" spans="1:9" ht="17" x14ac:dyDescent="0.2">
      <c r="A769" t="s">
        <v>3148</v>
      </c>
      <c r="B769" s="1" t="s">
        <v>3149</v>
      </c>
      <c r="C769" t="s">
        <v>3150</v>
      </c>
      <c r="D769" s="1" t="s">
        <v>19</v>
      </c>
      <c r="E769" t="b">
        <v>0</v>
      </c>
      <c r="F769">
        <v>241</v>
      </c>
      <c r="G769">
        <v>657</v>
      </c>
      <c r="H769" t="s">
        <v>83</v>
      </c>
      <c r="I769" t="b" cm="1">
        <f t="array" ref="I769">isDup(B769,B770, 0.7)</f>
        <v>0</v>
      </c>
    </row>
    <row r="770" spans="1:9" ht="17" x14ac:dyDescent="0.2">
      <c r="A770" t="s">
        <v>4108</v>
      </c>
      <c r="B770" s="1" t="s">
        <v>4109</v>
      </c>
      <c r="C770" t="s">
        <v>4110</v>
      </c>
      <c r="D770" s="1" t="s">
        <v>2</v>
      </c>
      <c r="E770" t="b">
        <v>0</v>
      </c>
      <c r="F770">
        <v>9</v>
      </c>
      <c r="G770">
        <v>57</v>
      </c>
      <c r="H770" t="s">
        <v>11</v>
      </c>
      <c r="I770" t="b" cm="1">
        <f t="array" ref="I770">isDup(B770,B771, 0.7)</f>
        <v>0</v>
      </c>
    </row>
    <row r="771" spans="1:9" ht="17" x14ac:dyDescent="0.2">
      <c r="A771" t="s">
        <v>3993</v>
      </c>
      <c r="B771" s="1" t="s">
        <v>3994</v>
      </c>
      <c r="C771" t="s">
        <v>3995</v>
      </c>
      <c r="D771" s="1" t="s">
        <v>3996</v>
      </c>
      <c r="E771" t="b">
        <v>0</v>
      </c>
      <c r="F771">
        <v>1914</v>
      </c>
      <c r="G771">
        <v>674</v>
      </c>
      <c r="H771" t="s">
        <v>11</v>
      </c>
      <c r="I771" t="b" cm="1">
        <f t="array" ref="I771">isDup(B771,B772, 0.7)</f>
        <v>0</v>
      </c>
    </row>
    <row r="772" spans="1:9" ht="17" x14ac:dyDescent="0.2">
      <c r="A772" t="s">
        <v>6472</v>
      </c>
      <c r="B772" s="1" t="s">
        <v>6473</v>
      </c>
      <c r="C772" t="s">
        <v>3321</v>
      </c>
      <c r="D772" s="1" t="s">
        <v>6474</v>
      </c>
      <c r="E772" t="b">
        <v>0</v>
      </c>
      <c r="F772">
        <v>332</v>
      </c>
      <c r="G772">
        <v>332</v>
      </c>
      <c r="H772" t="s">
        <v>11</v>
      </c>
      <c r="I772" t="b" cm="1">
        <f t="array" ref="I772">isDup(B772,B773, 0.7)</f>
        <v>0</v>
      </c>
    </row>
    <row r="773" spans="1:9" ht="17" x14ac:dyDescent="0.2">
      <c r="A773" t="s">
        <v>6709</v>
      </c>
      <c r="B773" s="1" t="s">
        <v>6710</v>
      </c>
      <c r="C773" t="s">
        <v>6711</v>
      </c>
      <c r="D773" s="1" t="s">
        <v>477</v>
      </c>
      <c r="E773" t="b">
        <v>0</v>
      </c>
      <c r="F773">
        <v>1905</v>
      </c>
      <c r="G773">
        <v>743</v>
      </c>
      <c r="H773" t="s">
        <v>11</v>
      </c>
      <c r="I773" t="b" cm="1">
        <f t="array" ref="I773">isDup(B773,B774, 0.7)</f>
        <v>0</v>
      </c>
    </row>
    <row r="774" spans="1:9" ht="17" x14ac:dyDescent="0.2">
      <c r="A774" t="s">
        <v>6841</v>
      </c>
      <c r="B774" s="1" t="s">
        <v>6842</v>
      </c>
      <c r="C774" t="s">
        <v>373</v>
      </c>
      <c r="D774" s="1" t="s">
        <v>2716</v>
      </c>
      <c r="E774" t="b">
        <v>0</v>
      </c>
      <c r="F774">
        <v>6</v>
      </c>
      <c r="G774">
        <v>14</v>
      </c>
      <c r="H774" t="s">
        <v>359</v>
      </c>
      <c r="I774" t="b" cm="1">
        <f t="array" ref="I774">isDup(B774,B775, 0.7)</f>
        <v>0</v>
      </c>
    </row>
    <row r="775" spans="1:9" ht="34" x14ac:dyDescent="0.2">
      <c r="A775" t="s">
        <v>7242</v>
      </c>
      <c r="B775" s="1" t="s">
        <v>7243</v>
      </c>
      <c r="C775" t="s">
        <v>222</v>
      </c>
      <c r="D775" s="1" t="s">
        <v>2</v>
      </c>
      <c r="E775" t="b">
        <v>0</v>
      </c>
      <c r="F775">
        <v>7083</v>
      </c>
      <c r="G775">
        <v>1380</v>
      </c>
      <c r="H775" t="s">
        <v>11</v>
      </c>
      <c r="I775" t="b" cm="1">
        <f t="array" ref="I775">isDup(B775,B776, 0.7)</f>
        <v>0</v>
      </c>
    </row>
    <row r="776" spans="1:9" ht="17" x14ac:dyDescent="0.2">
      <c r="A776" t="s">
        <v>450</v>
      </c>
      <c r="B776" s="1" t="s">
        <v>451</v>
      </c>
      <c r="C776" t="s">
        <v>173</v>
      </c>
      <c r="D776" s="1" t="s">
        <v>452</v>
      </c>
      <c r="E776" t="b">
        <v>0</v>
      </c>
      <c r="F776">
        <v>436</v>
      </c>
      <c r="G776">
        <v>3796</v>
      </c>
      <c r="H776" t="s">
        <v>11</v>
      </c>
      <c r="I776" t="b" cm="1">
        <f t="array" ref="I776">isDup(B776,B777, 0.7)</f>
        <v>0</v>
      </c>
    </row>
    <row r="777" spans="1:9" ht="17" x14ac:dyDescent="0.2">
      <c r="A777" t="s">
        <v>2091</v>
      </c>
      <c r="B777" s="1" t="s">
        <v>2093</v>
      </c>
      <c r="C777" t="s">
        <v>2094</v>
      </c>
      <c r="D777" s="1" t="s">
        <v>2095</v>
      </c>
      <c r="E777" t="b">
        <v>0</v>
      </c>
      <c r="F777">
        <v>86</v>
      </c>
      <c r="G777">
        <v>193</v>
      </c>
      <c r="H777" t="s">
        <v>11</v>
      </c>
      <c r="I777" t="b" cm="1">
        <f t="array" ref="I777">isDup(B777,B778, 0.7)</f>
        <v>0</v>
      </c>
    </row>
    <row r="778" spans="1:9" ht="17" x14ac:dyDescent="0.2">
      <c r="A778" t="s">
        <v>459</v>
      </c>
      <c r="B778" s="1" t="s">
        <v>460</v>
      </c>
      <c r="C778" t="s">
        <v>461</v>
      </c>
      <c r="D778" s="1" t="s">
        <v>2</v>
      </c>
      <c r="E778" t="b">
        <v>0</v>
      </c>
      <c r="F778">
        <v>18</v>
      </c>
      <c r="G778">
        <v>25</v>
      </c>
      <c r="H778" t="s">
        <v>11</v>
      </c>
      <c r="I778" t="b" cm="1">
        <f t="array" ref="I778">isDup(B778,B779, 0.7)</f>
        <v>0</v>
      </c>
    </row>
    <row r="779" spans="1:9" ht="17" x14ac:dyDescent="0.2">
      <c r="A779" t="s">
        <v>1792</v>
      </c>
      <c r="B779" s="1" t="s">
        <v>1793</v>
      </c>
      <c r="C779" t="s">
        <v>167</v>
      </c>
      <c r="D779" s="1" t="s">
        <v>1794</v>
      </c>
      <c r="E779" t="b">
        <v>0</v>
      </c>
      <c r="F779">
        <v>476</v>
      </c>
      <c r="G779">
        <v>180</v>
      </c>
      <c r="H779" t="s">
        <v>11</v>
      </c>
      <c r="I779" t="b" cm="1">
        <f t="array" ref="I779">isDup(B779,B780, 0.7)</f>
        <v>0</v>
      </c>
    </row>
    <row r="780" spans="1:9" ht="17" x14ac:dyDescent="0.2">
      <c r="A780" t="s">
        <v>1054</v>
      </c>
      <c r="B780" s="1" t="s">
        <v>1055</v>
      </c>
      <c r="C780" t="s">
        <v>125</v>
      </c>
      <c r="D780" s="1" t="s">
        <v>2</v>
      </c>
      <c r="E780" t="b">
        <v>0</v>
      </c>
      <c r="F780">
        <v>6778</v>
      </c>
      <c r="G780">
        <v>7171</v>
      </c>
      <c r="H780" t="s">
        <v>11</v>
      </c>
      <c r="I780" t="b" cm="1">
        <f t="array" ref="I780">isDup(B780,B781, 0.7)</f>
        <v>0</v>
      </c>
    </row>
    <row r="781" spans="1:9" ht="17" x14ac:dyDescent="0.2">
      <c r="A781" t="s">
        <v>134</v>
      </c>
      <c r="B781" s="1" t="s">
        <v>135</v>
      </c>
      <c r="C781" t="s">
        <v>136</v>
      </c>
      <c r="D781" s="1" t="s">
        <v>2</v>
      </c>
      <c r="E781" t="b">
        <v>0</v>
      </c>
      <c r="F781">
        <v>60</v>
      </c>
      <c r="G781">
        <v>475</v>
      </c>
      <c r="H781" t="s">
        <v>11</v>
      </c>
      <c r="I781" t="b" cm="1">
        <f t="array" ref="I781">isDup(B781,B782, 0.7)</f>
        <v>0</v>
      </c>
    </row>
    <row r="782" spans="1:9" ht="17" x14ac:dyDescent="0.2">
      <c r="A782" t="s">
        <v>4662</v>
      </c>
      <c r="B782" s="1" t="s">
        <v>4663</v>
      </c>
      <c r="C782" t="s">
        <v>4664</v>
      </c>
      <c r="D782" s="1" t="s">
        <v>4665</v>
      </c>
      <c r="E782" t="b">
        <v>0</v>
      </c>
      <c r="F782">
        <v>1711</v>
      </c>
      <c r="G782">
        <v>1323</v>
      </c>
      <c r="H782" t="s">
        <v>11</v>
      </c>
      <c r="I782" t="b" cm="1">
        <f t="array" ref="I782">isDup(B782,B783, 0.7)</f>
        <v>0</v>
      </c>
    </row>
    <row r="783" spans="1:9" ht="17" x14ac:dyDescent="0.2">
      <c r="A783" t="s">
        <v>2414</v>
      </c>
      <c r="B783" s="1" t="s">
        <v>2415</v>
      </c>
      <c r="C783" t="s">
        <v>1405</v>
      </c>
      <c r="D783" s="1" t="s">
        <v>61</v>
      </c>
      <c r="E783" t="b">
        <v>0</v>
      </c>
      <c r="F783">
        <v>357</v>
      </c>
      <c r="G783">
        <v>2284</v>
      </c>
      <c r="H783" t="s">
        <v>11</v>
      </c>
      <c r="I783" t="b" cm="1">
        <f t="array" ref="I783">isDup(B783,B784, 0.7)</f>
        <v>0</v>
      </c>
    </row>
    <row r="784" spans="1:9" ht="34" x14ac:dyDescent="0.2">
      <c r="A784" t="s">
        <v>32</v>
      </c>
      <c r="B784" s="1" t="s">
        <v>33</v>
      </c>
      <c r="C784" t="s">
        <v>34</v>
      </c>
      <c r="D784" s="1" t="s">
        <v>35</v>
      </c>
      <c r="E784" t="b">
        <v>1</v>
      </c>
      <c r="F784">
        <v>38820</v>
      </c>
      <c r="G784">
        <v>2224</v>
      </c>
      <c r="H784" t="s">
        <v>11</v>
      </c>
      <c r="I784" t="b" cm="1">
        <f t="array" ref="I784">isDup(B784,B785, 0.7)</f>
        <v>0</v>
      </c>
    </row>
    <row r="785" spans="1:9" ht="17" x14ac:dyDescent="0.2">
      <c r="A785" t="s">
        <v>7118</v>
      </c>
      <c r="B785" s="1" t="s">
        <v>7119</v>
      </c>
      <c r="C785" t="s">
        <v>2740</v>
      </c>
      <c r="D785" s="1" t="s">
        <v>3539</v>
      </c>
      <c r="E785" t="b">
        <v>0</v>
      </c>
      <c r="F785">
        <v>1080</v>
      </c>
      <c r="G785">
        <v>935</v>
      </c>
      <c r="H785" t="s">
        <v>11</v>
      </c>
      <c r="I785" t="b" cm="1">
        <f t="array" ref="I785">isDup(B785,B786, 0.7)</f>
        <v>0</v>
      </c>
    </row>
    <row r="786" spans="1:9" ht="34" x14ac:dyDescent="0.2">
      <c r="A786" t="s">
        <v>4123</v>
      </c>
      <c r="B786" s="1" t="s">
        <v>4124</v>
      </c>
      <c r="C786" t="s">
        <v>554</v>
      </c>
      <c r="D786" s="1" t="s">
        <v>4125</v>
      </c>
      <c r="E786" t="b">
        <v>0</v>
      </c>
      <c r="F786">
        <v>249</v>
      </c>
      <c r="G786">
        <v>299</v>
      </c>
      <c r="H786" t="s">
        <v>11</v>
      </c>
      <c r="I786" t="b" cm="1">
        <f t="array" ref="I786">isDup(B786,B787, 0.7)</f>
        <v>0</v>
      </c>
    </row>
    <row r="787" spans="1:9" ht="17" x14ac:dyDescent="0.2">
      <c r="A787" t="s">
        <v>1164</v>
      </c>
      <c r="B787" s="1" t="s">
        <v>1166</v>
      </c>
      <c r="C787" t="s">
        <v>992</v>
      </c>
      <c r="D787" s="1" t="s">
        <v>1167</v>
      </c>
      <c r="E787" t="b">
        <v>0</v>
      </c>
      <c r="F787">
        <v>360</v>
      </c>
      <c r="G787">
        <v>248</v>
      </c>
      <c r="H787" t="s">
        <v>11</v>
      </c>
      <c r="I787" t="b" cm="1">
        <f t="array" ref="I787">isDup(B787,B788, 0.7)</f>
        <v>0</v>
      </c>
    </row>
    <row r="788" spans="1:9" ht="17" x14ac:dyDescent="0.2">
      <c r="A788" t="s">
        <v>5992</v>
      </c>
      <c r="B788" s="1" t="s">
        <v>5993</v>
      </c>
      <c r="C788" t="s">
        <v>5994</v>
      </c>
      <c r="D788" s="1" t="s">
        <v>5995</v>
      </c>
      <c r="E788" t="b">
        <v>0</v>
      </c>
      <c r="F788">
        <v>838</v>
      </c>
      <c r="G788">
        <v>740</v>
      </c>
      <c r="H788" t="s">
        <v>11</v>
      </c>
      <c r="I788" t="b" cm="1">
        <f t="array" ref="I788">isDup(B788,B789, 0.7)</f>
        <v>0</v>
      </c>
    </row>
    <row r="789" spans="1:9" ht="17" x14ac:dyDescent="0.2">
      <c r="A789" t="s">
        <v>2416</v>
      </c>
      <c r="B789" s="1" t="s">
        <v>2417</v>
      </c>
      <c r="C789" t="s">
        <v>587</v>
      </c>
      <c r="D789" s="1" t="s">
        <v>2418</v>
      </c>
      <c r="E789" t="b">
        <v>0</v>
      </c>
      <c r="F789">
        <v>691</v>
      </c>
      <c r="G789">
        <v>221</v>
      </c>
      <c r="H789" t="s">
        <v>11</v>
      </c>
      <c r="I789" t="b" cm="1">
        <f t="array" ref="I789">isDup(B789,B790, 0.7)</f>
        <v>0</v>
      </c>
    </row>
    <row r="790" spans="1:9" ht="34" x14ac:dyDescent="0.2">
      <c r="A790" t="s">
        <v>4391</v>
      </c>
      <c r="B790" s="1" t="s">
        <v>4392</v>
      </c>
      <c r="C790" t="s">
        <v>1058</v>
      </c>
      <c r="D790" s="1" t="s">
        <v>2</v>
      </c>
      <c r="E790" t="b">
        <v>0</v>
      </c>
      <c r="F790">
        <v>2514</v>
      </c>
      <c r="G790">
        <v>3016</v>
      </c>
      <c r="H790" t="s">
        <v>31</v>
      </c>
      <c r="I790" t="b" cm="1">
        <f t="array" ref="I790">isDup(B790,B791, 0.7)</f>
        <v>0</v>
      </c>
    </row>
    <row r="791" spans="1:9" ht="17" x14ac:dyDescent="0.2">
      <c r="A791" t="s">
        <v>2537</v>
      </c>
      <c r="B791" s="1" t="s">
        <v>2538</v>
      </c>
      <c r="C791" t="s">
        <v>2539</v>
      </c>
      <c r="D791" s="1" t="s">
        <v>2</v>
      </c>
      <c r="E791" t="b">
        <v>0</v>
      </c>
      <c r="F791">
        <v>19</v>
      </c>
      <c r="G791">
        <v>43</v>
      </c>
      <c r="H791" t="s">
        <v>11</v>
      </c>
      <c r="I791" t="b" cm="1">
        <f t="array" ref="I791">isDup(B791,B792, 0.7)</f>
        <v>0</v>
      </c>
    </row>
    <row r="792" spans="1:9" ht="17" x14ac:dyDescent="0.2">
      <c r="A792" t="s">
        <v>4505</v>
      </c>
      <c r="B792" s="1" t="s">
        <v>4506</v>
      </c>
      <c r="C792" t="s">
        <v>1263</v>
      </c>
      <c r="D792" s="1" t="s">
        <v>2</v>
      </c>
      <c r="E792" t="b">
        <v>0</v>
      </c>
      <c r="F792">
        <v>450</v>
      </c>
      <c r="G792">
        <v>977</v>
      </c>
      <c r="H792" t="s">
        <v>11</v>
      </c>
      <c r="I792" t="b" cm="1">
        <f t="array" ref="I792">isDup(B792,B793, 0.7)</f>
        <v>0</v>
      </c>
    </row>
    <row r="793" spans="1:9" ht="34" x14ac:dyDescent="0.2">
      <c r="A793" t="s">
        <v>4090</v>
      </c>
      <c r="B793" s="1" t="s">
        <v>4091</v>
      </c>
      <c r="C793" t="s">
        <v>173</v>
      </c>
      <c r="D793" s="1" t="s">
        <v>2</v>
      </c>
      <c r="E793" t="b">
        <v>0</v>
      </c>
      <c r="F793">
        <v>137</v>
      </c>
      <c r="G793">
        <v>180</v>
      </c>
      <c r="H793" t="s">
        <v>11</v>
      </c>
      <c r="I793" t="b" cm="1">
        <f t="array" ref="I793">isDup(B793,B794, 0.7)</f>
        <v>0</v>
      </c>
    </row>
    <row r="794" spans="1:9" ht="17" x14ac:dyDescent="0.2">
      <c r="A794" t="s">
        <v>2070</v>
      </c>
      <c r="B794" s="1" t="s">
        <v>2071</v>
      </c>
      <c r="C794" t="s">
        <v>297</v>
      </c>
      <c r="D794" s="1" t="s">
        <v>2072</v>
      </c>
      <c r="E794" t="b">
        <v>0</v>
      </c>
      <c r="F794">
        <v>176</v>
      </c>
      <c r="G794">
        <v>433</v>
      </c>
      <c r="H794" t="s">
        <v>11</v>
      </c>
      <c r="I794" t="b" cm="1">
        <f t="array" ref="I794">isDup(B794,B795, 0.7)</f>
        <v>0</v>
      </c>
    </row>
    <row r="795" spans="1:9" ht="17" x14ac:dyDescent="0.2">
      <c r="A795" t="s">
        <v>962</v>
      </c>
      <c r="B795" s="1" t="s">
        <v>963</v>
      </c>
      <c r="C795" t="s">
        <v>222</v>
      </c>
      <c r="D795" s="1" t="s">
        <v>223</v>
      </c>
      <c r="E795" t="b">
        <v>0</v>
      </c>
      <c r="F795">
        <v>9223</v>
      </c>
      <c r="G795">
        <v>7169</v>
      </c>
      <c r="H795" t="s">
        <v>11</v>
      </c>
      <c r="I795" t="b" cm="1">
        <f t="array" ref="I795">isDup(B795,B796, 0.7)</f>
        <v>0</v>
      </c>
    </row>
    <row r="796" spans="1:9" ht="34" x14ac:dyDescent="0.2">
      <c r="A796" t="s">
        <v>4633</v>
      </c>
      <c r="B796" s="1" t="s">
        <v>4634</v>
      </c>
      <c r="C796" t="s">
        <v>1263</v>
      </c>
      <c r="D796" s="1" t="s">
        <v>2276</v>
      </c>
      <c r="E796" t="b">
        <v>0</v>
      </c>
      <c r="F796">
        <v>1102</v>
      </c>
      <c r="G796">
        <v>431</v>
      </c>
      <c r="H796" t="s">
        <v>11</v>
      </c>
      <c r="I796" t="b" cm="1">
        <f t="array" ref="I796">isDup(B796,B797, 0.7)</f>
        <v>0</v>
      </c>
    </row>
    <row r="797" spans="1:9" ht="17" x14ac:dyDescent="0.2">
      <c r="A797" t="s">
        <v>6144</v>
      </c>
      <c r="B797" s="1" t="s">
        <v>6145</v>
      </c>
      <c r="C797" t="s">
        <v>6146</v>
      </c>
      <c r="D797" s="1" t="s">
        <v>6147</v>
      </c>
      <c r="E797" t="b">
        <v>0</v>
      </c>
      <c r="F797">
        <v>352</v>
      </c>
      <c r="G797">
        <v>589</v>
      </c>
      <c r="H797" t="s">
        <v>11</v>
      </c>
      <c r="I797" t="b" cm="1">
        <f t="array" ref="I797">isDup(B797,B798, 0.7)</f>
        <v>0</v>
      </c>
    </row>
    <row r="798" spans="1:9" ht="17" x14ac:dyDescent="0.2">
      <c r="A798" t="s">
        <v>6535</v>
      </c>
      <c r="B798" s="1" t="s">
        <v>6536</v>
      </c>
      <c r="C798" t="s">
        <v>6537</v>
      </c>
      <c r="D798" s="1" t="s">
        <v>2</v>
      </c>
      <c r="E798" t="b">
        <v>0</v>
      </c>
      <c r="F798">
        <v>50</v>
      </c>
      <c r="G798">
        <v>130</v>
      </c>
      <c r="H798" t="s">
        <v>262</v>
      </c>
      <c r="I798" t="b" cm="1">
        <f t="array" ref="I798">isDup(B798,B799, 0.7)</f>
        <v>0</v>
      </c>
    </row>
    <row r="799" spans="1:9" ht="17" x14ac:dyDescent="0.2">
      <c r="A799" t="s">
        <v>4113</v>
      </c>
      <c r="B799" s="1" t="s">
        <v>4114</v>
      </c>
      <c r="C799" t="s">
        <v>4115</v>
      </c>
      <c r="D799" s="1" t="s">
        <v>4116</v>
      </c>
      <c r="E799" t="b">
        <v>0</v>
      </c>
      <c r="F799">
        <v>1536</v>
      </c>
      <c r="G799">
        <v>3077</v>
      </c>
      <c r="H799" t="s">
        <v>11</v>
      </c>
      <c r="I799" t="b" cm="1">
        <f t="array" ref="I799">isDup(B799,B800, 0.7)</f>
        <v>0</v>
      </c>
    </row>
    <row r="800" spans="1:9" ht="17" x14ac:dyDescent="0.2">
      <c r="A800" t="s">
        <v>4950</v>
      </c>
      <c r="B800" s="1" t="s">
        <v>4951</v>
      </c>
      <c r="C800" t="s">
        <v>529</v>
      </c>
      <c r="D800" s="1" t="s">
        <v>4952</v>
      </c>
      <c r="E800" t="b">
        <v>0</v>
      </c>
      <c r="F800">
        <v>22095</v>
      </c>
      <c r="G800">
        <v>273</v>
      </c>
      <c r="H800" t="s">
        <v>11</v>
      </c>
      <c r="I800" t="b" cm="1">
        <f t="array" ref="I800">isDup(B800,B801, 0.7)</f>
        <v>0</v>
      </c>
    </row>
    <row r="801" spans="1:9" ht="17" x14ac:dyDescent="0.2">
      <c r="A801" t="s">
        <v>4653</v>
      </c>
      <c r="B801" s="1" t="s">
        <v>4654</v>
      </c>
      <c r="C801" t="s">
        <v>4655</v>
      </c>
      <c r="D801" s="1" t="s">
        <v>4656</v>
      </c>
      <c r="E801" t="b">
        <v>0</v>
      </c>
      <c r="F801">
        <v>5169</v>
      </c>
      <c r="G801">
        <v>2709</v>
      </c>
      <c r="H801" t="s">
        <v>11</v>
      </c>
      <c r="I801" t="b" cm="1">
        <f t="array" ref="I801">isDup(B801,B802, 0.7)</f>
        <v>0</v>
      </c>
    </row>
    <row r="802" spans="1:9" ht="17" x14ac:dyDescent="0.2">
      <c r="A802" t="s">
        <v>4242</v>
      </c>
      <c r="B802" s="1" t="s">
        <v>4243</v>
      </c>
      <c r="C802" t="s">
        <v>244</v>
      </c>
      <c r="D802" s="1" t="s">
        <v>4244</v>
      </c>
      <c r="E802" t="b">
        <v>0</v>
      </c>
      <c r="F802">
        <v>767</v>
      </c>
      <c r="G802">
        <v>605</v>
      </c>
      <c r="H802" t="s">
        <v>11</v>
      </c>
      <c r="I802" t="b" cm="1">
        <f t="array" ref="I802">isDup(B802,B803, 0.7)</f>
        <v>1</v>
      </c>
    </row>
    <row r="803" spans="1:9" ht="17" x14ac:dyDescent="0.2">
      <c r="A803" t="s">
        <v>2517</v>
      </c>
      <c r="B803" s="1" t="s">
        <v>2518</v>
      </c>
      <c r="C803" t="s">
        <v>121</v>
      </c>
      <c r="D803" s="1" t="s">
        <v>2</v>
      </c>
      <c r="E803" t="b">
        <v>0</v>
      </c>
      <c r="F803">
        <v>218</v>
      </c>
      <c r="G803">
        <v>126</v>
      </c>
      <c r="H803" t="s">
        <v>122</v>
      </c>
      <c r="I803" t="b" cm="1">
        <f t="array" ref="I803">isDup(B803,B804, 0.7)</f>
        <v>0</v>
      </c>
    </row>
    <row r="804" spans="1:9" ht="34" x14ac:dyDescent="0.2">
      <c r="A804" t="s">
        <v>1071</v>
      </c>
      <c r="B804" s="1" t="s">
        <v>1072</v>
      </c>
      <c r="C804" t="s">
        <v>607</v>
      </c>
      <c r="D804" s="1" t="s">
        <v>1073</v>
      </c>
      <c r="E804" t="b">
        <v>0</v>
      </c>
      <c r="F804">
        <v>0</v>
      </c>
      <c r="G804">
        <v>32</v>
      </c>
      <c r="H804" t="s">
        <v>641</v>
      </c>
      <c r="I804" t="b" cm="1">
        <f t="array" ref="I804">isDup(B804,B805, 0.7)</f>
        <v>0</v>
      </c>
    </row>
    <row r="805" spans="1:9" ht="17" x14ac:dyDescent="0.2">
      <c r="A805" t="s">
        <v>7183</v>
      </c>
      <c r="B805" s="1" t="s">
        <v>7184</v>
      </c>
      <c r="C805" t="s">
        <v>186</v>
      </c>
      <c r="D805" s="1" t="s">
        <v>2</v>
      </c>
      <c r="E805" t="b">
        <v>0</v>
      </c>
      <c r="F805">
        <v>2866</v>
      </c>
      <c r="G805">
        <v>6</v>
      </c>
      <c r="H805" t="s">
        <v>11</v>
      </c>
      <c r="I805" t="b" cm="1">
        <f t="array" ref="I805">isDup(B805,B806, 0.7)</f>
        <v>1</v>
      </c>
    </row>
    <row r="806" spans="1:9" ht="17" x14ac:dyDescent="0.2">
      <c r="A806" t="s">
        <v>6950</v>
      </c>
      <c r="B806" s="1" t="s">
        <v>6951</v>
      </c>
      <c r="C806" t="s">
        <v>186</v>
      </c>
      <c r="D806" s="1" t="s">
        <v>2</v>
      </c>
      <c r="E806" t="b">
        <v>0</v>
      </c>
      <c r="F806">
        <v>2866</v>
      </c>
      <c r="G806">
        <v>6</v>
      </c>
      <c r="H806" t="s">
        <v>11</v>
      </c>
      <c r="I806" t="b" cm="1">
        <f t="array" ref="I806">isDup(B806,B807, 0.7)</f>
        <v>1</v>
      </c>
    </row>
    <row r="807" spans="1:9" ht="17" x14ac:dyDescent="0.2">
      <c r="A807" t="s">
        <v>3691</v>
      </c>
      <c r="B807" s="1" t="s">
        <v>3692</v>
      </c>
      <c r="C807" t="s">
        <v>186</v>
      </c>
      <c r="D807" s="1" t="s">
        <v>2</v>
      </c>
      <c r="E807" t="b">
        <v>0</v>
      </c>
      <c r="F807">
        <v>2868</v>
      </c>
      <c r="G807">
        <v>6</v>
      </c>
      <c r="H807" t="s">
        <v>11</v>
      </c>
      <c r="I807" t="b" cm="1">
        <f t="array" ref="I807">isDup(B807,B808, 0.7)</f>
        <v>1</v>
      </c>
    </row>
    <row r="808" spans="1:9" ht="17" x14ac:dyDescent="0.2">
      <c r="A808" t="s">
        <v>6127</v>
      </c>
      <c r="B808" s="1" t="s">
        <v>6128</v>
      </c>
      <c r="C808" t="s">
        <v>186</v>
      </c>
      <c r="D808" s="1" t="s">
        <v>2</v>
      </c>
      <c r="E808" t="b">
        <v>0</v>
      </c>
      <c r="F808">
        <v>2868</v>
      </c>
      <c r="G808">
        <v>6</v>
      </c>
      <c r="H808" t="s">
        <v>11</v>
      </c>
      <c r="I808" t="b" cm="1">
        <f t="array" ref="I808">isDup(B808,B809, 0.7)</f>
        <v>1</v>
      </c>
    </row>
    <row r="809" spans="1:9" ht="17" x14ac:dyDescent="0.2">
      <c r="A809" t="s">
        <v>3405</v>
      </c>
      <c r="B809" s="1" t="s">
        <v>3406</v>
      </c>
      <c r="C809" t="s">
        <v>186</v>
      </c>
      <c r="D809" s="1" t="s">
        <v>2</v>
      </c>
      <c r="E809" t="b">
        <v>0</v>
      </c>
      <c r="F809">
        <v>2868</v>
      </c>
      <c r="G809">
        <v>6</v>
      </c>
      <c r="H809" t="s">
        <v>11</v>
      </c>
      <c r="I809" t="b" cm="1">
        <f t="array" ref="I809">isDup(B809,B810, 0.7)</f>
        <v>1</v>
      </c>
    </row>
    <row r="810" spans="1:9" ht="17" x14ac:dyDescent="0.2">
      <c r="A810" t="s">
        <v>4855</v>
      </c>
      <c r="B810" s="1" t="s">
        <v>4856</v>
      </c>
      <c r="C810" t="s">
        <v>186</v>
      </c>
      <c r="D810" s="1" t="s">
        <v>2</v>
      </c>
      <c r="E810" t="b">
        <v>0</v>
      </c>
      <c r="F810">
        <v>2868</v>
      </c>
      <c r="G810">
        <v>6</v>
      </c>
      <c r="H810" t="s">
        <v>11</v>
      </c>
      <c r="I810" t="b" cm="1">
        <f t="array" ref="I810">isDup(B810,B811, 0.7)</f>
        <v>1</v>
      </c>
    </row>
    <row r="811" spans="1:9" ht="17" x14ac:dyDescent="0.2">
      <c r="A811" t="s">
        <v>3032</v>
      </c>
      <c r="B811" s="1" t="s">
        <v>3033</v>
      </c>
      <c r="C811" t="s">
        <v>186</v>
      </c>
      <c r="D811" s="1" t="s">
        <v>2</v>
      </c>
      <c r="E811" t="b">
        <v>0</v>
      </c>
      <c r="F811">
        <v>2868</v>
      </c>
      <c r="G811">
        <v>6</v>
      </c>
      <c r="H811" t="s">
        <v>11</v>
      </c>
      <c r="I811" t="b" cm="1">
        <f t="array" ref="I811">isDup(B811,B812, 0.7)</f>
        <v>1</v>
      </c>
    </row>
    <row r="812" spans="1:9" ht="17" x14ac:dyDescent="0.2">
      <c r="A812" t="s">
        <v>293</v>
      </c>
      <c r="B812" s="1" t="s">
        <v>294</v>
      </c>
      <c r="C812" t="s">
        <v>186</v>
      </c>
      <c r="D812" s="1" t="s">
        <v>2</v>
      </c>
      <c r="E812" t="b">
        <v>0</v>
      </c>
      <c r="F812">
        <v>2866</v>
      </c>
      <c r="G812">
        <v>6</v>
      </c>
      <c r="H812" t="s">
        <v>11</v>
      </c>
      <c r="I812" t="b" cm="1">
        <f t="array" ref="I812">isDup(B812,B813, 0.7)</f>
        <v>1</v>
      </c>
    </row>
    <row r="813" spans="1:9" ht="17" x14ac:dyDescent="0.2">
      <c r="A813" t="s">
        <v>547</v>
      </c>
      <c r="B813" s="1" t="s">
        <v>548</v>
      </c>
      <c r="C813" t="s">
        <v>186</v>
      </c>
      <c r="D813" s="1" t="s">
        <v>2</v>
      </c>
      <c r="E813" t="b">
        <v>0</v>
      </c>
      <c r="F813">
        <v>2866</v>
      </c>
      <c r="G813">
        <v>6</v>
      </c>
      <c r="H813" t="s">
        <v>11</v>
      </c>
      <c r="I813" t="b" cm="1">
        <f t="array" ref="I813">isDup(B813,B814, 0.7)</f>
        <v>1</v>
      </c>
    </row>
    <row r="814" spans="1:9" ht="17" x14ac:dyDescent="0.2">
      <c r="A814" t="s">
        <v>5435</v>
      </c>
      <c r="B814" s="1" t="s">
        <v>5436</v>
      </c>
      <c r="C814" t="s">
        <v>186</v>
      </c>
      <c r="D814" s="1" t="s">
        <v>2</v>
      </c>
      <c r="E814" t="b">
        <v>0</v>
      </c>
      <c r="F814">
        <v>2868</v>
      </c>
      <c r="G814">
        <v>6</v>
      </c>
      <c r="H814" t="s">
        <v>11</v>
      </c>
      <c r="I814" t="b" cm="1">
        <f t="array" ref="I814">isDup(B814,B815, 0.7)</f>
        <v>1</v>
      </c>
    </row>
    <row r="815" spans="1:9" ht="17" x14ac:dyDescent="0.2">
      <c r="A815" t="s">
        <v>184</v>
      </c>
      <c r="B815" s="1" t="s">
        <v>185</v>
      </c>
      <c r="C815" t="s">
        <v>186</v>
      </c>
      <c r="D815" s="1" t="s">
        <v>2</v>
      </c>
      <c r="E815" t="b">
        <v>0</v>
      </c>
      <c r="F815">
        <v>2866</v>
      </c>
      <c r="G815">
        <v>6</v>
      </c>
      <c r="H815" t="s">
        <v>11</v>
      </c>
      <c r="I815" t="b" cm="1">
        <f t="array" ref="I815">isDup(B815,B816, 0.7)</f>
        <v>1</v>
      </c>
    </row>
    <row r="816" spans="1:9" ht="17" x14ac:dyDescent="0.2">
      <c r="A816" t="s">
        <v>3866</v>
      </c>
      <c r="B816" s="1" t="s">
        <v>3867</v>
      </c>
      <c r="C816" t="s">
        <v>186</v>
      </c>
      <c r="D816" s="1" t="s">
        <v>2</v>
      </c>
      <c r="E816" t="b">
        <v>0</v>
      </c>
      <c r="F816">
        <v>2868</v>
      </c>
      <c r="G816">
        <v>6</v>
      </c>
      <c r="H816" t="s">
        <v>11</v>
      </c>
      <c r="I816" t="b" cm="1">
        <f t="array" ref="I816">isDup(B816,B817, 0.7)</f>
        <v>1</v>
      </c>
    </row>
    <row r="817" spans="1:9" ht="17" x14ac:dyDescent="0.2">
      <c r="A817" t="s">
        <v>5607</v>
      </c>
      <c r="B817" s="1" t="s">
        <v>5608</v>
      </c>
      <c r="C817" t="s">
        <v>186</v>
      </c>
      <c r="D817" s="1" t="s">
        <v>2</v>
      </c>
      <c r="E817" t="b">
        <v>0</v>
      </c>
      <c r="F817">
        <v>2868</v>
      </c>
      <c r="G817">
        <v>6</v>
      </c>
      <c r="H817" t="s">
        <v>11</v>
      </c>
      <c r="I817" t="b" cm="1">
        <f t="array" ref="I817">isDup(B817,B818, 0.7)</f>
        <v>1</v>
      </c>
    </row>
    <row r="818" spans="1:9" ht="17" x14ac:dyDescent="0.2">
      <c r="A818" t="s">
        <v>2118</v>
      </c>
      <c r="B818" s="1" t="s">
        <v>2119</v>
      </c>
      <c r="C818" t="s">
        <v>186</v>
      </c>
      <c r="D818" s="1" t="s">
        <v>2</v>
      </c>
      <c r="E818" t="b">
        <v>0</v>
      </c>
      <c r="F818">
        <v>2867</v>
      </c>
      <c r="G818">
        <v>6</v>
      </c>
      <c r="H818" t="s">
        <v>11</v>
      </c>
      <c r="I818" t="b" cm="1">
        <f t="array" ref="I818">isDup(B818,B819, 0.7)</f>
        <v>1</v>
      </c>
    </row>
    <row r="819" spans="1:9" ht="17" x14ac:dyDescent="0.2">
      <c r="A819" t="s">
        <v>2718</v>
      </c>
      <c r="B819" s="1" t="s">
        <v>2719</v>
      </c>
      <c r="C819" t="s">
        <v>186</v>
      </c>
      <c r="D819" s="1" t="s">
        <v>2</v>
      </c>
      <c r="E819" t="b">
        <v>0</v>
      </c>
      <c r="F819">
        <v>2868</v>
      </c>
      <c r="G819">
        <v>6</v>
      </c>
      <c r="H819" t="s">
        <v>11</v>
      </c>
      <c r="I819" t="b" cm="1">
        <f t="array" ref="I819">isDup(B819,B820, 0.7)</f>
        <v>1</v>
      </c>
    </row>
    <row r="820" spans="1:9" ht="17" x14ac:dyDescent="0.2">
      <c r="A820" t="s">
        <v>6511</v>
      </c>
      <c r="B820" s="1" t="s">
        <v>6513</v>
      </c>
      <c r="C820" t="s">
        <v>186</v>
      </c>
      <c r="D820" s="1" t="s">
        <v>2</v>
      </c>
      <c r="E820" t="b">
        <v>0</v>
      </c>
      <c r="F820">
        <v>2868</v>
      </c>
      <c r="G820">
        <v>6</v>
      </c>
      <c r="H820" t="s">
        <v>11</v>
      </c>
      <c r="I820" t="b" cm="1">
        <f t="array" ref="I820">isDup(B820,B821, 0.7)</f>
        <v>1</v>
      </c>
    </row>
    <row r="821" spans="1:9" ht="17" x14ac:dyDescent="0.2">
      <c r="A821" t="s">
        <v>1740</v>
      </c>
      <c r="B821" s="1" t="s">
        <v>1741</v>
      </c>
      <c r="C821" t="s">
        <v>186</v>
      </c>
      <c r="D821" s="1" t="s">
        <v>2</v>
      </c>
      <c r="E821" t="b">
        <v>0</v>
      </c>
      <c r="F821">
        <v>2867</v>
      </c>
      <c r="G821">
        <v>6</v>
      </c>
      <c r="H821" t="s">
        <v>11</v>
      </c>
      <c r="I821" t="b" cm="1">
        <f t="array" ref="I821">isDup(B821,B822, 0.7)</f>
        <v>1</v>
      </c>
    </row>
    <row r="822" spans="1:9" ht="17" x14ac:dyDescent="0.2">
      <c r="A822" t="s">
        <v>1627</v>
      </c>
      <c r="B822" s="1" t="s">
        <v>1628</v>
      </c>
      <c r="C822" t="s">
        <v>186</v>
      </c>
      <c r="D822" s="1" t="s">
        <v>2</v>
      </c>
      <c r="E822" t="b">
        <v>0</v>
      </c>
      <c r="F822">
        <v>2867</v>
      </c>
      <c r="G822">
        <v>6</v>
      </c>
      <c r="H822" t="s">
        <v>11</v>
      </c>
      <c r="I822" t="b" cm="1">
        <f t="array" ref="I822">isDup(B822,B823, 0.7)</f>
        <v>1</v>
      </c>
    </row>
    <row r="823" spans="1:9" ht="17" x14ac:dyDescent="0.2">
      <c r="A823" t="s">
        <v>4247</v>
      </c>
      <c r="B823" s="1" t="s">
        <v>4249</v>
      </c>
      <c r="C823" t="s">
        <v>186</v>
      </c>
      <c r="D823" s="1" t="s">
        <v>2</v>
      </c>
      <c r="E823" t="b">
        <v>0</v>
      </c>
      <c r="F823">
        <v>2868</v>
      </c>
      <c r="G823">
        <v>6</v>
      </c>
      <c r="H823" t="s">
        <v>11</v>
      </c>
      <c r="I823" t="b" cm="1">
        <f t="array" ref="I823">isDup(B823,B824, 0.7)</f>
        <v>0</v>
      </c>
    </row>
    <row r="824" spans="1:9" ht="34" x14ac:dyDescent="0.2">
      <c r="A824" t="s">
        <v>3864</v>
      </c>
      <c r="B824" s="1" t="s">
        <v>3865</v>
      </c>
      <c r="C824" t="s">
        <v>275</v>
      </c>
      <c r="D824" s="1" t="s">
        <v>565</v>
      </c>
      <c r="E824" t="b">
        <v>0</v>
      </c>
      <c r="F824">
        <v>299</v>
      </c>
      <c r="G824">
        <v>310</v>
      </c>
      <c r="H824" t="s">
        <v>11</v>
      </c>
      <c r="I824" t="b" cm="1">
        <f t="array" ref="I824">isDup(B824,B825, 0.7)</f>
        <v>0</v>
      </c>
    </row>
    <row r="825" spans="1:9" ht="34" x14ac:dyDescent="0.2">
      <c r="A825" t="s">
        <v>947</v>
      </c>
      <c r="B825" s="1" t="s">
        <v>948</v>
      </c>
      <c r="C825" t="s">
        <v>432</v>
      </c>
      <c r="D825" s="1" t="s">
        <v>2</v>
      </c>
      <c r="E825" t="b">
        <v>0</v>
      </c>
      <c r="F825">
        <v>12</v>
      </c>
      <c r="G825">
        <v>1</v>
      </c>
      <c r="H825" t="s">
        <v>11</v>
      </c>
      <c r="I825" t="b" cm="1">
        <f t="array" ref="I825">isDup(B825,B826, 0.7)</f>
        <v>1</v>
      </c>
    </row>
    <row r="826" spans="1:9" ht="34" x14ac:dyDescent="0.2">
      <c r="A826" t="s">
        <v>430</v>
      </c>
      <c r="B826" s="1" t="s">
        <v>431</v>
      </c>
      <c r="C826" t="s">
        <v>432</v>
      </c>
      <c r="D826" s="1" t="s">
        <v>2</v>
      </c>
      <c r="E826" t="b">
        <v>0</v>
      </c>
      <c r="F826">
        <v>12</v>
      </c>
      <c r="G826">
        <v>1</v>
      </c>
      <c r="H826" t="s">
        <v>11</v>
      </c>
      <c r="I826" t="b" cm="1">
        <f t="array" ref="I826">isDup(B826,B827, 0.7)</f>
        <v>1</v>
      </c>
    </row>
    <row r="827" spans="1:9" ht="34" x14ac:dyDescent="0.2">
      <c r="A827" t="s">
        <v>1444</v>
      </c>
      <c r="B827" s="1" t="s">
        <v>1445</v>
      </c>
      <c r="C827" t="s">
        <v>432</v>
      </c>
      <c r="D827" s="1" t="s">
        <v>2</v>
      </c>
      <c r="E827" t="b">
        <v>0</v>
      </c>
      <c r="F827">
        <v>12</v>
      </c>
      <c r="G827">
        <v>1</v>
      </c>
      <c r="H827" t="s">
        <v>11</v>
      </c>
      <c r="I827" t="b" cm="1">
        <f t="array" ref="I827">isDup(B827,B828, 0.7)</f>
        <v>1</v>
      </c>
    </row>
    <row r="828" spans="1:9" ht="34" x14ac:dyDescent="0.2">
      <c r="A828" t="s">
        <v>3877</v>
      </c>
      <c r="B828" s="1" t="s">
        <v>3878</v>
      </c>
      <c r="C828" t="s">
        <v>432</v>
      </c>
      <c r="D828" s="1" t="s">
        <v>2</v>
      </c>
      <c r="E828" t="b">
        <v>0</v>
      </c>
      <c r="F828">
        <v>12</v>
      </c>
      <c r="G828">
        <v>1</v>
      </c>
      <c r="H828" t="s">
        <v>11</v>
      </c>
      <c r="I828" t="b" cm="1">
        <f t="array" ref="I828">isDup(B828,B829, 0.7)</f>
        <v>1</v>
      </c>
    </row>
    <row r="829" spans="1:9" ht="34" x14ac:dyDescent="0.2">
      <c r="A829" t="s">
        <v>5038</v>
      </c>
      <c r="B829" s="1" t="s">
        <v>5039</v>
      </c>
      <c r="C829" t="s">
        <v>432</v>
      </c>
      <c r="D829" s="1" t="s">
        <v>2</v>
      </c>
      <c r="E829" t="b">
        <v>0</v>
      </c>
      <c r="F829">
        <v>12</v>
      </c>
      <c r="G829">
        <v>1</v>
      </c>
      <c r="H829" t="s">
        <v>11</v>
      </c>
      <c r="I829" t="b" cm="1">
        <f t="array" ref="I829">isDup(B829,B830, 0.7)</f>
        <v>1</v>
      </c>
    </row>
    <row r="830" spans="1:9" ht="34" x14ac:dyDescent="0.2">
      <c r="A830" t="s">
        <v>2032</v>
      </c>
      <c r="B830" s="1" t="s">
        <v>2033</v>
      </c>
      <c r="C830" t="s">
        <v>432</v>
      </c>
      <c r="D830" s="1" t="s">
        <v>2</v>
      </c>
      <c r="E830" t="b">
        <v>0</v>
      </c>
      <c r="F830">
        <v>12</v>
      </c>
      <c r="G830">
        <v>1</v>
      </c>
      <c r="H830" t="s">
        <v>11</v>
      </c>
      <c r="I830" t="b" cm="1">
        <f t="array" ref="I830">isDup(B830,B831, 0.7)</f>
        <v>1</v>
      </c>
    </row>
    <row r="831" spans="1:9" ht="34" x14ac:dyDescent="0.2">
      <c r="A831" t="s">
        <v>5524</v>
      </c>
      <c r="B831" s="1" t="s">
        <v>5525</v>
      </c>
      <c r="C831" t="s">
        <v>432</v>
      </c>
      <c r="D831" s="1" t="s">
        <v>2</v>
      </c>
      <c r="E831" t="b">
        <v>0</v>
      </c>
      <c r="F831">
        <v>12</v>
      </c>
      <c r="G831">
        <v>1</v>
      </c>
      <c r="H831" t="s">
        <v>11</v>
      </c>
      <c r="I831" t="b" cm="1">
        <f t="array" ref="I831">isDup(B831,B832, 0.7)</f>
        <v>1</v>
      </c>
    </row>
    <row r="832" spans="1:9" ht="34" x14ac:dyDescent="0.2">
      <c r="A832" t="s">
        <v>7192</v>
      </c>
      <c r="B832" s="1" t="s">
        <v>7193</v>
      </c>
      <c r="C832" t="s">
        <v>432</v>
      </c>
      <c r="D832" s="1" t="s">
        <v>2</v>
      </c>
      <c r="E832" t="b">
        <v>0</v>
      </c>
      <c r="F832">
        <v>12</v>
      </c>
      <c r="G832">
        <v>1</v>
      </c>
      <c r="H832" t="s">
        <v>11</v>
      </c>
      <c r="I832" t="b" cm="1">
        <f t="array" ref="I832">isDup(B832,B833, 0.7)</f>
        <v>1</v>
      </c>
    </row>
    <row r="833" spans="1:9" ht="34" x14ac:dyDescent="0.2">
      <c r="A833" t="s">
        <v>3257</v>
      </c>
      <c r="B833" s="1" t="s">
        <v>3258</v>
      </c>
      <c r="C833" t="s">
        <v>432</v>
      </c>
      <c r="D833" s="1" t="s">
        <v>2</v>
      </c>
      <c r="E833" t="b">
        <v>0</v>
      </c>
      <c r="F833">
        <v>12</v>
      </c>
      <c r="G833">
        <v>1</v>
      </c>
      <c r="H833" t="s">
        <v>11</v>
      </c>
      <c r="I833" t="b" cm="1">
        <f t="array" ref="I833">isDup(B833,B834, 0.7)</f>
        <v>1</v>
      </c>
    </row>
    <row r="834" spans="1:9" ht="34" x14ac:dyDescent="0.2">
      <c r="A834" t="s">
        <v>4472</v>
      </c>
      <c r="B834" s="1" t="s">
        <v>4473</v>
      </c>
      <c r="C834" t="s">
        <v>432</v>
      </c>
      <c r="D834" s="1" t="s">
        <v>2</v>
      </c>
      <c r="E834" t="b">
        <v>0</v>
      </c>
      <c r="F834">
        <v>12</v>
      </c>
      <c r="G834">
        <v>1</v>
      </c>
      <c r="H834" t="s">
        <v>11</v>
      </c>
      <c r="I834" t="b" cm="1">
        <f t="array" ref="I834">isDup(B834,B835, 0.7)</f>
        <v>1</v>
      </c>
    </row>
    <row r="835" spans="1:9" ht="34" x14ac:dyDescent="0.2">
      <c r="A835" t="s">
        <v>6094</v>
      </c>
      <c r="B835" s="1" t="s">
        <v>6095</v>
      </c>
      <c r="C835" t="s">
        <v>432</v>
      </c>
      <c r="D835" s="1" t="s">
        <v>2</v>
      </c>
      <c r="E835" t="b">
        <v>0</v>
      </c>
      <c r="F835">
        <v>12</v>
      </c>
      <c r="G835">
        <v>1</v>
      </c>
      <c r="H835" t="s">
        <v>11</v>
      </c>
      <c r="I835" t="b" cm="1">
        <f t="array" ref="I835">isDup(B835,B836, 0.7)</f>
        <v>1</v>
      </c>
    </row>
    <row r="836" spans="1:9" ht="34" x14ac:dyDescent="0.2">
      <c r="A836" t="s">
        <v>2608</v>
      </c>
      <c r="B836" s="1" t="s">
        <v>2609</v>
      </c>
      <c r="C836" t="s">
        <v>432</v>
      </c>
      <c r="D836" s="1" t="s">
        <v>2</v>
      </c>
      <c r="E836" t="b">
        <v>0</v>
      </c>
      <c r="F836">
        <v>12</v>
      </c>
      <c r="G836">
        <v>1</v>
      </c>
      <c r="H836" t="s">
        <v>11</v>
      </c>
      <c r="I836" t="b" cm="1">
        <f t="array" ref="I836">isDup(B836,B837, 0.7)</f>
        <v>1</v>
      </c>
    </row>
    <row r="837" spans="1:9" ht="34" x14ac:dyDescent="0.2">
      <c r="A837" t="s">
        <v>6700</v>
      </c>
      <c r="B837" s="1" t="s">
        <v>6701</v>
      </c>
      <c r="C837" t="s">
        <v>432</v>
      </c>
      <c r="D837" s="1" t="s">
        <v>2</v>
      </c>
      <c r="E837" t="b">
        <v>0</v>
      </c>
      <c r="F837">
        <v>12</v>
      </c>
      <c r="G837">
        <v>1</v>
      </c>
      <c r="H837" t="s">
        <v>11</v>
      </c>
      <c r="I837" t="b" cm="1">
        <f t="array" ref="I837">isDup(B837,B838, 0.7)</f>
        <v>0</v>
      </c>
    </row>
    <row r="838" spans="1:9" ht="17" x14ac:dyDescent="0.2">
      <c r="A838" t="s">
        <v>2143</v>
      </c>
      <c r="B838" s="1" t="s">
        <v>2144</v>
      </c>
      <c r="C838" t="s">
        <v>2145</v>
      </c>
      <c r="D838" s="1" t="s">
        <v>2146</v>
      </c>
      <c r="E838" t="b">
        <v>0</v>
      </c>
      <c r="F838">
        <v>288</v>
      </c>
      <c r="G838">
        <v>998</v>
      </c>
      <c r="H838" t="s">
        <v>11</v>
      </c>
      <c r="I838" t="b" cm="1">
        <f t="array" ref="I838">isDup(B838,B839, 0.7)</f>
        <v>0</v>
      </c>
    </row>
    <row r="839" spans="1:9" ht="17" x14ac:dyDescent="0.2">
      <c r="A839" t="s">
        <v>1650</v>
      </c>
      <c r="B839" s="1" t="s">
        <v>1651</v>
      </c>
      <c r="C839" t="s">
        <v>1652</v>
      </c>
      <c r="D839" s="1" t="s">
        <v>1653</v>
      </c>
      <c r="E839" t="b">
        <v>0</v>
      </c>
      <c r="F839">
        <v>33981</v>
      </c>
      <c r="G839">
        <v>9443</v>
      </c>
      <c r="H839" t="s">
        <v>11</v>
      </c>
      <c r="I839" t="b" cm="1">
        <f t="array" ref="I839">isDup(B839,B840, 0.7)</f>
        <v>0</v>
      </c>
    </row>
    <row r="840" spans="1:9" ht="17" x14ac:dyDescent="0.2">
      <c r="A840" t="s">
        <v>1482</v>
      </c>
      <c r="B840" s="1" t="s">
        <v>1483</v>
      </c>
      <c r="C840" t="s">
        <v>782</v>
      </c>
      <c r="D840" s="1" t="s">
        <v>1484</v>
      </c>
      <c r="E840" t="b">
        <v>0</v>
      </c>
      <c r="F840">
        <v>105</v>
      </c>
      <c r="G840">
        <v>637</v>
      </c>
      <c r="H840" t="s">
        <v>370</v>
      </c>
      <c r="I840" t="b" cm="1">
        <f t="array" ref="I840">isDup(B840,B841, 0.7)</f>
        <v>0</v>
      </c>
    </row>
    <row r="841" spans="1:9" ht="34" x14ac:dyDescent="0.2">
      <c r="A841" t="s">
        <v>7204</v>
      </c>
      <c r="B841" s="1" t="s">
        <v>7205</v>
      </c>
      <c r="C841" t="s">
        <v>7206</v>
      </c>
      <c r="D841" s="1" t="s">
        <v>477</v>
      </c>
      <c r="E841" t="b">
        <v>0</v>
      </c>
      <c r="F841">
        <v>2100</v>
      </c>
      <c r="G841">
        <v>241</v>
      </c>
      <c r="H841" t="s">
        <v>11</v>
      </c>
      <c r="I841" t="b" cm="1">
        <f t="array" ref="I841">isDup(B841,B842, 0.7)</f>
        <v>0</v>
      </c>
    </row>
    <row r="842" spans="1:9" ht="17" x14ac:dyDescent="0.2">
      <c r="A842" t="s">
        <v>1729</v>
      </c>
      <c r="B842" s="1" t="s">
        <v>1730</v>
      </c>
      <c r="C842" t="s">
        <v>1731</v>
      </c>
      <c r="D842" s="1" t="s">
        <v>1732</v>
      </c>
      <c r="E842" t="b">
        <v>0</v>
      </c>
      <c r="F842">
        <v>676</v>
      </c>
      <c r="G842">
        <v>4999</v>
      </c>
      <c r="H842" t="s">
        <v>11</v>
      </c>
      <c r="I842" t="b" cm="1">
        <f t="array" ref="I842">isDup(B842,B843, 0.7)</f>
        <v>0</v>
      </c>
    </row>
    <row r="843" spans="1:9" ht="17" x14ac:dyDescent="0.2">
      <c r="A843" t="s">
        <v>1913</v>
      </c>
      <c r="B843" s="1" t="s">
        <v>1915</v>
      </c>
      <c r="C843" t="s">
        <v>564</v>
      </c>
      <c r="D843" s="1" t="s">
        <v>565</v>
      </c>
      <c r="E843" t="b">
        <v>0</v>
      </c>
      <c r="F843">
        <v>998</v>
      </c>
      <c r="G843">
        <v>1</v>
      </c>
      <c r="H843" t="s">
        <v>359</v>
      </c>
      <c r="I843" t="b" cm="1">
        <f t="array" ref="I843">isDup(B843,B844, 0.7)</f>
        <v>1</v>
      </c>
    </row>
    <row r="844" spans="1:9" ht="17" x14ac:dyDescent="0.2">
      <c r="A844" t="s">
        <v>2666</v>
      </c>
      <c r="B844" s="1" t="s">
        <v>2667</v>
      </c>
      <c r="C844" t="s">
        <v>564</v>
      </c>
      <c r="D844" s="1" t="s">
        <v>565</v>
      </c>
      <c r="E844" t="b">
        <v>0</v>
      </c>
      <c r="F844">
        <v>998</v>
      </c>
      <c r="G844">
        <v>1</v>
      </c>
      <c r="H844" t="s">
        <v>359</v>
      </c>
      <c r="I844" t="b" cm="1">
        <f t="array" ref="I844">isDup(B844,B845, 0.7)</f>
        <v>1</v>
      </c>
    </row>
    <row r="845" spans="1:9" ht="17" x14ac:dyDescent="0.2">
      <c r="A845" t="s">
        <v>7050</v>
      </c>
      <c r="B845" s="1" t="s">
        <v>7051</v>
      </c>
      <c r="C845" t="s">
        <v>564</v>
      </c>
      <c r="D845" s="1" t="s">
        <v>565</v>
      </c>
      <c r="E845" t="b">
        <v>0</v>
      </c>
      <c r="F845">
        <v>997</v>
      </c>
      <c r="G845">
        <v>1</v>
      </c>
      <c r="H845" t="s">
        <v>359</v>
      </c>
      <c r="I845" t="b" cm="1">
        <f t="array" ref="I845">isDup(B845,B846, 0.7)</f>
        <v>1</v>
      </c>
    </row>
    <row r="846" spans="1:9" ht="17" x14ac:dyDescent="0.2">
      <c r="A846" t="s">
        <v>5610</v>
      </c>
      <c r="B846" s="1" t="s">
        <v>5612</v>
      </c>
      <c r="C846" t="s">
        <v>564</v>
      </c>
      <c r="D846" s="1" t="s">
        <v>565</v>
      </c>
      <c r="E846" t="b">
        <v>0</v>
      </c>
      <c r="F846">
        <v>997</v>
      </c>
      <c r="G846">
        <v>1</v>
      </c>
      <c r="H846" t="s">
        <v>359</v>
      </c>
      <c r="I846" t="b" cm="1">
        <f t="array" ref="I846">isDup(B846,B847, 0.7)</f>
        <v>1</v>
      </c>
    </row>
    <row r="847" spans="1:9" ht="17" x14ac:dyDescent="0.2">
      <c r="A847" t="s">
        <v>4250</v>
      </c>
      <c r="B847" s="1" t="s">
        <v>4254</v>
      </c>
      <c r="C847" t="s">
        <v>564</v>
      </c>
      <c r="D847" s="1" t="s">
        <v>565</v>
      </c>
      <c r="E847" t="b">
        <v>0</v>
      </c>
      <c r="F847">
        <v>997</v>
      </c>
      <c r="G847">
        <v>1</v>
      </c>
      <c r="H847" t="s">
        <v>359</v>
      </c>
      <c r="I847" t="b" cm="1">
        <f t="array" ref="I847">isDup(B847,B848, 0.7)</f>
        <v>1</v>
      </c>
    </row>
    <row r="848" spans="1:9" ht="17" x14ac:dyDescent="0.2">
      <c r="A848" t="s">
        <v>4972</v>
      </c>
      <c r="B848" s="1" t="s">
        <v>4973</v>
      </c>
      <c r="C848" t="s">
        <v>564</v>
      </c>
      <c r="D848" s="1" t="s">
        <v>565</v>
      </c>
      <c r="E848" t="b">
        <v>0</v>
      </c>
      <c r="F848">
        <v>997</v>
      </c>
      <c r="G848">
        <v>1</v>
      </c>
      <c r="H848" t="s">
        <v>359</v>
      </c>
      <c r="I848" t="b" cm="1">
        <f t="array" ref="I848">isDup(B848,B849, 0.7)</f>
        <v>1</v>
      </c>
    </row>
    <row r="849" spans="1:9" ht="17" x14ac:dyDescent="0.2">
      <c r="A849" t="s">
        <v>1171</v>
      </c>
      <c r="B849" s="1" t="s">
        <v>1175</v>
      </c>
      <c r="C849" t="s">
        <v>564</v>
      </c>
      <c r="D849" s="1" t="s">
        <v>565</v>
      </c>
      <c r="E849" t="b">
        <v>0</v>
      </c>
      <c r="F849">
        <v>998</v>
      </c>
      <c r="G849">
        <v>1</v>
      </c>
      <c r="H849" t="s">
        <v>359</v>
      </c>
      <c r="I849" t="b" cm="1">
        <f t="array" ref="I849">isDup(B849,B850, 0.7)</f>
        <v>1</v>
      </c>
    </row>
    <row r="850" spans="1:9" ht="17" x14ac:dyDescent="0.2">
      <c r="A850" t="s">
        <v>555</v>
      </c>
      <c r="B850" s="1" t="s">
        <v>563</v>
      </c>
      <c r="C850" t="s">
        <v>564</v>
      </c>
      <c r="D850" s="1" t="s">
        <v>565</v>
      </c>
      <c r="E850" t="b">
        <v>0</v>
      </c>
      <c r="F850">
        <v>998</v>
      </c>
      <c r="G850">
        <v>1</v>
      </c>
      <c r="H850" t="s">
        <v>359</v>
      </c>
      <c r="I850" t="b" cm="1">
        <f t="array" ref="I850">isDup(B850,B851, 0.7)</f>
        <v>1</v>
      </c>
    </row>
    <row r="851" spans="1:9" ht="17" x14ac:dyDescent="0.2">
      <c r="A851" t="s">
        <v>3493</v>
      </c>
      <c r="B851" s="1" t="s">
        <v>3494</v>
      </c>
      <c r="C851" t="s">
        <v>564</v>
      </c>
      <c r="D851" s="1" t="s">
        <v>565</v>
      </c>
      <c r="E851" t="b">
        <v>0</v>
      </c>
      <c r="F851">
        <v>998</v>
      </c>
      <c r="G851">
        <v>1</v>
      </c>
      <c r="H851" t="s">
        <v>359</v>
      </c>
      <c r="I851" t="b" cm="1">
        <f t="array" ref="I851">isDup(B851,B852, 0.7)</f>
        <v>0</v>
      </c>
    </row>
    <row r="852" spans="1:9" ht="17" x14ac:dyDescent="0.2">
      <c r="A852" t="s">
        <v>2689</v>
      </c>
      <c r="B852" s="1" t="s">
        <v>2690</v>
      </c>
      <c r="C852" t="s">
        <v>2691</v>
      </c>
      <c r="D852" s="1" t="s">
        <v>61</v>
      </c>
      <c r="E852" t="b">
        <v>0</v>
      </c>
      <c r="F852">
        <v>232</v>
      </c>
      <c r="G852">
        <v>109</v>
      </c>
      <c r="H852" t="s">
        <v>11</v>
      </c>
      <c r="I852" t="b" cm="1">
        <f t="array" ref="I852">isDup(B852,B853, 0.7)</f>
        <v>0</v>
      </c>
    </row>
    <row r="853" spans="1:9" ht="17" x14ac:dyDescent="0.2">
      <c r="A853" t="s">
        <v>36</v>
      </c>
      <c r="B853" s="1" t="s">
        <v>37</v>
      </c>
      <c r="C853" t="s">
        <v>38</v>
      </c>
      <c r="D853" s="1" t="s">
        <v>39</v>
      </c>
      <c r="E853" t="b">
        <v>0</v>
      </c>
      <c r="F853">
        <v>2056</v>
      </c>
      <c r="G853">
        <v>453</v>
      </c>
      <c r="H853" t="s">
        <v>11</v>
      </c>
      <c r="I853" t="b" cm="1">
        <f t="array" ref="I853">isDup(B853,B854, 0.7)</f>
        <v>1</v>
      </c>
    </row>
    <row r="854" spans="1:9" ht="17" x14ac:dyDescent="0.2">
      <c r="A854" t="s">
        <v>859</v>
      </c>
      <c r="B854" s="1" t="s">
        <v>860</v>
      </c>
      <c r="C854" t="s">
        <v>45</v>
      </c>
      <c r="D854" s="1" t="s">
        <v>61</v>
      </c>
      <c r="E854" t="b">
        <v>0</v>
      </c>
      <c r="F854">
        <v>87</v>
      </c>
      <c r="G854">
        <v>237</v>
      </c>
      <c r="H854" t="s">
        <v>11</v>
      </c>
      <c r="I854" t="b" cm="1">
        <f t="array" ref="I854">isDup(B854,B855, 0.7)</f>
        <v>1</v>
      </c>
    </row>
    <row r="855" spans="1:9" ht="17" x14ac:dyDescent="0.2">
      <c r="A855" t="s">
        <v>27</v>
      </c>
      <c r="B855" s="1" t="s">
        <v>28</v>
      </c>
      <c r="C855" t="s">
        <v>29</v>
      </c>
      <c r="D855" s="1" t="s">
        <v>30</v>
      </c>
      <c r="E855" t="b">
        <v>0</v>
      </c>
      <c r="F855">
        <v>690</v>
      </c>
      <c r="G855">
        <v>1012</v>
      </c>
      <c r="H855" t="s">
        <v>31</v>
      </c>
      <c r="I855" t="b" cm="1">
        <f t="array" ref="I855">isDup(B855,B856, 0.7)</f>
        <v>0</v>
      </c>
    </row>
    <row r="856" spans="1:9" ht="17" x14ac:dyDescent="0.2">
      <c r="A856" t="s">
        <v>59</v>
      </c>
      <c r="B856" s="1" t="s">
        <v>60</v>
      </c>
      <c r="C856" t="s">
        <v>45</v>
      </c>
      <c r="D856" s="1" t="s">
        <v>61</v>
      </c>
      <c r="E856" t="b">
        <v>0</v>
      </c>
      <c r="F856">
        <v>87</v>
      </c>
      <c r="G856">
        <v>237</v>
      </c>
      <c r="H856" t="s">
        <v>11</v>
      </c>
      <c r="I856" t="b" cm="1">
        <f t="array" ref="I856">isDup(B856,B857, 0.7)</f>
        <v>1</v>
      </c>
    </row>
    <row r="857" spans="1:9" ht="17" x14ac:dyDescent="0.2">
      <c r="A857" t="s">
        <v>615</v>
      </c>
      <c r="B857" s="1" t="s">
        <v>616</v>
      </c>
      <c r="C857" t="s">
        <v>617</v>
      </c>
      <c r="D857" s="1" t="s">
        <v>618</v>
      </c>
      <c r="E857" t="b">
        <v>0</v>
      </c>
      <c r="F857">
        <v>13371</v>
      </c>
      <c r="G857">
        <v>13241</v>
      </c>
      <c r="H857" t="s">
        <v>11</v>
      </c>
      <c r="I857" t="b" cm="1">
        <f t="array" ref="I857">isDup(B857,B858, 0.7)</f>
        <v>1</v>
      </c>
    </row>
    <row r="858" spans="1:9" ht="17" x14ac:dyDescent="0.2">
      <c r="A858" t="s">
        <v>774</v>
      </c>
      <c r="B858" s="1" t="s">
        <v>775</v>
      </c>
      <c r="C858" t="s">
        <v>45</v>
      </c>
      <c r="D858" s="1" t="s">
        <v>61</v>
      </c>
      <c r="E858" t="b">
        <v>0</v>
      </c>
      <c r="F858">
        <v>87</v>
      </c>
      <c r="G858">
        <v>237</v>
      </c>
      <c r="H858" t="s">
        <v>11</v>
      </c>
      <c r="I858" t="b" cm="1">
        <f t="array" ref="I858">isDup(B858,B859, 0.7)</f>
        <v>1</v>
      </c>
    </row>
    <row r="859" spans="1:9" ht="34" x14ac:dyDescent="0.2">
      <c r="A859" t="s">
        <v>621</v>
      </c>
      <c r="B859" s="1" t="s">
        <v>622</v>
      </c>
      <c r="C859" t="s">
        <v>623</v>
      </c>
      <c r="D859" s="1" t="s">
        <v>624</v>
      </c>
      <c r="E859" t="b">
        <v>0</v>
      </c>
      <c r="F859">
        <v>3565</v>
      </c>
      <c r="G859">
        <v>88</v>
      </c>
      <c r="H859" t="s">
        <v>11</v>
      </c>
      <c r="I859" t="b" cm="1">
        <f t="array" ref="I859">isDup(B859,B860, 0.7)</f>
        <v>0</v>
      </c>
    </row>
    <row r="860" spans="1:9" ht="34" x14ac:dyDescent="0.2">
      <c r="A860" t="s">
        <v>598</v>
      </c>
      <c r="B860" s="1" t="s">
        <v>599</v>
      </c>
      <c r="C860" t="s">
        <v>600</v>
      </c>
      <c r="D860" s="1" t="s">
        <v>601</v>
      </c>
      <c r="E860" t="b">
        <v>0</v>
      </c>
      <c r="F860">
        <v>2120</v>
      </c>
      <c r="G860">
        <v>4146</v>
      </c>
      <c r="H860" t="s">
        <v>11</v>
      </c>
      <c r="I860" t="b" cm="1">
        <f t="array" ref="I860">isDup(B860,B861, 0.7)</f>
        <v>0</v>
      </c>
    </row>
    <row r="861" spans="1:9" ht="34" x14ac:dyDescent="0.2">
      <c r="A861" t="s">
        <v>669</v>
      </c>
      <c r="B861" s="1" t="s">
        <v>670</v>
      </c>
      <c r="C861" t="s">
        <v>671</v>
      </c>
      <c r="D861" s="1" t="s">
        <v>672</v>
      </c>
      <c r="E861" t="b">
        <v>0</v>
      </c>
      <c r="F861">
        <v>4758</v>
      </c>
      <c r="G861">
        <v>3442</v>
      </c>
      <c r="H861" t="s">
        <v>11</v>
      </c>
      <c r="I861" t="b" cm="1">
        <f t="array" ref="I861">isDup(B861,B862, 0.7)</f>
        <v>1</v>
      </c>
    </row>
    <row r="862" spans="1:9" ht="17" x14ac:dyDescent="0.2">
      <c r="A862" t="s">
        <v>1208</v>
      </c>
      <c r="B862" s="1" t="s">
        <v>1209</v>
      </c>
      <c r="C862" t="s">
        <v>617</v>
      </c>
      <c r="D862" s="1" t="s">
        <v>618</v>
      </c>
      <c r="E862" t="b">
        <v>0</v>
      </c>
      <c r="F862">
        <v>13379</v>
      </c>
      <c r="G862">
        <v>13242</v>
      </c>
      <c r="H862" t="s">
        <v>11</v>
      </c>
      <c r="I862" t="b" cm="1">
        <f t="array" ref="I862">isDup(B862,B863, 0.7)</f>
        <v>1</v>
      </c>
    </row>
    <row r="863" spans="1:9" ht="34" x14ac:dyDescent="0.2">
      <c r="A863" t="s">
        <v>1222</v>
      </c>
      <c r="B863" s="1" t="s">
        <v>1223</v>
      </c>
      <c r="C863" t="s">
        <v>623</v>
      </c>
      <c r="D863" s="1" t="s">
        <v>624</v>
      </c>
      <c r="E863" t="b">
        <v>0</v>
      </c>
      <c r="F863">
        <v>3565</v>
      </c>
      <c r="G863">
        <v>88</v>
      </c>
      <c r="H863" t="s">
        <v>11</v>
      </c>
      <c r="I863" t="b" cm="1">
        <f t="array" ref="I863">isDup(B863,B864, 0.7)</f>
        <v>1</v>
      </c>
    </row>
    <row r="864" spans="1:9" ht="34" x14ac:dyDescent="0.2">
      <c r="A864" t="s">
        <v>1265</v>
      </c>
      <c r="B864" s="1" t="s">
        <v>1266</v>
      </c>
      <c r="C864" t="s">
        <v>600</v>
      </c>
      <c r="D864" s="1" t="s">
        <v>601</v>
      </c>
      <c r="E864" t="b">
        <v>0</v>
      </c>
      <c r="F864">
        <v>2121</v>
      </c>
      <c r="G864">
        <v>4146</v>
      </c>
      <c r="H864" t="s">
        <v>11</v>
      </c>
      <c r="I864" t="b" cm="1">
        <f t="array" ref="I864">isDup(B864,B865, 0.7)</f>
        <v>0</v>
      </c>
    </row>
    <row r="865" spans="1:9" ht="17" x14ac:dyDescent="0.2">
      <c r="A865" t="s">
        <v>1243</v>
      </c>
      <c r="B865" s="1" t="s">
        <v>1244</v>
      </c>
      <c r="C865" t="s">
        <v>1245</v>
      </c>
      <c r="D865" s="1" t="s">
        <v>316</v>
      </c>
      <c r="E865" t="b">
        <v>0</v>
      </c>
      <c r="F865">
        <v>26</v>
      </c>
      <c r="G865">
        <v>21</v>
      </c>
      <c r="H865" t="s">
        <v>11</v>
      </c>
      <c r="I865" t="b" cm="1">
        <f t="array" ref="I865">isDup(B865,B866, 0.7)</f>
        <v>0</v>
      </c>
    </row>
    <row r="866" spans="1:9" ht="34" x14ac:dyDescent="0.2">
      <c r="A866" t="s">
        <v>1239</v>
      </c>
      <c r="B866" s="1" t="s">
        <v>1240</v>
      </c>
      <c r="C866" t="s">
        <v>671</v>
      </c>
      <c r="D866" s="1" t="s">
        <v>672</v>
      </c>
      <c r="E866" t="b">
        <v>0</v>
      </c>
      <c r="F866">
        <v>4758</v>
      </c>
      <c r="G866">
        <v>3442</v>
      </c>
      <c r="H866" t="s">
        <v>11</v>
      </c>
      <c r="I866" t="b" cm="1">
        <f t="array" ref="I866">isDup(B866,B867, 0.7)</f>
        <v>1</v>
      </c>
    </row>
    <row r="867" spans="1:9" ht="17" x14ac:dyDescent="0.2">
      <c r="A867" t="s">
        <v>5054</v>
      </c>
      <c r="B867" s="1" t="s">
        <v>5055</v>
      </c>
      <c r="C867" t="s">
        <v>617</v>
      </c>
      <c r="D867" s="1" t="s">
        <v>618</v>
      </c>
      <c r="E867" t="b">
        <v>0</v>
      </c>
      <c r="F867">
        <v>13393</v>
      </c>
      <c r="G867">
        <v>13241</v>
      </c>
      <c r="H867" t="s">
        <v>11</v>
      </c>
      <c r="I867" t="b" cm="1">
        <f t="array" ref="I867">isDup(B867,B868, 0.7)</f>
        <v>1</v>
      </c>
    </row>
    <row r="868" spans="1:9" ht="17" x14ac:dyDescent="0.2">
      <c r="A868" t="s">
        <v>5008</v>
      </c>
      <c r="B868" s="1" t="s">
        <v>5009</v>
      </c>
      <c r="C868" t="s">
        <v>45</v>
      </c>
      <c r="D868" s="1" t="s">
        <v>61</v>
      </c>
      <c r="E868" t="b">
        <v>0</v>
      </c>
      <c r="F868">
        <v>87</v>
      </c>
      <c r="G868">
        <v>237</v>
      </c>
      <c r="H868" t="s">
        <v>11</v>
      </c>
      <c r="I868" t="b" cm="1">
        <f t="array" ref="I868">isDup(B868,B869, 0.7)</f>
        <v>1</v>
      </c>
    </row>
    <row r="869" spans="1:9" ht="34" x14ac:dyDescent="0.2">
      <c r="A869" t="s">
        <v>5054</v>
      </c>
      <c r="B869" s="1" t="s">
        <v>5056</v>
      </c>
      <c r="C869" t="s">
        <v>623</v>
      </c>
      <c r="D869" s="1" t="s">
        <v>624</v>
      </c>
      <c r="E869" t="b">
        <v>0</v>
      </c>
      <c r="F869">
        <v>3563</v>
      </c>
      <c r="G869">
        <v>88</v>
      </c>
      <c r="H869" t="s">
        <v>11</v>
      </c>
      <c r="I869" t="b" cm="1">
        <f t="array" ref="I869">isDup(B869,B870, 0.7)</f>
        <v>1</v>
      </c>
    </row>
    <row r="870" spans="1:9" ht="17" x14ac:dyDescent="0.2">
      <c r="A870" t="s">
        <v>5072</v>
      </c>
      <c r="B870" s="1" t="s">
        <v>5073</v>
      </c>
      <c r="C870" t="s">
        <v>45</v>
      </c>
      <c r="D870" s="1" t="s">
        <v>61</v>
      </c>
      <c r="E870" t="b">
        <v>0</v>
      </c>
      <c r="F870">
        <v>1965</v>
      </c>
      <c r="G870">
        <v>4605</v>
      </c>
      <c r="H870" t="s">
        <v>11</v>
      </c>
      <c r="I870" t="b" cm="1">
        <f t="array" ref="I870">isDup(B870,B871, 0.7)</f>
        <v>0</v>
      </c>
    </row>
    <row r="871" spans="1:9" ht="34" x14ac:dyDescent="0.2">
      <c r="A871" t="s">
        <v>5017</v>
      </c>
      <c r="B871" s="1" t="s">
        <v>5018</v>
      </c>
      <c r="C871" t="s">
        <v>600</v>
      </c>
      <c r="D871" s="1" t="s">
        <v>601</v>
      </c>
      <c r="E871" t="b">
        <v>0</v>
      </c>
      <c r="F871">
        <v>2122</v>
      </c>
      <c r="G871">
        <v>4146</v>
      </c>
      <c r="H871" t="s">
        <v>11</v>
      </c>
      <c r="I871" t="b" cm="1">
        <f t="array" ref="I871">isDup(B871,B872, 0.7)</f>
        <v>0</v>
      </c>
    </row>
    <row r="872" spans="1:9" ht="17" x14ac:dyDescent="0.2">
      <c r="A872" t="s">
        <v>5057</v>
      </c>
      <c r="B872" s="1" t="s">
        <v>5058</v>
      </c>
      <c r="C872" t="s">
        <v>5059</v>
      </c>
      <c r="D872" s="1" t="s">
        <v>2</v>
      </c>
      <c r="E872" t="b">
        <v>0</v>
      </c>
      <c r="F872">
        <v>11</v>
      </c>
      <c r="G872">
        <v>0</v>
      </c>
      <c r="H872" t="s">
        <v>110</v>
      </c>
      <c r="I872" t="b" cm="1">
        <f t="array" ref="I872">isDup(B872,B873, 0.7)</f>
        <v>0</v>
      </c>
    </row>
    <row r="873" spans="1:9" ht="34" x14ac:dyDescent="0.2">
      <c r="A873" t="s">
        <v>5070</v>
      </c>
      <c r="B873" s="1" t="s">
        <v>5071</v>
      </c>
      <c r="C873" t="s">
        <v>671</v>
      </c>
      <c r="D873" s="1" t="s">
        <v>672</v>
      </c>
      <c r="E873" t="b">
        <v>0</v>
      </c>
      <c r="F873">
        <v>4757</v>
      </c>
      <c r="G873">
        <v>3442</v>
      </c>
      <c r="H873" t="s">
        <v>11</v>
      </c>
      <c r="I873" t="b" cm="1">
        <f t="array" ref="I873">isDup(B873,B874, 0.7)</f>
        <v>1</v>
      </c>
    </row>
    <row r="874" spans="1:9" ht="17" x14ac:dyDescent="0.2">
      <c r="A874" t="s">
        <v>3556</v>
      </c>
      <c r="B874" s="1" t="s">
        <v>3557</v>
      </c>
      <c r="C874" t="s">
        <v>617</v>
      </c>
      <c r="D874" s="1" t="s">
        <v>618</v>
      </c>
      <c r="E874" t="b">
        <v>0</v>
      </c>
      <c r="F874">
        <v>13390</v>
      </c>
      <c r="G874">
        <v>13241</v>
      </c>
      <c r="H874" t="s">
        <v>11</v>
      </c>
      <c r="I874" t="b" cm="1">
        <f t="array" ref="I874">isDup(B874,B875, 0.7)</f>
        <v>1</v>
      </c>
    </row>
    <row r="875" spans="1:9" ht="17" x14ac:dyDescent="0.2">
      <c r="A875" t="s">
        <v>3522</v>
      </c>
      <c r="B875" s="1" t="s">
        <v>3523</v>
      </c>
      <c r="C875" t="s">
        <v>387</v>
      </c>
      <c r="D875" s="1" t="s">
        <v>1435</v>
      </c>
      <c r="E875" t="b">
        <v>0</v>
      </c>
      <c r="F875">
        <v>32</v>
      </c>
      <c r="G875">
        <v>141</v>
      </c>
      <c r="H875" t="s">
        <v>11</v>
      </c>
      <c r="I875" t="b" cm="1">
        <f t="array" ref="I875">isDup(B875,B876, 0.7)</f>
        <v>1</v>
      </c>
    </row>
    <row r="876" spans="1:9" ht="34" x14ac:dyDescent="0.2">
      <c r="A876" t="s">
        <v>3515</v>
      </c>
      <c r="B876" s="1" t="s">
        <v>3516</v>
      </c>
      <c r="C876" t="s">
        <v>600</v>
      </c>
      <c r="D876" s="1" t="s">
        <v>601</v>
      </c>
      <c r="E876" t="b">
        <v>0</v>
      </c>
      <c r="F876">
        <v>2121</v>
      </c>
      <c r="G876">
        <v>4145</v>
      </c>
      <c r="H876" t="s">
        <v>11</v>
      </c>
      <c r="I876" t="b" cm="1">
        <f t="array" ref="I876">isDup(B876,B877, 0.7)</f>
        <v>0</v>
      </c>
    </row>
    <row r="877" spans="1:9" ht="17" x14ac:dyDescent="0.2">
      <c r="A877" t="s">
        <v>3532</v>
      </c>
      <c r="B877" s="1" t="s">
        <v>3533</v>
      </c>
      <c r="C877" t="s">
        <v>1405</v>
      </c>
      <c r="D877" s="1" t="s">
        <v>2</v>
      </c>
      <c r="E877" t="b">
        <v>0</v>
      </c>
      <c r="F877">
        <v>272</v>
      </c>
      <c r="G877">
        <v>910</v>
      </c>
      <c r="H877" t="s">
        <v>11</v>
      </c>
      <c r="I877" t="b" cm="1">
        <f t="array" ref="I877">isDup(B877,B878, 0.7)</f>
        <v>0</v>
      </c>
    </row>
    <row r="878" spans="1:9" ht="34" x14ac:dyDescent="0.2">
      <c r="A878" t="s">
        <v>3554</v>
      </c>
      <c r="B878" s="1" t="s">
        <v>3555</v>
      </c>
      <c r="C878" t="s">
        <v>671</v>
      </c>
      <c r="D878" s="1" t="s">
        <v>672</v>
      </c>
      <c r="E878" t="b">
        <v>0</v>
      </c>
      <c r="F878">
        <v>4758</v>
      </c>
      <c r="G878">
        <v>3442</v>
      </c>
      <c r="H878" t="s">
        <v>11</v>
      </c>
      <c r="I878" t="b" cm="1">
        <f t="array" ref="I878">isDup(B878,B879, 0.7)</f>
        <v>1</v>
      </c>
    </row>
    <row r="879" spans="1:9" ht="17" x14ac:dyDescent="0.2">
      <c r="A879" t="s">
        <v>1936</v>
      </c>
      <c r="B879" s="1" t="s">
        <v>1937</v>
      </c>
      <c r="C879" t="s">
        <v>38</v>
      </c>
      <c r="D879" s="1" t="s">
        <v>39</v>
      </c>
      <c r="E879" t="b">
        <v>0</v>
      </c>
      <c r="F879">
        <v>2057</v>
      </c>
      <c r="G879">
        <v>453</v>
      </c>
      <c r="H879" t="s">
        <v>11</v>
      </c>
      <c r="I879" t="b" cm="1">
        <f t="array" ref="I879">isDup(B879,B880, 0.7)</f>
        <v>1</v>
      </c>
    </row>
    <row r="880" spans="1:9" ht="34" x14ac:dyDescent="0.2">
      <c r="A880" t="s">
        <v>1970</v>
      </c>
      <c r="B880" s="1" t="s">
        <v>1971</v>
      </c>
      <c r="C880" t="s">
        <v>623</v>
      </c>
      <c r="D880" s="1" t="s">
        <v>624</v>
      </c>
      <c r="E880" t="b">
        <v>0</v>
      </c>
      <c r="F880">
        <v>3564</v>
      </c>
      <c r="G880">
        <v>88</v>
      </c>
      <c r="H880" t="s">
        <v>11</v>
      </c>
      <c r="I880" t="b" cm="1">
        <f t="array" ref="I880">isDup(B880,B881, 0.7)</f>
        <v>1</v>
      </c>
    </row>
    <row r="881" spans="1:9" ht="34" x14ac:dyDescent="0.2">
      <c r="A881" t="s">
        <v>1948</v>
      </c>
      <c r="B881" s="1" t="s">
        <v>1949</v>
      </c>
      <c r="C881" t="s">
        <v>600</v>
      </c>
      <c r="D881" s="1" t="s">
        <v>601</v>
      </c>
      <c r="E881" t="b">
        <v>0</v>
      </c>
      <c r="F881">
        <v>2121</v>
      </c>
      <c r="G881">
        <v>4146</v>
      </c>
      <c r="H881" t="s">
        <v>11</v>
      </c>
      <c r="I881" t="b" cm="1">
        <f t="array" ref="I881">isDup(B881,B882, 0.7)</f>
        <v>0</v>
      </c>
    </row>
    <row r="882" spans="1:9" ht="17" x14ac:dyDescent="0.2">
      <c r="A882" t="s">
        <v>1929</v>
      </c>
      <c r="B882" s="1" t="s">
        <v>1930</v>
      </c>
      <c r="C882" t="s">
        <v>1931</v>
      </c>
      <c r="D882" s="1" t="s">
        <v>1932</v>
      </c>
      <c r="E882" t="b">
        <v>0</v>
      </c>
      <c r="F882">
        <v>156</v>
      </c>
      <c r="G882">
        <v>219</v>
      </c>
      <c r="H882" t="s">
        <v>370</v>
      </c>
      <c r="I882" t="b" cm="1">
        <f t="array" ref="I882">isDup(B882,B883, 0.7)</f>
        <v>0</v>
      </c>
    </row>
    <row r="883" spans="1:9" ht="34" x14ac:dyDescent="0.2">
      <c r="A883" t="s">
        <v>1965</v>
      </c>
      <c r="B883" s="1" t="s">
        <v>1966</v>
      </c>
      <c r="C883" t="s">
        <v>671</v>
      </c>
      <c r="D883" s="1" t="s">
        <v>672</v>
      </c>
      <c r="E883" t="b">
        <v>0</v>
      </c>
      <c r="F883">
        <v>4758</v>
      </c>
      <c r="G883">
        <v>3442</v>
      </c>
      <c r="H883" t="s">
        <v>11</v>
      </c>
      <c r="I883" t="b" cm="1">
        <f t="array" ref="I883">isDup(B883,B884, 0.7)</f>
        <v>1</v>
      </c>
    </row>
    <row r="884" spans="1:9" ht="17" x14ac:dyDescent="0.2">
      <c r="A884" t="s">
        <v>7077</v>
      </c>
      <c r="B884" s="1" t="s">
        <v>7078</v>
      </c>
      <c r="C884" t="s">
        <v>617</v>
      </c>
      <c r="D884" s="1" t="s">
        <v>618</v>
      </c>
      <c r="E884" t="b">
        <v>0</v>
      </c>
      <c r="F884">
        <v>13405</v>
      </c>
      <c r="G884">
        <v>13240</v>
      </c>
      <c r="H884" t="s">
        <v>11</v>
      </c>
      <c r="I884" t="b" cm="1">
        <f t="array" ref="I884">isDup(B884,B885, 0.7)</f>
        <v>1</v>
      </c>
    </row>
    <row r="885" spans="1:9" ht="17" x14ac:dyDescent="0.2">
      <c r="A885" t="s">
        <v>7113</v>
      </c>
      <c r="B885" s="1" t="s">
        <v>7115</v>
      </c>
      <c r="C885" t="s">
        <v>387</v>
      </c>
      <c r="D885" s="1" t="s">
        <v>1435</v>
      </c>
      <c r="E885" t="b">
        <v>0</v>
      </c>
      <c r="F885">
        <v>32</v>
      </c>
      <c r="G885">
        <v>141</v>
      </c>
      <c r="H885" t="s">
        <v>11</v>
      </c>
      <c r="I885" t="b" cm="1">
        <f t="array" ref="I885">isDup(B885,B886, 0.7)</f>
        <v>1</v>
      </c>
    </row>
    <row r="886" spans="1:9" ht="34" x14ac:dyDescent="0.2">
      <c r="A886" t="s">
        <v>7075</v>
      </c>
      <c r="B886" s="1" t="s">
        <v>7076</v>
      </c>
      <c r="C886" t="s">
        <v>600</v>
      </c>
      <c r="D886" s="1" t="s">
        <v>601</v>
      </c>
      <c r="E886" t="b">
        <v>0</v>
      </c>
      <c r="F886">
        <v>2134</v>
      </c>
      <c r="G886">
        <v>4158</v>
      </c>
      <c r="H886" t="s">
        <v>11</v>
      </c>
      <c r="I886" t="b" cm="1">
        <f t="array" ref="I886">isDup(B886,B887, 0.7)</f>
        <v>0</v>
      </c>
    </row>
    <row r="887" spans="1:9" ht="17" x14ac:dyDescent="0.2">
      <c r="A887" t="s">
        <v>7160</v>
      </c>
      <c r="B887" s="1" t="s">
        <v>7161</v>
      </c>
      <c r="C887" t="s">
        <v>4731</v>
      </c>
      <c r="D887" s="1" t="s">
        <v>5642</v>
      </c>
      <c r="E887" t="b">
        <v>0</v>
      </c>
      <c r="F887">
        <v>312</v>
      </c>
      <c r="G887">
        <v>1006</v>
      </c>
      <c r="H887" t="s">
        <v>110</v>
      </c>
      <c r="I887" t="b" cm="1">
        <f t="array" ref="I887">isDup(B887,B888, 0.7)</f>
        <v>0</v>
      </c>
    </row>
    <row r="888" spans="1:9" ht="34" x14ac:dyDescent="0.2">
      <c r="A888" t="s">
        <v>7101</v>
      </c>
      <c r="B888" s="1" t="s">
        <v>7102</v>
      </c>
      <c r="C888" t="s">
        <v>671</v>
      </c>
      <c r="D888" s="1" t="s">
        <v>672</v>
      </c>
      <c r="E888" t="b">
        <v>0</v>
      </c>
      <c r="F888">
        <v>4757</v>
      </c>
      <c r="G888">
        <v>3442</v>
      </c>
      <c r="H888" t="s">
        <v>11</v>
      </c>
      <c r="I888" t="b" cm="1">
        <f t="array" ref="I888">isDup(B888,B889, 0.7)</f>
        <v>1</v>
      </c>
    </row>
    <row r="889" spans="1:9" ht="17" x14ac:dyDescent="0.2">
      <c r="A889" t="s">
        <v>6436</v>
      </c>
      <c r="B889" s="1" t="s">
        <v>6437</v>
      </c>
      <c r="C889" t="s">
        <v>617</v>
      </c>
      <c r="D889" s="1" t="s">
        <v>618</v>
      </c>
      <c r="E889" t="b">
        <v>0</v>
      </c>
      <c r="F889">
        <v>13401</v>
      </c>
      <c r="G889">
        <v>13241</v>
      </c>
      <c r="H889" t="s">
        <v>11</v>
      </c>
      <c r="I889" t="b" cm="1">
        <f t="array" ref="I889">isDup(B889,B890, 0.7)</f>
        <v>1</v>
      </c>
    </row>
    <row r="890" spans="1:9" ht="17" x14ac:dyDescent="0.2">
      <c r="A890" t="s">
        <v>6451</v>
      </c>
      <c r="B890" s="1" t="s">
        <v>6452</v>
      </c>
      <c r="C890" t="s">
        <v>387</v>
      </c>
      <c r="D890" s="1" t="s">
        <v>1435</v>
      </c>
      <c r="E890" t="b">
        <v>0</v>
      </c>
      <c r="F890">
        <v>32</v>
      </c>
      <c r="G890">
        <v>141</v>
      </c>
      <c r="H890" t="s">
        <v>11</v>
      </c>
      <c r="I890" t="b" cm="1">
        <f t="array" ref="I890">isDup(B890,B891, 0.7)</f>
        <v>1</v>
      </c>
    </row>
    <row r="891" spans="1:9" ht="34" x14ac:dyDescent="0.2">
      <c r="A891" t="s">
        <v>6470</v>
      </c>
      <c r="B891" s="1" t="s">
        <v>6471</v>
      </c>
      <c r="C891" t="s">
        <v>623</v>
      </c>
      <c r="D891" s="1" t="s">
        <v>624</v>
      </c>
      <c r="E891" t="b">
        <v>0</v>
      </c>
      <c r="F891">
        <v>3563</v>
      </c>
      <c r="G891">
        <v>88</v>
      </c>
      <c r="H891" t="s">
        <v>11</v>
      </c>
      <c r="I891" t="b" cm="1">
        <f t="array" ref="I891">isDup(B891,B892, 0.7)</f>
        <v>0</v>
      </c>
    </row>
    <row r="892" spans="1:9" ht="34" x14ac:dyDescent="0.2">
      <c r="A892" t="s">
        <v>6487</v>
      </c>
      <c r="B892" s="1" t="s">
        <v>6488</v>
      </c>
      <c r="C892" t="s">
        <v>600</v>
      </c>
      <c r="D892" s="1" t="s">
        <v>601</v>
      </c>
      <c r="E892" t="b">
        <v>0</v>
      </c>
      <c r="F892">
        <v>2134</v>
      </c>
      <c r="G892">
        <v>4158</v>
      </c>
      <c r="H892" t="s">
        <v>11</v>
      </c>
      <c r="I892" t="b" cm="1">
        <f t="array" ref="I892">isDup(B892,B893, 0.7)</f>
        <v>0</v>
      </c>
    </row>
    <row r="893" spans="1:9" ht="17" x14ac:dyDescent="0.2">
      <c r="A893" t="s">
        <v>6438</v>
      </c>
      <c r="B893" s="1" t="s">
        <v>6439</v>
      </c>
      <c r="C893" t="s">
        <v>6249</v>
      </c>
      <c r="D893" s="1" t="s">
        <v>61</v>
      </c>
      <c r="E893" t="b">
        <v>0</v>
      </c>
      <c r="F893">
        <v>2476</v>
      </c>
      <c r="G893">
        <v>4848</v>
      </c>
      <c r="H893" t="s">
        <v>11</v>
      </c>
      <c r="I893" t="b" cm="1">
        <f t="array" ref="I893">isDup(B893,B894, 0.7)</f>
        <v>0</v>
      </c>
    </row>
    <row r="894" spans="1:9" ht="34" x14ac:dyDescent="0.2">
      <c r="A894" t="s">
        <v>6443</v>
      </c>
      <c r="B894" s="1" t="s">
        <v>6444</v>
      </c>
      <c r="C894" t="s">
        <v>671</v>
      </c>
      <c r="D894" s="1" t="s">
        <v>672</v>
      </c>
      <c r="E894" t="b">
        <v>0</v>
      </c>
      <c r="F894">
        <v>4757</v>
      </c>
      <c r="G894">
        <v>3442</v>
      </c>
      <c r="H894" t="s">
        <v>11</v>
      </c>
      <c r="I894" t="b" cm="1">
        <f t="array" ref="I894">isDup(B894,B895, 0.7)</f>
        <v>1</v>
      </c>
    </row>
    <row r="895" spans="1:9" ht="17" x14ac:dyDescent="0.2">
      <c r="A895" t="s">
        <v>4294</v>
      </c>
      <c r="B895" s="1" t="s">
        <v>4295</v>
      </c>
      <c r="C895" t="s">
        <v>4296</v>
      </c>
      <c r="D895" s="1" t="s">
        <v>2109</v>
      </c>
      <c r="E895" t="b">
        <v>0</v>
      </c>
      <c r="F895">
        <v>3542</v>
      </c>
      <c r="G895">
        <v>3480</v>
      </c>
      <c r="H895" t="s">
        <v>11</v>
      </c>
      <c r="I895" t="b" cm="1">
        <f t="array" ref="I895">isDup(B895,B896, 0.7)</f>
        <v>1</v>
      </c>
    </row>
    <row r="896" spans="1:9" ht="17" x14ac:dyDescent="0.2">
      <c r="A896" t="s">
        <v>4302</v>
      </c>
      <c r="B896" s="1" t="s">
        <v>4303</v>
      </c>
      <c r="C896" t="s">
        <v>387</v>
      </c>
      <c r="D896" s="1" t="s">
        <v>1435</v>
      </c>
      <c r="E896" t="b">
        <v>0</v>
      </c>
      <c r="F896">
        <v>32</v>
      </c>
      <c r="G896">
        <v>141</v>
      </c>
      <c r="H896" t="s">
        <v>11</v>
      </c>
      <c r="I896" t="b" cm="1">
        <f t="array" ref="I896">isDup(B896,B897, 0.7)</f>
        <v>1</v>
      </c>
    </row>
    <row r="897" spans="1:9" ht="34" x14ac:dyDescent="0.2">
      <c r="A897" t="s">
        <v>4335</v>
      </c>
      <c r="B897" s="1" t="s">
        <v>4336</v>
      </c>
      <c r="C897" t="s">
        <v>623</v>
      </c>
      <c r="D897" s="1" t="s">
        <v>624</v>
      </c>
      <c r="E897" t="b">
        <v>0</v>
      </c>
      <c r="F897">
        <v>3563</v>
      </c>
      <c r="G897">
        <v>88</v>
      </c>
      <c r="H897" t="s">
        <v>11</v>
      </c>
      <c r="I897" t="b" cm="1">
        <f t="array" ref="I897">isDup(B897,B898, 0.7)</f>
        <v>0</v>
      </c>
    </row>
    <row r="898" spans="1:9" ht="34" x14ac:dyDescent="0.2">
      <c r="A898" t="s">
        <v>4347</v>
      </c>
      <c r="B898" s="1" t="s">
        <v>4348</v>
      </c>
      <c r="C898" t="s">
        <v>600</v>
      </c>
      <c r="D898" s="1" t="s">
        <v>601</v>
      </c>
      <c r="E898" t="b">
        <v>0</v>
      </c>
      <c r="F898">
        <v>2120</v>
      </c>
      <c r="G898">
        <v>4146</v>
      </c>
      <c r="H898" t="s">
        <v>11</v>
      </c>
      <c r="I898" t="b" cm="1">
        <f t="array" ref="I898">isDup(B898,B899, 0.7)</f>
        <v>0</v>
      </c>
    </row>
    <row r="899" spans="1:9" ht="17" x14ac:dyDescent="0.2">
      <c r="A899" t="s">
        <v>4322</v>
      </c>
      <c r="B899" s="1" t="s">
        <v>4323</v>
      </c>
      <c r="C899" t="s">
        <v>4324</v>
      </c>
      <c r="D899" s="1" t="s">
        <v>2</v>
      </c>
      <c r="E899" t="b">
        <v>0</v>
      </c>
      <c r="F899">
        <v>211</v>
      </c>
      <c r="G899">
        <v>315</v>
      </c>
      <c r="H899" t="s">
        <v>11</v>
      </c>
      <c r="I899" t="b" cm="1">
        <f t="array" ref="I899">isDup(B899,B900, 0.7)</f>
        <v>0</v>
      </c>
    </row>
    <row r="900" spans="1:9" ht="34" x14ac:dyDescent="0.2">
      <c r="A900" t="s">
        <v>4281</v>
      </c>
      <c r="B900" s="1" t="s">
        <v>4282</v>
      </c>
      <c r="C900" t="s">
        <v>671</v>
      </c>
      <c r="D900" s="1" t="s">
        <v>672</v>
      </c>
      <c r="E900" t="b">
        <v>0</v>
      </c>
      <c r="F900">
        <v>4758</v>
      </c>
      <c r="G900">
        <v>3442</v>
      </c>
      <c r="H900" t="s">
        <v>11</v>
      </c>
      <c r="I900" t="b" cm="1">
        <f t="array" ref="I900">isDup(B900,B901, 0.7)</f>
        <v>1</v>
      </c>
    </row>
    <row r="901" spans="1:9" ht="17" x14ac:dyDescent="0.2">
      <c r="A901" t="s">
        <v>2703</v>
      </c>
      <c r="B901" s="1" t="s">
        <v>2704</v>
      </c>
      <c r="C901" t="s">
        <v>2705</v>
      </c>
      <c r="D901" s="1" t="s">
        <v>2</v>
      </c>
      <c r="E901" t="b">
        <v>0</v>
      </c>
      <c r="F901">
        <v>15</v>
      </c>
      <c r="G901">
        <v>18</v>
      </c>
      <c r="H901" t="s">
        <v>641</v>
      </c>
      <c r="I901" t="b" cm="1">
        <f t="array" ref="I901">isDup(B901,B902, 0.7)</f>
        <v>1</v>
      </c>
    </row>
    <row r="902" spans="1:9" ht="17" x14ac:dyDescent="0.2">
      <c r="A902" t="s">
        <v>2696</v>
      </c>
      <c r="B902" s="1" t="s">
        <v>2700</v>
      </c>
      <c r="C902" t="s">
        <v>2701</v>
      </c>
      <c r="D902" s="1" t="s">
        <v>2702</v>
      </c>
      <c r="E902" t="b">
        <v>1</v>
      </c>
      <c r="F902">
        <v>20127</v>
      </c>
      <c r="G902">
        <v>14655</v>
      </c>
      <c r="H902" t="s">
        <v>11</v>
      </c>
      <c r="I902" t="b" cm="1">
        <f t="array" ref="I902">isDup(B902,B903, 0.7)</f>
        <v>1</v>
      </c>
    </row>
    <row r="903" spans="1:9" ht="34" x14ac:dyDescent="0.2">
      <c r="A903" t="s">
        <v>2692</v>
      </c>
      <c r="B903" s="1" t="s">
        <v>2693</v>
      </c>
      <c r="C903" t="s">
        <v>623</v>
      </c>
      <c r="D903" s="1" t="s">
        <v>624</v>
      </c>
      <c r="E903" t="b">
        <v>0</v>
      </c>
      <c r="F903">
        <v>3565</v>
      </c>
      <c r="G903">
        <v>88</v>
      </c>
      <c r="H903" t="s">
        <v>11</v>
      </c>
      <c r="I903" t="b" cm="1">
        <f t="array" ref="I903">isDup(B903,B904, 0.7)</f>
        <v>1</v>
      </c>
    </row>
    <row r="904" spans="1:9" ht="17" x14ac:dyDescent="0.2">
      <c r="A904" t="s">
        <v>2744</v>
      </c>
      <c r="B904" s="1" t="s">
        <v>2745</v>
      </c>
      <c r="C904" t="s">
        <v>2173</v>
      </c>
      <c r="D904" s="1" t="s">
        <v>2746</v>
      </c>
      <c r="E904" t="b">
        <v>0</v>
      </c>
      <c r="F904">
        <v>381</v>
      </c>
      <c r="G904">
        <v>594</v>
      </c>
      <c r="H904" t="s">
        <v>11</v>
      </c>
      <c r="I904" t="b" cm="1">
        <f t="array" ref="I904">isDup(B904,B905, 0.7)</f>
        <v>0</v>
      </c>
    </row>
    <row r="905" spans="1:9" ht="34" x14ac:dyDescent="0.2">
      <c r="A905" t="s">
        <v>2727</v>
      </c>
      <c r="B905" s="1" t="s">
        <v>2728</v>
      </c>
      <c r="C905" t="s">
        <v>600</v>
      </c>
      <c r="D905" s="1" t="s">
        <v>601</v>
      </c>
      <c r="E905" t="b">
        <v>0</v>
      </c>
      <c r="F905">
        <v>2121</v>
      </c>
      <c r="G905">
        <v>4145</v>
      </c>
      <c r="H905" t="s">
        <v>11</v>
      </c>
      <c r="I905" t="b" cm="1">
        <f t="array" ref="I905">isDup(B905,B906, 0.7)</f>
        <v>0</v>
      </c>
    </row>
    <row r="906" spans="1:9" ht="17" x14ac:dyDescent="0.2">
      <c r="A906" t="s">
        <v>2720</v>
      </c>
      <c r="B906" s="1" t="s">
        <v>2721</v>
      </c>
      <c r="C906" t="s">
        <v>564</v>
      </c>
      <c r="D906" s="1" t="s">
        <v>322</v>
      </c>
      <c r="E906" t="b">
        <v>0</v>
      </c>
      <c r="F906">
        <v>441</v>
      </c>
      <c r="G906">
        <v>416</v>
      </c>
      <c r="H906" t="s">
        <v>11</v>
      </c>
      <c r="I906" t="b" cm="1">
        <f t="array" ref="I906">isDup(B906,B907, 0.7)</f>
        <v>0</v>
      </c>
    </row>
    <row r="907" spans="1:9" ht="34" x14ac:dyDescent="0.2">
      <c r="A907" t="s">
        <v>2683</v>
      </c>
      <c r="B907" s="1" t="s">
        <v>2684</v>
      </c>
      <c r="C907" t="s">
        <v>671</v>
      </c>
      <c r="D907" s="1" t="s">
        <v>672</v>
      </c>
      <c r="E907" t="b">
        <v>0</v>
      </c>
      <c r="F907">
        <v>4758</v>
      </c>
      <c r="G907">
        <v>3442</v>
      </c>
      <c r="H907" t="s">
        <v>11</v>
      </c>
      <c r="I907" t="b" cm="1">
        <f t="array" ref="I907">isDup(B907,B908, 0.7)</f>
        <v>1</v>
      </c>
    </row>
    <row r="908" spans="1:9" ht="17" x14ac:dyDescent="0.2">
      <c r="A908" t="s">
        <v>5658</v>
      </c>
      <c r="B908" s="1" t="s">
        <v>5659</v>
      </c>
      <c r="C908" t="s">
        <v>617</v>
      </c>
      <c r="D908" s="1" t="s">
        <v>618</v>
      </c>
      <c r="E908" t="b">
        <v>0</v>
      </c>
      <c r="F908">
        <v>13398</v>
      </c>
      <c r="G908">
        <v>13241</v>
      </c>
      <c r="H908" t="s">
        <v>11</v>
      </c>
      <c r="I908" t="b" cm="1">
        <f t="array" ref="I908">isDup(B908,B909, 0.7)</f>
        <v>1</v>
      </c>
    </row>
    <row r="909" spans="1:9" ht="17" x14ac:dyDescent="0.2">
      <c r="A909" t="s">
        <v>5650</v>
      </c>
      <c r="B909" s="1" t="s">
        <v>5651</v>
      </c>
      <c r="C909" t="s">
        <v>387</v>
      </c>
      <c r="D909" s="1" t="s">
        <v>1435</v>
      </c>
      <c r="E909" t="b">
        <v>0</v>
      </c>
      <c r="F909">
        <v>32</v>
      </c>
      <c r="G909">
        <v>141</v>
      </c>
      <c r="H909" t="s">
        <v>11</v>
      </c>
      <c r="I909" t="b" cm="1">
        <f t="array" ref="I909">isDup(B909,B910, 0.7)</f>
        <v>1</v>
      </c>
    </row>
    <row r="910" spans="1:9" ht="34" x14ac:dyDescent="0.2">
      <c r="A910" t="s">
        <v>5673</v>
      </c>
      <c r="B910" s="1" t="s">
        <v>5674</v>
      </c>
      <c r="C910" t="s">
        <v>600</v>
      </c>
      <c r="D910" s="1" t="s">
        <v>601</v>
      </c>
      <c r="E910" t="b">
        <v>0</v>
      </c>
      <c r="F910">
        <v>2123</v>
      </c>
      <c r="G910">
        <v>4146</v>
      </c>
      <c r="H910" t="s">
        <v>11</v>
      </c>
      <c r="I910" t="b" cm="1">
        <f t="array" ref="I910">isDup(B910,B911, 0.7)</f>
        <v>0</v>
      </c>
    </row>
    <row r="911" spans="1:9" ht="34" x14ac:dyDescent="0.2">
      <c r="A911" t="s">
        <v>5689</v>
      </c>
      <c r="B911" s="1" t="s">
        <v>5690</v>
      </c>
      <c r="C911" t="s">
        <v>623</v>
      </c>
      <c r="D911" s="1" t="s">
        <v>624</v>
      </c>
      <c r="E911" t="b">
        <v>0</v>
      </c>
      <c r="F911">
        <v>3563</v>
      </c>
      <c r="G911">
        <v>88</v>
      </c>
      <c r="H911" t="s">
        <v>11</v>
      </c>
      <c r="I911" t="b" cm="1">
        <f t="array" ref="I911">isDup(B911,B912, 0.7)</f>
        <v>0</v>
      </c>
    </row>
    <row r="912" spans="1:9" ht="17" x14ac:dyDescent="0.2">
      <c r="A912" t="s">
        <v>5697</v>
      </c>
      <c r="B912" s="1" t="s">
        <v>5698</v>
      </c>
      <c r="C912" t="s">
        <v>5699</v>
      </c>
      <c r="D912" s="1" t="s">
        <v>5700</v>
      </c>
      <c r="E912" t="b">
        <v>0</v>
      </c>
      <c r="F912">
        <v>200</v>
      </c>
      <c r="G912">
        <v>661</v>
      </c>
      <c r="H912" t="s">
        <v>11</v>
      </c>
      <c r="I912" t="b" cm="1">
        <f t="array" ref="I912">isDup(B912,B913, 0.7)</f>
        <v>0</v>
      </c>
    </row>
    <row r="913" spans="1:9" ht="34" x14ac:dyDescent="0.2">
      <c r="A913" t="s">
        <v>5637</v>
      </c>
      <c r="B913" s="1" t="s">
        <v>5638</v>
      </c>
      <c r="C913" t="s">
        <v>671</v>
      </c>
      <c r="D913" s="1" t="s">
        <v>672</v>
      </c>
      <c r="E913" t="b">
        <v>0</v>
      </c>
      <c r="F913">
        <v>4757</v>
      </c>
      <c r="G913">
        <v>3442</v>
      </c>
      <c r="H913" t="s">
        <v>11</v>
      </c>
      <c r="I913" t="b" cm="1">
        <f t="array" ref="I913">isDup(B913,B914, 0.7)</f>
        <v>1</v>
      </c>
    </row>
    <row r="914" spans="1:9" ht="17" x14ac:dyDescent="0.2">
      <c r="A914" t="s">
        <v>5714</v>
      </c>
      <c r="B914" s="1" t="s">
        <v>5715</v>
      </c>
      <c r="C914" t="s">
        <v>584</v>
      </c>
      <c r="D914" s="1" t="s">
        <v>1978</v>
      </c>
      <c r="E914" t="b">
        <v>0</v>
      </c>
      <c r="F914">
        <v>186</v>
      </c>
      <c r="G914">
        <v>211</v>
      </c>
      <c r="H914" t="s">
        <v>641</v>
      </c>
      <c r="I914" t="b" cm="1">
        <f t="array" ref="I914">isDup(B914,B915, 0.7)</f>
        <v>1</v>
      </c>
    </row>
    <row r="915" spans="1:9" ht="17" x14ac:dyDescent="0.2">
      <c r="A915" t="s">
        <v>6498</v>
      </c>
      <c r="B915" s="1" t="s">
        <v>6499</v>
      </c>
      <c r="C915" t="s">
        <v>2112</v>
      </c>
      <c r="D915" s="1" t="s">
        <v>6500</v>
      </c>
      <c r="E915" t="b">
        <v>0</v>
      </c>
      <c r="F915">
        <v>450</v>
      </c>
      <c r="G915">
        <v>1820</v>
      </c>
      <c r="H915" t="s">
        <v>110</v>
      </c>
      <c r="I915" t="b" cm="1">
        <f t="array" ref="I915">isDup(B915,B916, 0.7)</f>
        <v>0</v>
      </c>
    </row>
    <row r="916" spans="1:9" ht="17" x14ac:dyDescent="0.2">
      <c r="A916" t="s">
        <v>8</v>
      </c>
      <c r="B916" s="1" t="s">
        <v>9</v>
      </c>
      <c r="C916" t="s">
        <v>10</v>
      </c>
      <c r="D916" s="1" t="s">
        <v>2</v>
      </c>
      <c r="E916" t="b">
        <v>0</v>
      </c>
      <c r="F916">
        <v>44</v>
      </c>
      <c r="G916">
        <v>9</v>
      </c>
      <c r="H916" t="s">
        <v>11</v>
      </c>
      <c r="I916" t="b" cm="1">
        <f t="array" ref="I916">isDup(B916,B917, 0.7)</f>
        <v>1</v>
      </c>
    </row>
    <row r="917" spans="1:9" ht="17" x14ac:dyDescent="0.2">
      <c r="A917" t="s">
        <v>650</v>
      </c>
      <c r="B917" s="1" t="s">
        <v>651</v>
      </c>
      <c r="C917" t="s">
        <v>10</v>
      </c>
      <c r="D917" s="1" t="s">
        <v>2</v>
      </c>
      <c r="E917" t="b">
        <v>0</v>
      </c>
      <c r="F917">
        <v>44</v>
      </c>
      <c r="G917">
        <v>9</v>
      </c>
      <c r="H917" t="s">
        <v>11</v>
      </c>
      <c r="I917" t="b" cm="1">
        <f t="array" ref="I917">isDup(B917,B918, 0.7)</f>
        <v>1</v>
      </c>
    </row>
    <row r="918" spans="1:9" ht="17" x14ac:dyDescent="0.2">
      <c r="A918" t="s">
        <v>1255</v>
      </c>
      <c r="B918" s="1" t="s">
        <v>1256</v>
      </c>
      <c r="C918" t="s">
        <v>10</v>
      </c>
      <c r="D918" s="1" t="s">
        <v>2</v>
      </c>
      <c r="E918" t="b">
        <v>0</v>
      </c>
      <c r="F918">
        <v>44</v>
      </c>
      <c r="G918">
        <v>9</v>
      </c>
      <c r="H918" t="s">
        <v>11</v>
      </c>
      <c r="I918" t="b" cm="1">
        <f t="array" ref="I918">isDup(B918,B919, 0.7)</f>
        <v>1</v>
      </c>
    </row>
    <row r="919" spans="1:9" ht="17" x14ac:dyDescent="0.2">
      <c r="A919" t="s">
        <v>1241</v>
      </c>
      <c r="B919" s="1" t="s">
        <v>1242</v>
      </c>
      <c r="C919" t="s">
        <v>117</v>
      </c>
      <c r="D919" s="1" t="s">
        <v>2</v>
      </c>
      <c r="E919" t="b">
        <v>0</v>
      </c>
      <c r="F919">
        <v>18</v>
      </c>
      <c r="G919">
        <v>51</v>
      </c>
      <c r="H919" t="s">
        <v>83</v>
      </c>
      <c r="I919" t="b" cm="1">
        <f t="array" ref="I919">isDup(B919,B920, 0.7)</f>
        <v>1</v>
      </c>
    </row>
    <row r="920" spans="1:9" ht="17" x14ac:dyDescent="0.2">
      <c r="A920" t="s">
        <v>1215</v>
      </c>
      <c r="B920" s="1" t="s">
        <v>1216</v>
      </c>
      <c r="C920" t="s">
        <v>1217</v>
      </c>
      <c r="D920" s="1" t="s">
        <v>1218</v>
      </c>
      <c r="E920" t="b">
        <v>0</v>
      </c>
      <c r="F920">
        <v>1134</v>
      </c>
      <c r="G920">
        <v>1615</v>
      </c>
      <c r="H920" t="s">
        <v>11</v>
      </c>
      <c r="I920" t="b" cm="1">
        <f t="array" ref="I920">isDup(B920,B921, 0.7)</f>
        <v>0</v>
      </c>
    </row>
    <row r="921" spans="1:9" ht="17" x14ac:dyDescent="0.2">
      <c r="A921" t="s">
        <v>5006</v>
      </c>
      <c r="B921" s="1" t="s">
        <v>5007</v>
      </c>
      <c r="C921" t="s">
        <v>10</v>
      </c>
      <c r="D921" s="1" t="s">
        <v>2</v>
      </c>
      <c r="E921" t="b">
        <v>0</v>
      </c>
      <c r="F921">
        <v>44</v>
      </c>
      <c r="G921">
        <v>9</v>
      </c>
      <c r="H921" t="s">
        <v>11</v>
      </c>
      <c r="I921" t="b" cm="1">
        <f t="array" ref="I921">isDup(B921,B922, 0.7)</f>
        <v>1</v>
      </c>
    </row>
    <row r="922" spans="1:9" ht="17" x14ac:dyDescent="0.2">
      <c r="A922" t="s">
        <v>3505</v>
      </c>
      <c r="B922" s="1" t="s">
        <v>3506</v>
      </c>
      <c r="C922" t="s">
        <v>3439</v>
      </c>
      <c r="D922" s="1" t="s">
        <v>2</v>
      </c>
      <c r="E922" t="b">
        <v>0</v>
      </c>
      <c r="F922">
        <v>28</v>
      </c>
      <c r="G922">
        <v>42</v>
      </c>
      <c r="H922" t="s">
        <v>3</v>
      </c>
      <c r="I922" t="b" cm="1">
        <f t="array" ref="I922">isDup(B922,B923, 0.7)</f>
        <v>1</v>
      </c>
    </row>
    <row r="923" spans="1:9" ht="17" x14ac:dyDescent="0.2">
      <c r="A923" t="s">
        <v>1941</v>
      </c>
      <c r="B923" s="1" t="s">
        <v>1944</v>
      </c>
      <c r="C923" t="s">
        <v>10</v>
      </c>
      <c r="D923" s="1" t="s">
        <v>2</v>
      </c>
      <c r="E923" t="b">
        <v>0</v>
      </c>
      <c r="F923">
        <v>44</v>
      </c>
      <c r="G923">
        <v>9</v>
      </c>
      <c r="H923" t="s">
        <v>11</v>
      </c>
      <c r="I923" t="b" cm="1">
        <f t="array" ref="I923">isDup(B923,B924, 0.7)</f>
        <v>1</v>
      </c>
    </row>
    <row r="924" spans="1:9" ht="17" x14ac:dyDescent="0.2">
      <c r="A924" t="s">
        <v>1958</v>
      </c>
      <c r="B924" s="1" t="s">
        <v>1959</v>
      </c>
      <c r="C924" t="s">
        <v>627</v>
      </c>
      <c r="D924" s="1" t="s">
        <v>1960</v>
      </c>
      <c r="E924" t="b">
        <v>0</v>
      </c>
      <c r="F924">
        <v>495</v>
      </c>
      <c r="G924">
        <v>1111</v>
      </c>
      <c r="H924" t="s">
        <v>11</v>
      </c>
      <c r="I924" t="b" cm="1">
        <f t="array" ref="I924">isDup(B924,B925, 0.7)</f>
        <v>0</v>
      </c>
    </row>
    <row r="925" spans="1:9" ht="17" x14ac:dyDescent="0.2">
      <c r="A925" t="s">
        <v>7079</v>
      </c>
      <c r="B925" s="1" t="s">
        <v>7080</v>
      </c>
      <c r="C925" t="s">
        <v>10</v>
      </c>
      <c r="D925" s="1" t="s">
        <v>2</v>
      </c>
      <c r="E925" t="b">
        <v>0</v>
      </c>
      <c r="F925">
        <v>44</v>
      </c>
      <c r="G925">
        <v>9</v>
      </c>
      <c r="H925" t="s">
        <v>11</v>
      </c>
      <c r="I925" t="b" cm="1">
        <f t="array" ref="I925">isDup(B925,B926, 0.7)</f>
        <v>1</v>
      </c>
    </row>
    <row r="926" spans="1:9" ht="17" x14ac:dyDescent="0.2">
      <c r="A926" t="s">
        <v>7113</v>
      </c>
      <c r="B926" s="1" t="s">
        <v>7114</v>
      </c>
      <c r="C926" t="s">
        <v>1217</v>
      </c>
      <c r="D926" s="1" t="s">
        <v>1218</v>
      </c>
      <c r="E926" t="b">
        <v>0</v>
      </c>
      <c r="F926">
        <v>1132</v>
      </c>
      <c r="G926">
        <v>1616</v>
      </c>
      <c r="H926" t="s">
        <v>11</v>
      </c>
      <c r="I926" t="b" cm="1">
        <f t="array" ref="I926">isDup(B926,B927, 0.7)</f>
        <v>0</v>
      </c>
    </row>
    <row r="927" spans="1:9" ht="17" x14ac:dyDescent="0.2">
      <c r="A927" t="s">
        <v>6468</v>
      </c>
      <c r="B927" s="1" t="s">
        <v>6469</v>
      </c>
      <c r="C927" t="s">
        <v>10</v>
      </c>
      <c r="D927" s="1" t="s">
        <v>2</v>
      </c>
      <c r="E927" t="b">
        <v>0</v>
      </c>
      <c r="F927">
        <v>44</v>
      </c>
      <c r="G927">
        <v>9</v>
      </c>
      <c r="H927" t="s">
        <v>11</v>
      </c>
      <c r="I927" t="b" cm="1">
        <f t="array" ref="I927">isDup(B927,B928, 0.7)</f>
        <v>1</v>
      </c>
    </row>
    <row r="928" spans="1:9" ht="17" x14ac:dyDescent="0.2">
      <c r="A928" t="s">
        <v>4285</v>
      </c>
      <c r="B928" s="1" t="s">
        <v>4286</v>
      </c>
      <c r="C928" t="s">
        <v>10</v>
      </c>
      <c r="D928" s="1" t="s">
        <v>2</v>
      </c>
      <c r="E928" t="b">
        <v>0</v>
      </c>
      <c r="F928">
        <v>44</v>
      </c>
      <c r="G928">
        <v>9</v>
      </c>
      <c r="H928" t="s">
        <v>11</v>
      </c>
      <c r="I928" t="b" cm="1">
        <f t="array" ref="I928">isDup(B928,B929, 0.7)</f>
        <v>1</v>
      </c>
    </row>
    <row r="929" spans="1:9" ht="17" x14ac:dyDescent="0.2">
      <c r="A929" t="s">
        <v>4317</v>
      </c>
      <c r="B929" s="1" t="s">
        <v>4319</v>
      </c>
      <c r="C929" t="s">
        <v>275</v>
      </c>
      <c r="D929" s="1" t="s">
        <v>158</v>
      </c>
      <c r="E929" t="b">
        <v>0</v>
      </c>
      <c r="F929">
        <v>159</v>
      </c>
      <c r="G929">
        <v>722</v>
      </c>
      <c r="H929" t="s">
        <v>11</v>
      </c>
      <c r="I929" t="b" cm="1">
        <f t="array" ref="I929">isDup(B929,B930, 0.7)</f>
        <v>1</v>
      </c>
    </row>
    <row r="930" spans="1:9" ht="17" x14ac:dyDescent="0.2">
      <c r="A930" t="s">
        <v>4317</v>
      </c>
      <c r="B930" s="1" t="s">
        <v>4318</v>
      </c>
      <c r="C930" t="s">
        <v>1217</v>
      </c>
      <c r="D930" s="1" t="s">
        <v>1218</v>
      </c>
      <c r="E930" t="b">
        <v>0</v>
      </c>
      <c r="F930">
        <v>1133</v>
      </c>
      <c r="G930">
        <v>1615</v>
      </c>
      <c r="H930" t="s">
        <v>11</v>
      </c>
      <c r="I930" t="b" cm="1">
        <f t="array" ref="I930">isDup(B930,B931, 0.7)</f>
        <v>0</v>
      </c>
    </row>
    <row r="931" spans="1:9" ht="34" x14ac:dyDescent="0.2">
      <c r="A931" t="s">
        <v>4339</v>
      </c>
      <c r="B931" s="1" t="s">
        <v>4340</v>
      </c>
      <c r="C931" t="s">
        <v>193</v>
      </c>
      <c r="D931" s="1" t="s">
        <v>4341</v>
      </c>
      <c r="E931" t="b">
        <v>0</v>
      </c>
      <c r="F931">
        <v>10164</v>
      </c>
      <c r="G931">
        <v>0</v>
      </c>
      <c r="H931" t="s">
        <v>11</v>
      </c>
      <c r="I931" t="b" cm="1">
        <f t="array" ref="I931">isDup(B931,B932, 0.7)</f>
        <v>0</v>
      </c>
    </row>
    <row r="932" spans="1:9" ht="17" x14ac:dyDescent="0.2">
      <c r="A932" t="s">
        <v>2736</v>
      </c>
      <c r="B932" s="1" t="s">
        <v>2737</v>
      </c>
      <c r="C932" t="s">
        <v>10</v>
      </c>
      <c r="D932" s="1" t="s">
        <v>2</v>
      </c>
      <c r="E932" t="b">
        <v>0</v>
      </c>
      <c r="F932">
        <v>44</v>
      </c>
      <c r="G932">
        <v>9</v>
      </c>
      <c r="H932" t="s">
        <v>11</v>
      </c>
      <c r="I932" t="b" cm="1">
        <f t="array" ref="I932">isDup(B932,B933, 0.7)</f>
        <v>1</v>
      </c>
    </row>
    <row r="933" spans="1:9" ht="17" x14ac:dyDescent="0.2">
      <c r="A933" t="s">
        <v>2732</v>
      </c>
      <c r="B933" s="1" t="s">
        <v>2733</v>
      </c>
      <c r="C933" t="s">
        <v>2734</v>
      </c>
      <c r="D933" s="1" t="s">
        <v>2735</v>
      </c>
      <c r="E933" t="b">
        <v>0</v>
      </c>
      <c r="F933">
        <v>772</v>
      </c>
      <c r="G933">
        <v>606</v>
      </c>
      <c r="H933" t="s">
        <v>73</v>
      </c>
      <c r="I933" t="b" cm="1">
        <f t="array" ref="I933">isDup(B933,B934, 0.7)</f>
        <v>1</v>
      </c>
    </row>
    <row r="934" spans="1:9" ht="17" x14ac:dyDescent="0.2">
      <c r="A934" t="s">
        <v>2738</v>
      </c>
      <c r="B934" s="1" t="s">
        <v>2739</v>
      </c>
      <c r="C934" t="s">
        <v>1217</v>
      </c>
      <c r="D934" s="1" t="s">
        <v>1218</v>
      </c>
      <c r="E934" t="b">
        <v>0</v>
      </c>
      <c r="F934">
        <v>1133</v>
      </c>
      <c r="G934">
        <v>1615</v>
      </c>
      <c r="H934" t="s">
        <v>11</v>
      </c>
      <c r="I934" t="b" cm="1">
        <f t="array" ref="I934">isDup(B934,B935, 0.7)</f>
        <v>0</v>
      </c>
    </row>
    <row r="935" spans="1:9" ht="17" x14ac:dyDescent="0.2">
      <c r="A935" t="s">
        <v>5660</v>
      </c>
      <c r="B935" s="1" t="s">
        <v>5661</v>
      </c>
      <c r="C935" t="s">
        <v>10</v>
      </c>
      <c r="D935" s="1" t="s">
        <v>2</v>
      </c>
      <c r="E935" t="b">
        <v>0</v>
      </c>
      <c r="F935">
        <v>44</v>
      </c>
      <c r="G935">
        <v>9</v>
      </c>
      <c r="H935" t="s">
        <v>11</v>
      </c>
      <c r="I935" t="b" cm="1">
        <f t="array" ref="I935">isDup(B935,B936, 0.7)</f>
        <v>1</v>
      </c>
    </row>
    <row r="936" spans="1:9" ht="17" x14ac:dyDescent="0.2">
      <c r="A936" t="s">
        <v>5701</v>
      </c>
      <c r="B936" s="1" t="s">
        <v>5702</v>
      </c>
      <c r="C936" t="s">
        <v>1217</v>
      </c>
      <c r="D936" s="1" t="s">
        <v>1218</v>
      </c>
      <c r="E936" t="b">
        <v>0</v>
      </c>
      <c r="F936">
        <v>1133</v>
      </c>
      <c r="G936">
        <v>1615</v>
      </c>
      <c r="H936" t="s">
        <v>11</v>
      </c>
      <c r="I936" t="b" cm="1">
        <f t="array" ref="I936">isDup(B936,B937, 0.7)</f>
        <v>0</v>
      </c>
    </row>
    <row r="937" spans="1:9" ht="17" x14ac:dyDescent="0.2">
      <c r="A937" t="s">
        <v>1956</v>
      </c>
      <c r="B937" s="1" t="s">
        <v>1957</v>
      </c>
      <c r="C937" t="s">
        <v>554</v>
      </c>
      <c r="D937" s="1" t="s">
        <v>61</v>
      </c>
      <c r="E937" t="b">
        <v>0</v>
      </c>
      <c r="F937">
        <v>95</v>
      </c>
      <c r="G937">
        <v>83</v>
      </c>
      <c r="H937" t="s">
        <v>11</v>
      </c>
      <c r="I937" t="b" cm="1">
        <f t="array" ref="I937">isDup(B937,B938, 0.7)</f>
        <v>0</v>
      </c>
    </row>
    <row r="938" spans="1:9" ht="17" x14ac:dyDescent="0.2">
      <c r="A938" t="s">
        <v>5023</v>
      </c>
      <c r="B938" s="1" t="s">
        <v>5024</v>
      </c>
      <c r="C938" t="s">
        <v>5025</v>
      </c>
      <c r="D938" s="1" t="s">
        <v>2</v>
      </c>
      <c r="E938" t="b">
        <v>0</v>
      </c>
      <c r="F938">
        <v>29</v>
      </c>
      <c r="G938">
        <v>180</v>
      </c>
      <c r="H938" t="s">
        <v>3</v>
      </c>
      <c r="I938" t="b" cm="1">
        <f t="array" ref="I938">isDup(B938,B939, 0.7)</f>
        <v>0</v>
      </c>
    </row>
    <row r="939" spans="1:9" ht="17" x14ac:dyDescent="0.2">
      <c r="A939" t="s">
        <v>423</v>
      </c>
      <c r="B939" s="1" t="s">
        <v>424</v>
      </c>
      <c r="C939" t="s">
        <v>425</v>
      </c>
      <c r="D939" s="1" t="s">
        <v>426</v>
      </c>
      <c r="E939" t="b">
        <v>0</v>
      </c>
      <c r="F939">
        <v>192</v>
      </c>
      <c r="G939">
        <v>141</v>
      </c>
      <c r="H939" t="s">
        <v>11</v>
      </c>
      <c r="I939" t="b" cm="1">
        <f t="array" ref="I939">isDup(B939,B940, 0.7)</f>
        <v>0</v>
      </c>
    </row>
    <row r="940" spans="1:9" ht="17" x14ac:dyDescent="0.2">
      <c r="A940" t="s">
        <v>4678</v>
      </c>
      <c r="B940" s="1" t="s">
        <v>4679</v>
      </c>
      <c r="C940" t="s">
        <v>4680</v>
      </c>
      <c r="D940" s="1" t="s">
        <v>4681</v>
      </c>
      <c r="E940" t="b">
        <v>0</v>
      </c>
      <c r="F940">
        <v>1393</v>
      </c>
      <c r="G940">
        <v>433</v>
      </c>
      <c r="H940" t="s">
        <v>11</v>
      </c>
      <c r="I940" t="b" cm="1">
        <f t="array" ref="I940">isDup(B940,B941, 0.7)</f>
        <v>0</v>
      </c>
    </row>
    <row r="941" spans="1:9" ht="17" x14ac:dyDescent="0.2">
      <c r="A941" t="s">
        <v>3373</v>
      </c>
      <c r="B941" s="1" t="s">
        <v>3374</v>
      </c>
      <c r="C941" t="s">
        <v>1388</v>
      </c>
      <c r="D941" s="1" t="s">
        <v>2</v>
      </c>
      <c r="E941" t="b">
        <v>0</v>
      </c>
      <c r="F941">
        <v>10</v>
      </c>
      <c r="G941">
        <v>23</v>
      </c>
      <c r="H941" t="s">
        <v>11</v>
      </c>
      <c r="I941" t="b" cm="1">
        <f t="array" ref="I941">isDup(B941,B942, 0.7)</f>
        <v>0</v>
      </c>
    </row>
    <row r="942" spans="1:9" ht="17" x14ac:dyDescent="0.2">
      <c r="A942" t="s">
        <v>6956</v>
      </c>
      <c r="B942" s="1" t="s">
        <v>6957</v>
      </c>
      <c r="C942" t="s">
        <v>5414</v>
      </c>
      <c r="D942" s="1" t="s">
        <v>6958</v>
      </c>
      <c r="E942" t="b">
        <v>0</v>
      </c>
      <c r="F942">
        <v>613</v>
      </c>
      <c r="G942">
        <v>1262</v>
      </c>
      <c r="H942" t="s">
        <v>11</v>
      </c>
      <c r="I942" t="b" cm="1">
        <f t="array" ref="I942">isDup(B942,B943, 0.7)</f>
        <v>0</v>
      </c>
    </row>
    <row r="943" spans="1:9" ht="17" x14ac:dyDescent="0.2">
      <c r="A943" t="s">
        <v>5655</v>
      </c>
      <c r="B943" s="1" t="s">
        <v>5656</v>
      </c>
      <c r="C943" t="s">
        <v>1226</v>
      </c>
      <c r="D943" s="1" t="s">
        <v>1227</v>
      </c>
      <c r="E943" t="b">
        <v>0</v>
      </c>
      <c r="F943">
        <v>427</v>
      </c>
      <c r="G943">
        <v>768</v>
      </c>
      <c r="H943" t="s">
        <v>11</v>
      </c>
      <c r="I943" t="b" cm="1">
        <f t="array" ref="I943">isDup(B943,B944, 0.7)</f>
        <v>0</v>
      </c>
    </row>
    <row r="944" spans="1:9" ht="17" x14ac:dyDescent="0.2">
      <c r="A944" t="s">
        <v>1748</v>
      </c>
      <c r="B944" s="1" t="s">
        <v>1749</v>
      </c>
      <c r="C944" t="s">
        <v>1750</v>
      </c>
      <c r="D944" s="1" t="s">
        <v>61</v>
      </c>
      <c r="E944" t="b">
        <v>0</v>
      </c>
      <c r="F944">
        <v>2027</v>
      </c>
      <c r="G944">
        <v>331</v>
      </c>
      <c r="H944" t="s">
        <v>11</v>
      </c>
      <c r="I944" t="b" cm="1">
        <f t="array" ref="I944">isDup(B944,B945, 0.7)</f>
        <v>0</v>
      </c>
    </row>
    <row r="945" spans="1:9" ht="34" x14ac:dyDescent="0.2">
      <c r="A945" t="s">
        <v>3339</v>
      </c>
      <c r="B945" s="1" t="s">
        <v>3340</v>
      </c>
      <c r="C945" t="s">
        <v>3341</v>
      </c>
      <c r="D945" s="1" t="s">
        <v>3342</v>
      </c>
      <c r="E945" t="b">
        <v>0</v>
      </c>
      <c r="F945">
        <v>588</v>
      </c>
      <c r="G945">
        <v>433</v>
      </c>
      <c r="H945" t="s">
        <v>110</v>
      </c>
      <c r="I945" t="b" cm="1">
        <f t="array" ref="I945">isDup(B945,B946, 0.7)</f>
        <v>0</v>
      </c>
    </row>
    <row r="946" spans="1:9" ht="34" x14ac:dyDescent="0.2">
      <c r="A946" t="s">
        <v>1450</v>
      </c>
      <c r="B946" s="1" t="s">
        <v>1451</v>
      </c>
      <c r="C946" t="s">
        <v>1452</v>
      </c>
      <c r="D946" s="1" t="s">
        <v>1453</v>
      </c>
      <c r="E946" t="b">
        <v>0</v>
      </c>
      <c r="F946">
        <v>95</v>
      </c>
      <c r="G946">
        <v>621</v>
      </c>
      <c r="H946" t="s">
        <v>11</v>
      </c>
      <c r="I946" t="b" cm="1">
        <f t="array" ref="I946">isDup(B946,B947, 0.7)</f>
        <v>0</v>
      </c>
    </row>
    <row r="947" spans="1:9" ht="34" x14ac:dyDescent="0.2">
      <c r="A947" t="s">
        <v>4982</v>
      </c>
      <c r="B947" s="1" t="s">
        <v>4983</v>
      </c>
      <c r="C947" t="s">
        <v>3365</v>
      </c>
      <c r="D947" s="1" t="s">
        <v>3366</v>
      </c>
      <c r="E947" t="b">
        <v>0</v>
      </c>
      <c r="F947">
        <v>43</v>
      </c>
      <c r="G947">
        <v>38</v>
      </c>
      <c r="H947" t="s">
        <v>11</v>
      </c>
      <c r="I947" t="b" cm="1">
        <f t="array" ref="I947">isDup(B947,B948, 0.7)</f>
        <v>0</v>
      </c>
    </row>
    <row r="948" spans="1:9" ht="17" x14ac:dyDescent="0.2">
      <c r="A948" t="s">
        <v>5669</v>
      </c>
      <c r="B948" s="1" t="s">
        <v>5670</v>
      </c>
      <c r="C948" t="s">
        <v>5671</v>
      </c>
      <c r="D948" s="1" t="s">
        <v>5672</v>
      </c>
      <c r="E948" t="b">
        <v>0</v>
      </c>
      <c r="F948">
        <v>6003</v>
      </c>
      <c r="G948">
        <v>1353</v>
      </c>
      <c r="H948" t="s">
        <v>641</v>
      </c>
      <c r="I948" t="b" cm="1">
        <f t="array" ref="I948">isDup(B948,B949, 0.7)</f>
        <v>0</v>
      </c>
    </row>
    <row r="949" spans="1:9" ht="17" x14ac:dyDescent="0.2">
      <c r="A949" t="s">
        <v>1389</v>
      </c>
      <c r="B949" s="1" t="s">
        <v>1390</v>
      </c>
      <c r="C949" t="s">
        <v>167</v>
      </c>
      <c r="D949" s="1" t="s">
        <v>2</v>
      </c>
      <c r="E949" t="b">
        <v>0</v>
      </c>
      <c r="F949">
        <v>5</v>
      </c>
      <c r="G949">
        <v>52</v>
      </c>
      <c r="H949" t="s">
        <v>11</v>
      </c>
      <c r="I949" t="b" cm="1">
        <f t="array" ref="I949">isDup(B949,B950, 0.7)</f>
        <v>0</v>
      </c>
    </row>
    <row r="950" spans="1:9" ht="17" x14ac:dyDescent="0.2">
      <c r="A950" t="s">
        <v>6592</v>
      </c>
      <c r="B950" s="1" t="s">
        <v>6593</v>
      </c>
      <c r="C950" t="s">
        <v>6594</v>
      </c>
      <c r="D950" s="1" t="s">
        <v>2</v>
      </c>
      <c r="E950" t="b">
        <v>0</v>
      </c>
      <c r="F950">
        <v>32</v>
      </c>
      <c r="G950">
        <v>97</v>
      </c>
      <c r="H950" t="s">
        <v>11</v>
      </c>
      <c r="I950" t="b" cm="1">
        <f t="array" ref="I950">isDup(B950,B951, 0.7)</f>
        <v>0</v>
      </c>
    </row>
    <row r="951" spans="1:9" ht="17" x14ac:dyDescent="0.2">
      <c r="A951" t="s">
        <v>845</v>
      </c>
      <c r="B951" s="1" t="s">
        <v>846</v>
      </c>
      <c r="C951" t="s">
        <v>847</v>
      </c>
      <c r="D951" s="1" t="s">
        <v>848</v>
      </c>
      <c r="E951" t="b">
        <v>0</v>
      </c>
      <c r="F951">
        <v>1948</v>
      </c>
      <c r="G951">
        <v>4978</v>
      </c>
      <c r="H951" t="s">
        <v>11</v>
      </c>
      <c r="I951" t="b" cm="1">
        <f t="array" ref="I951">isDup(B951,B952, 0.7)</f>
        <v>0</v>
      </c>
    </row>
    <row r="952" spans="1:9" ht="17" x14ac:dyDescent="0.2">
      <c r="A952" t="s">
        <v>543</v>
      </c>
      <c r="B952" s="1" t="s">
        <v>544</v>
      </c>
      <c r="C952" t="s">
        <v>545</v>
      </c>
      <c r="D952" s="1" t="s">
        <v>546</v>
      </c>
      <c r="E952" t="b">
        <v>0</v>
      </c>
      <c r="F952">
        <v>1461</v>
      </c>
      <c r="G952">
        <v>110</v>
      </c>
      <c r="H952" t="s">
        <v>11</v>
      </c>
      <c r="I952" t="b" cm="1">
        <f t="array" ref="I952">isDup(B952,B953, 0.7)</f>
        <v>0</v>
      </c>
    </row>
    <row r="953" spans="1:9" ht="34" x14ac:dyDescent="0.2">
      <c r="A953" t="s">
        <v>4357</v>
      </c>
      <c r="B953" s="1" t="s">
        <v>4358</v>
      </c>
      <c r="C953" t="s">
        <v>4359</v>
      </c>
      <c r="D953" s="1" t="s">
        <v>1768</v>
      </c>
      <c r="E953" t="b">
        <v>0</v>
      </c>
      <c r="F953">
        <v>232</v>
      </c>
      <c r="G953">
        <v>177</v>
      </c>
      <c r="H953" t="s">
        <v>11</v>
      </c>
      <c r="I953" t="b" cm="1">
        <f t="array" ref="I953">isDup(B953,B954, 0.7)</f>
        <v>0</v>
      </c>
    </row>
    <row r="954" spans="1:9" ht="17" x14ac:dyDescent="0.2">
      <c r="A954" t="s">
        <v>3446</v>
      </c>
      <c r="B954" s="1" t="s">
        <v>3447</v>
      </c>
      <c r="C954" t="s">
        <v>1753</v>
      </c>
      <c r="D954" s="1" t="s">
        <v>2</v>
      </c>
      <c r="E954" t="b">
        <v>0</v>
      </c>
      <c r="F954">
        <v>7</v>
      </c>
      <c r="G954">
        <v>58</v>
      </c>
      <c r="H954" t="s">
        <v>11</v>
      </c>
      <c r="I954" t="b" cm="1">
        <f t="array" ref="I954">isDup(B954,B955, 0.7)</f>
        <v>0</v>
      </c>
    </row>
    <row r="955" spans="1:9" ht="34" x14ac:dyDescent="0.2">
      <c r="A955" t="s">
        <v>6655</v>
      </c>
      <c r="B955" s="1" t="s">
        <v>6656</v>
      </c>
      <c r="C955" t="s">
        <v>250</v>
      </c>
      <c r="D955" s="1" t="s">
        <v>2</v>
      </c>
      <c r="E955" t="b">
        <v>0</v>
      </c>
      <c r="F955">
        <v>647</v>
      </c>
      <c r="G955">
        <v>460</v>
      </c>
      <c r="H955" t="s">
        <v>11</v>
      </c>
      <c r="I955" t="b" cm="1">
        <f t="array" ref="I955">isDup(B955,B956, 0.7)</f>
        <v>0</v>
      </c>
    </row>
    <row r="956" spans="1:9" ht="34" x14ac:dyDescent="0.2">
      <c r="A956" t="s">
        <v>912</v>
      </c>
      <c r="B956" s="1" t="s">
        <v>913</v>
      </c>
      <c r="C956" t="s">
        <v>700</v>
      </c>
      <c r="D956" s="1" t="s">
        <v>914</v>
      </c>
      <c r="E956" t="b">
        <v>0</v>
      </c>
      <c r="F956">
        <v>214</v>
      </c>
      <c r="G956">
        <v>632</v>
      </c>
      <c r="H956" t="s">
        <v>11</v>
      </c>
      <c r="I956" t="b" cm="1">
        <f t="array" ref="I956">isDup(B956,B957, 0.7)</f>
        <v>0</v>
      </c>
    </row>
    <row r="957" spans="1:9" ht="17" x14ac:dyDescent="0.2">
      <c r="A957" t="s">
        <v>5179</v>
      </c>
      <c r="B957" s="1" t="s">
        <v>5180</v>
      </c>
      <c r="C957" t="s">
        <v>3886</v>
      </c>
      <c r="D957" s="1" t="s">
        <v>2</v>
      </c>
      <c r="E957" t="b">
        <v>0</v>
      </c>
      <c r="F957">
        <v>102</v>
      </c>
      <c r="G957">
        <v>136</v>
      </c>
      <c r="H957" t="s">
        <v>11</v>
      </c>
      <c r="I957" t="b" cm="1">
        <f t="array" ref="I957">isDup(B957,B958, 0.7)</f>
        <v>0</v>
      </c>
    </row>
    <row r="958" spans="1:9" ht="17" x14ac:dyDescent="0.2">
      <c r="A958" t="s">
        <v>3468</v>
      </c>
      <c r="B958" s="1" t="s">
        <v>3469</v>
      </c>
      <c r="C958" t="s">
        <v>3470</v>
      </c>
      <c r="D958" s="1" t="s">
        <v>3471</v>
      </c>
      <c r="E958" t="b">
        <v>0</v>
      </c>
      <c r="F958">
        <v>1955</v>
      </c>
      <c r="G958">
        <v>202</v>
      </c>
      <c r="H958" t="s">
        <v>11</v>
      </c>
      <c r="I958" t="b" cm="1">
        <f t="array" ref="I958">isDup(B958,B959, 0.7)</f>
        <v>0</v>
      </c>
    </row>
    <row r="959" spans="1:9" ht="17" x14ac:dyDescent="0.2">
      <c r="A959" t="s">
        <v>4059</v>
      </c>
      <c r="B959" s="1" t="s">
        <v>4060</v>
      </c>
      <c r="C959" t="s">
        <v>4061</v>
      </c>
      <c r="D959" s="1" t="s">
        <v>4062</v>
      </c>
      <c r="E959" t="b">
        <v>0</v>
      </c>
      <c r="F959">
        <v>192</v>
      </c>
      <c r="G959">
        <v>215</v>
      </c>
      <c r="H959" t="s">
        <v>47</v>
      </c>
      <c r="I959" t="b" cm="1">
        <f t="array" ref="I959">isDup(B959,B960, 0.7)</f>
        <v>0</v>
      </c>
    </row>
    <row r="960" spans="1:9" ht="17" x14ac:dyDescent="0.2">
      <c r="A960" t="s">
        <v>4566</v>
      </c>
      <c r="B960" s="1" t="s">
        <v>4567</v>
      </c>
      <c r="C960" t="s">
        <v>1434</v>
      </c>
      <c r="D960" s="1" t="s">
        <v>2</v>
      </c>
      <c r="E960" t="b">
        <v>0</v>
      </c>
      <c r="F960">
        <v>240</v>
      </c>
      <c r="G960">
        <v>573</v>
      </c>
      <c r="H960" t="s">
        <v>11</v>
      </c>
      <c r="I960" t="b" cm="1">
        <f t="array" ref="I960">isDup(B960,B961, 0.7)</f>
        <v>0</v>
      </c>
    </row>
    <row r="961" spans="1:9" ht="17" x14ac:dyDescent="0.2">
      <c r="A961" t="s">
        <v>360</v>
      </c>
      <c r="B961" s="1" t="s">
        <v>361</v>
      </c>
      <c r="C961" t="s">
        <v>362</v>
      </c>
      <c r="D961" s="1" t="s">
        <v>363</v>
      </c>
      <c r="E961" t="b">
        <v>0</v>
      </c>
      <c r="F961">
        <v>1374</v>
      </c>
      <c r="G961">
        <v>294</v>
      </c>
      <c r="H961" t="s">
        <v>11</v>
      </c>
      <c r="I961" t="b" cm="1">
        <f t="array" ref="I961">isDup(B961,B962, 0.7)</f>
        <v>0</v>
      </c>
    </row>
    <row r="962" spans="1:9" ht="17" x14ac:dyDescent="0.2">
      <c r="A962" t="s">
        <v>1758</v>
      </c>
      <c r="B962" s="1" t="s">
        <v>1759</v>
      </c>
      <c r="C962" t="s">
        <v>1760</v>
      </c>
      <c r="D962" s="1" t="s">
        <v>2</v>
      </c>
      <c r="E962" t="b">
        <v>0</v>
      </c>
      <c r="F962">
        <v>61</v>
      </c>
      <c r="G962">
        <v>129</v>
      </c>
      <c r="H962" t="s">
        <v>11</v>
      </c>
      <c r="I962" t="b" cm="1">
        <f t="array" ref="I962">isDup(B962,B963, 0.7)</f>
        <v>0</v>
      </c>
    </row>
    <row r="963" spans="1:9" ht="17" x14ac:dyDescent="0.2">
      <c r="A963" t="s">
        <v>861</v>
      </c>
      <c r="B963" s="1" t="s">
        <v>862</v>
      </c>
      <c r="C963" t="s">
        <v>654</v>
      </c>
      <c r="E963" t="b">
        <v>0</v>
      </c>
      <c r="F963">
        <v>3316</v>
      </c>
      <c r="G963">
        <v>3347</v>
      </c>
      <c r="H963" t="s">
        <v>863</v>
      </c>
      <c r="I963" t="b" cm="1">
        <f t="array" ref="I963">isDup(B963,B964, 0.7)</f>
        <v>0</v>
      </c>
    </row>
    <row r="964" spans="1:9" ht="17" x14ac:dyDescent="0.2">
      <c r="A964" t="s">
        <v>4935</v>
      </c>
      <c r="B964" s="1" t="s">
        <v>4936</v>
      </c>
      <c r="C964" t="s">
        <v>271</v>
      </c>
      <c r="D964" s="1" t="s">
        <v>61</v>
      </c>
      <c r="E964" t="b">
        <v>0</v>
      </c>
      <c r="F964">
        <v>84</v>
      </c>
      <c r="G964">
        <v>118</v>
      </c>
      <c r="H964" t="s">
        <v>11</v>
      </c>
      <c r="I964" t="b" cm="1">
        <f t="array" ref="I964">isDup(B964,B965, 0.7)</f>
        <v>0</v>
      </c>
    </row>
    <row r="965" spans="1:9" ht="17" x14ac:dyDescent="0.2">
      <c r="A965" t="s">
        <v>4167</v>
      </c>
      <c r="B965" s="1" t="s">
        <v>4168</v>
      </c>
      <c r="C965" t="s">
        <v>4169</v>
      </c>
      <c r="D965" s="1" t="s">
        <v>2</v>
      </c>
      <c r="E965" t="b">
        <v>0</v>
      </c>
      <c r="F965">
        <v>83</v>
      </c>
      <c r="G965">
        <v>444</v>
      </c>
      <c r="H965" t="s">
        <v>11</v>
      </c>
      <c r="I965" t="b" cm="1">
        <f t="array" ref="I965">isDup(B965,B966, 0.7)</f>
        <v>0</v>
      </c>
    </row>
    <row r="966" spans="1:9" ht="17" x14ac:dyDescent="0.2">
      <c r="A966" t="s">
        <v>1526</v>
      </c>
      <c r="B966" s="1" t="s">
        <v>1527</v>
      </c>
      <c r="C966" t="s">
        <v>1521</v>
      </c>
      <c r="D966" s="1" t="s">
        <v>2</v>
      </c>
      <c r="E966" t="b">
        <v>0</v>
      </c>
      <c r="F966">
        <v>9642</v>
      </c>
      <c r="G966">
        <v>27</v>
      </c>
      <c r="H966" t="s">
        <v>11</v>
      </c>
      <c r="I966" t="b" cm="1">
        <f t="array" ref="I966">isDup(B966,B967, 0.7)</f>
        <v>0</v>
      </c>
    </row>
    <row r="967" spans="1:9" ht="34" x14ac:dyDescent="0.2">
      <c r="A967" t="s">
        <v>5724</v>
      </c>
      <c r="B967" s="1" t="s">
        <v>5725</v>
      </c>
      <c r="C967" t="s">
        <v>29</v>
      </c>
      <c r="D967" s="1" t="s">
        <v>39</v>
      </c>
      <c r="E967" t="b">
        <v>0</v>
      </c>
      <c r="F967">
        <v>345</v>
      </c>
      <c r="G967">
        <v>348</v>
      </c>
      <c r="H967" t="s">
        <v>11</v>
      </c>
      <c r="I967" t="b" cm="1">
        <f t="array" ref="I967">isDup(B967,B968, 0.7)</f>
        <v>0</v>
      </c>
    </row>
    <row r="968" spans="1:9" ht="17" x14ac:dyDescent="0.2">
      <c r="A968" t="s">
        <v>5040</v>
      </c>
      <c r="B968" s="1" t="s">
        <v>5041</v>
      </c>
      <c r="C968" t="s">
        <v>211</v>
      </c>
      <c r="D968" s="1" t="s">
        <v>2</v>
      </c>
      <c r="E968" t="b">
        <v>0</v>
      </c>
      <c r="F968">
        <v>525</v>
      </c>
      <c r="G968">
        <v>1435</v>
      </c>
      <c r="H968" t="s">
        <v>11</v>
      </c>
      <c r="I968" t="b" cm="1">
        <f t="array" ref="I968">isDup(B968,B969, 0.7)</f>
        <v>0</v>
      </c>
    </row>
    <row r="969" spans="1:9" ht="17" x14ac:dyDescent="0.2">
      <c r="A969" t="s">
        <v>5845</v>
      </c>
      <c r="B969" s="1" t="s">
        <v>5846</v>
      </c>
      <c r="C969" t="s">
        <v>736</v>
      </c>
      <c r="D969" s="1" t="s">
        <v>1768</v>
      </c>
      <c r="E969" t="b">
        <v>0</v>
      </c>
      <c r="F969">
        <v>637</v>
      </c>
      <c r="G969">
        <v>327</v>
      </c>
      <c r="H969" t="s">
        <v>11</v>
      </c>
      <c r="I969" t="b" cm="1">
        <f t="array" ref="I969">isDup(B969,B970, 0.7)</f>
        <v>0</v>
      </c>
    </row>
    <row r="970" spans="1:9" ht="17" x14ac:dyDescent="0.2">
      <c r="A970" t="s">
        <v>2389</v>
      </c>
      <c r="B970" s="1" t="s">
        <v>2390</v>
      </c>
      <c r="C970" t="s">
        <v>2391</v>
      </c>
      <c r="D970" s="1" t="s">
        <v>2392</v>
      </c>
      <c r="E970" t="b">
        <v>1</v>
      </c>
      <c r="F970">
        <v>27785</v>
      </c>
      <c r="G970">
        <v>147</v>
      </c>
      <c r="H970" t="s">
        <v>11</v>
      </c>
      <c r="I970" t="b" cm="1">
        <f t="array" ref="I970">isDup(B970,B971, 0.7)</f>
        <v>0</v>
      </c>
    </row>
    <row r="971" spans="1:9" ht="17" x14ac:dyDescent="0.2">
      <c r="A971" t="s">
        <v>3221</v>
      </c>
      <c r="B971" s="1" t="s">
        <v>3222</v>
      </c>
      <c r="C971" t="s">
        <v>332</v>
      </c>
      <c r="D971" s="1" t="s">
        <v>3223</v>
      </c>
      <c r="E971" t="b">
        <v>0</v>
      </c>
      <c r="F971">
        <v>398</v>
      </c>
      <c r="G971">
        <v>1123</v>
      </c>
      <c r="H971" t="s">
        <v>11</v>
      </c>
      <c r="I971" t="b" cm="1">
        <f t="array" ref="I971">isDup(B971,B972, 0.7)</f>
        <v>0</v>
      </c>
    </row>
    <row r="972" spans="1:9" ht="17" x14ac:dyDescent="0.2">
      <c r="A972" t="s">
        <v>2951</v>
      </c>
      <c r="B972" s="1" t="s">
        <v>2952</v>
      </c>
      <c r="C972" t="s">
        <v>1008</v>
      </c>
      <c r="D972" s="1" t="s">
        <v>2953</v>
      </c>
      <c r="E972" t="b">
        <v>0</v>
      </c>
      <c r="F972">
        <v>59</v>
      </c>
      <c r="G972">
        <v>1300</v>
      </c>
      <c r="H972" t="s">
        <v>11</v>
      </c>
      <c r="I972" t="b" cm="1">
        <f t="array" ref="I972">isDup(B972,B973, 0.7)</f>
        <v>0</v>
      </c>
    </row>
    <row r="973" spans="1:9" ht="17" x14ac:dyDescent="0.2">
      <c r="A973" t="s">
        <v>2077</v>
      </c>
      <c r="B973" s="1" t="s">
        <v>2078</v>
      </c>
      <c r="C973" t="s">
        <v>391</v>
      </c>
      <c r="D973" s="1" t="s">
        <v>392</v>
      </c>
      <c r="E973" t="b">
        <v>0</v>
      </c>
      <c r="F973">
        <v>52</v>
      </c>
      <c r="G973">
        <v>242</v>
      </c>
      <c r="H973" t="s">
        <v>11</v>
      </c>
      <c r="I973" t="b" cm="1">
        <f t="array" ref="I973">isDup(B973,B974, 0.7)</f>
        <v>0</v>
      </c>
    </row>
    <row r="974" spans="1:9" ht="17" x14ac:dyDescent="0.2">
      <c r="A974" t="s">
        <v>1108</v>
      </c>
      <c r="B974" s="1" t="s">
        <v>1109</v>
      </c>
      <c r="C974" t="s">
        <v>1008</v>
      </c>
      <c r="D974" s="1" t="s">
        <v>924</v>
      </c>
      <c r="E974" t="b">
        <v>0</v>
      </c>
      <c r="F974">
        <v>22</v>
      </c>
      <c r="G974">
        <v>95</v>
      </c>
      <c r="H974" t="s">
        <v>83</v>
      </c>
      <c r="I974" t="b" cm="1">
        <f t="array" ref="I974">isDup(B974,B975, 0.7)</f>
        <v>0</v>
      </c>
    </row>
    <row r="975" spans="1:9" ht="17" x14ac:dyDescent="0.2">
      <c r="A975" t="s">
        <v>2635</v>
      </c>
      <c r="B975" s="1" t="s">
        <v>2636</v>
      </c>
      <c r="C975" t="s">
        <v>1598</v>
      </c>
      <c r="D975" s="1" t="s">
        <v>2</v>
      </c>
      <c r="E975" t="b">
        <v>0</v>
      </c>
      <c r="F975">
        <v>9</v>
      </c>
      <c r="G975">
        <v>10</v>
      </c>
      <c r="H975" t="s">
        <v>47</v>
      </c>
      <c r="I975" t="b" cm="1">
        <f t="array" ref="I975">isDup(B975,B976, 0.7)</f>
        <v>0</v>
      </c>
    </row>
    <row r="976" spans="1:9" ht="34" x14ac:dyDescent="0.2">
      <c r="A976" t="s">
        <v>2830</v>
      </c>
      <c r="B976" s="1" t="s">
        <v>2831</v>
      </c>
      <c r="C976" t="s">
        <v>151</v>
      </c>
      <c r="D976" s="1" t="s">
        <v>2832</v>
      </c>
      <c r="E976" t="b">
        <v>0</v>
      </c>
      <c r="F976">
        <v>177</v>
      </c>
      <c r="G976">
        <v>179</v>
      </c>
      <c r="H976" t="s">
        <v>110</v>
      </c>
      <c r="I976" t="b" cm="1">
        <f t="array" ref="I976">isDup(B976,B977, 0.7)</f>
        <v>0</v>
      </c>
    </row>
    <row r="977" spans="1:9" ht="17" x14ac:dyDescent="0.2">
      <c r="A977" t="s">
        <v>2264</v>
      </c>
      <c r="B977" s="1" t="s">
        <v>2266</v>
      </c>
      <c r="C977" t="s">
        <v>1598</v>
      </c>
      <c r="D977" s="1" t="s">
        <v>2</v>
      </c>
      <c r="E977" t="b">
        <v>0</v>
      </c>
      <c r="F977">
        <v>4</v>
      </c>
      <c r="G977">
        <v>12</v>
      </c>
      <c r="H977" t="s">
        <v>11</v>
      </c>
      <c r="I977" t="b" cm="1">
        <f t="array" ref="I977">isDup(B977,B978, 0.7)</f>
        <v>0</v>
      </c>
    </row>
    <row r="978" spans="1:9" ht="17" x14ac:dyDescent="0.2">
      <c r="A978" t="s">
        <v>6879</v>
      </c>
      <c r="B978" s="1" t="s">
        <v>6880</v>
      </c>
      <c r="C978" t="s">
        <v>782</v>
      </c>
      <c r="D978" s="1" t="s">
        <v>6881</v>
      </c>
      <c r="E978" t="b">
        <v>0</v>
      </c>
      <c r="F978">
        <v>263</v>
      </c>
      <c r="G978">
        <v>1041</v>
      </c>
      <c r="H978" t="s">
        <v>11</v>
      </c>
      <c r="I978" t="b" cm="1">
        <f t="array" ref="I978">isDup(B978,B979, 0.7)</f>
        <v>0</v>
      </c>
    </row>
    <row r="979" spans="1:9" ht="17" x14ac:dyDescent="0.2">
      <c r="A979" t="s">
        <v>737</v>
      </c>
      <c r="B979" s="1" t="s">
        <v>738</v>
      </c>
      <c r="C979" t="s">
        <v>739</v>
      </c>
      <c r="D979" s="1" t="s">
        <v>740</v>
      </c>
      <c r="E979" t="b">
        <v>0</v>
      </c>
      <c r="F979">
        <v>11</v>
      </c>
      <c r="G979">
        <v>15</v>
      </c>
      <c r="H979" t="s">
        <v>11</v>
      </c>
      <c r="I979" t="b" cm="1">
        <f t="array" ref="I979">isDup(B979,B980, 0.7)</f>
        <v>0</v>
      </c>
    </row>
    <row r="980" spans="1:9" ht="17" x14ac:dyDescent="0.2">
      <c r="A980" t="s">
        <v>702</v>
      </c>
      <c r="B980" s="1" t="s">
        <v>703</v>
      </c>
      <c r="C980" t="s">
        <v>425</v>
      </c>
      <c r="D980" s="1" t="s">
        <v>426</v>
      </c>
      <c r="E980" t="b">
        <v>0</v>
      </c>
      <c r="F980">
        <v>192</v>
      </c>
      <c r="G980">
        <v>141</v>
      </c>
      <c r="H980" t="s">
        <v>11</v>
      </c>
      <c r="I980" t="b" cm="1">
        <f t="array" ref="I980">isDup(B980,B981, 0.7)</f>
        <v>0</v>
      </c>
    </row>
    <row r="981" spans="1:9" ht="17" x14ac:dyDescent="0.2">
      <c r="A981" t="s">
        <v>2210</v>
      </c>
      <c r="B981" s="1" t="s">
        <v>2211</v>
      </c>
      <c r="C981" t="s">
        <v>2212</v>
      </c>
      <c r="D981" s="1" t="s">
        <v>2213</v>
      </c>
      <c r="E981" t="b">
        <v>0</v>
      </c>
      <c r="F981">
        <v>90</v>
      </c>
      <c r="G981">
        <v>295</v>
      </c>
      <c r="H981" t="s">
        <v>11</v>
      </c>
      <c r="I981" t="b" cm="1">
        <f t="array" ref="I981">isDup(B981,B982, 0.7)</f>
        <v>0</v>
      </c>
    </row>
    <row r="982" spans="1:9" ht="17" x14ac:dyDescent="0.2">
      <c r="A982" t="s">
        <v>6726</v>
      </c>
      <c r="B982" s="1" t="s">
        <v>6727</v>
      </c>
      <c r="C982" t="s">
        <v>6728</v>
      </c>
      <c r="D982" s="1" t="s">
        <v>1768</v>
      </c>
      <c r="E982" t="b">
        <v>0</v>
      </c>
      <c r="F982">
        <v>78</v>
      </c>
      <c r="G982">
        <v>400</v>
      </c>
      <c r="H982" t="s">
        <v>11</v>
      </c>
      <c r="I982" t="b" cm="1">
        <f t="array" ref="I982">isDup(B982,B983, 0.7)</f>
        <v>0</v>
      </c>
    </row>
    <row r="983" spans="1:9" ht="17" x14ac:dyDescent="0.2">
      <c r="A983" t="s">
        <v>2559</v>
      </c>
      <c r="B983" s="1" t="s">
        <v>2560</v>
      </c>
      <c r="C983" t="s">
        <v>802</v>
      </c>
      <c r="D983" s="1" t="s">
        <v>2561</v>
      </c>
      <c r="E983" t="b">
        <v>0</v>
      </c>
      <c r="F983">
        <v>1984</v>
      </c>
      <c r="G983">
        <v>2599</v>
      </c>
      <c r="H983" t="s">
        <v>11</v>
      </c>
      <c r="I983" t="b" cm="1">
        <f t="array" ref="I983">isDup(B983,B984, 0.7)</f>
        <v>0</v>
      </c>
    </row>
    <row r="984" spans="1:9" ht="17" x14ac:dyDescent="0.2">
      <c r="A984" t="s">
        <v>3582</v>
      </c>
      <c r="B984" s="1" t="s">
        <v>3583</v>
      </c>
      <c r="C984" t="s">
        <v>3584</v>
      </c>
      <c r="D984" s="1" t="s">
        <v>2</v>
      </c>
      <c r="E984" t="b">
        <v>0</v>
      </c>
      <c r="F984">
        <v>91</v>
      </c>
      <c r="G984">
        <v>83</v>
      </c>
      <c r="H984" t="s">
        <v>11</v>
      </c>
      <c r="I984" t="b" cm="1">
        <f t="array" ref="I984">isDup(B984,B985, 0.7)</f>
        <v>0</v>
      </c>
    </row>
    <row r="985" spans="1:9" ht="17" x14ac:dyDescent="0.2">
      <c r="A985" t="s">
        <v>1952</v>
      </c>
      <c r="B985" s="1" t="s">
        <v>1953</v>
      </c>
      <c r="C985" t="s">
        <v>1954</v>
      </c>
      <c r="D985" s="1" t="s">
        <v>1955</v>
      </c>
      <c r="E985" t="b">
        <v>0</v>
      </c>
      <c r="F985">
        <v>596</v>
      </c>
      <c r="G985">
        <v>53</v>
      </c>
      <c r="H985" t="s">
        <v>11</v>
      </c>
      <c r="I985" t="b" cm="1">
        <f t="array" ref="I985">isDup(B985,B986, 0.7)</f>
        <v>0</v>
      </c>
    </row>
    <row r="986" spans="1:9" ht="17" x14ac:dyDescent="0.2">
      <c r="A986" t="s">
        <v>6843</v>
      </c>
      <c r="B986" s="1" t="s">
        <v>6844</v>
      </c>
      <c r="C986" t="s">
        <v>6845</v>
      </c>
      <c r="D986" s="1" t="s">
        <v>2</v>
      </c>
      <c r="E986" t="b">
        <v>0</v>
      </c>
      <c r="F986">
        <v>34</v>
      </c>
      <c r="G986">
        <v>190</v>
      </c>
      <c r="H986" t="s">
        <v>11</v>
      </c>
      <c r="I986" t="b" cm="1">
        <f t="array" ref="I986">isDup(B986,B987, 0.7)</f>
        <v>0</v>
      </c>
    </row>
    <row r="987" spans="1:9" ht="17" x14ac:dyDescent="0.2">
      <c r="A987" t="s">
        <v>6373</v>
      </c>
      <c r="B987" s="1" t="s">
        <v>6374</v>
      </c>
      <c r="C987" t="s">
        <v>6375</v>
      </c>
      <c r="D987" s="1" t="s">
        <v>2</v>
      </c>
      <c r="E987" t="b">
        <v>0</v>
      </c>
      <c r="F987">
        <v>509</v>
      </c>
      <c r="G987">
        <v>1425</v>
      </c>
      <c r="H987" t="s">
        <v>11</v>
      </c>
      <c r="I987" t="b" cm="1">
        <f t="array" ref="I987">isDup(B987,B988, 0.7)</f>
        <v>0</v>
      </c>
    </row>
    <row r="988" spans="1:9" ht="17" x14ac:dyDescent="0.2">
      <c r="A988" t="s">
        <v>1412</v>
      </c>
      <c r="B988" s="1" t="s">
        <v>1413</v>
      </c>
      <c r="C988" t="s">
        <v>526</v>
      </c>
      <c r="D988" s="1" t="s">
        <v>2</v>
      </c>
      <c r="E988" t="b">
        <v>0</v>
      </c>
      <c r="F988">
        <v>0</v>
      </c>
      <c r="G988">
        <v>48</v>
      </c>
      <c r="H988" t="s">
        <v>11</v>
      </c>
      <c r="I988" t="b" cm="1">
        <f t="array" ref="I988">isDup(B988,B989, 0.7)</f>
        <v>0</v>
      </c>
    </row>
    <row r="989" spans="1:9" ht="17" x14ac:dyDescent="0.2">
      <c r="A989" t="s">
        <v>3271</v>
      </c>
      <c r="B989" s="1" t="s">
        <v>3272</v>
      </c>
      <c r="C989" t="s">
        <v>3273</v>
      </c>
      <c r="D989" s="1" t="s">
        <v>2</v>
      </c>
      <c r="E989" t="b">
        <v>0</v>
      </c>
      <c r="F989">
        <v>13</v>
      </c>
      <c r="G989">
        <v>126</v>
      </c>
      <c r="H989" t="s">
        <v>11</v>
      </c>
      <c r="I989" t="b" cm="1">
        <f t="array" ref="I989">isDup(B989,B990, 0.7)</f>
        <v>0</v>
      </c>
    </row>
    <row r="990" spans="1:9" ht="34" x14ac:dyDescent="0.2">
      <c r="A990" t="s">
        <v>2818</v>
      </c>
      <c r="B990" s="1" t="s">
        <v>2819</v>
      </c>
      <c r="C990" t="s">
        <v>2283</v>
      </c>
      <c r="D990" s="1" t="s">
        <v>2820</v>
      </c>
      <c r="E990" t="b">
        <v>0</v>
      </c>
      <c r="F990">
        <v>391</v>
      </c>
      <c r="G990">
        <v>1925</v>
      </c>
      <c r="H990" t="s">
        <v>11</v>
      </c>
      <c r="I990" t="b" cm="1">
        <f t="array" ref="I990">isDup(B990,B991, 0.7)</f>
        <v>0</v>
      </c>
    </row>
    <row r="991" spans="1:9" ht="17" x14ac:dyDescent="0.2">
      <c r="A991" t="s">
        <v>263</v>
      </c>
      <c r="B991" s="1" t="s">
        <v>264</v>
      </c>
      <c r="C991" t="s">
        <v>265</v>
      </c>
      <c r="D991" s="1" t="s">
        <v>2</v>
      </c>
      <c r="E991" t="b">
        <v>0</v>
      </c>
      <c r="F991">
        <v>3</v>
      </c>
      <c r="G991">
        <v>5</v>
      </c>
      <c r="H991" t="s">
        <v>11</v>
      </c>
      <c r="I991" t="b" cm="1">
        <f t="array" ref="I991">isDup(B991,B992, 0.7)</f>
        <v>0</v>
      </c>
    </row>
    <row r="992" spans="1:9" ht="17" x14ac:dyDescent="0.2">
      <c r="A992" t="s">
        <v>6007</v>
      </c>
      <c r="B992" s="1" t="s">
        <v>6008</v>
      </c>
      <c r="C992" t="s">
        <v>6009</v>
      </c>
      <c r="D992" s="1" t="s">
        <v>928</v>
      </c>
      <c r="E992" t="b">
        <v>0</v>
      </c>
      <c r="F992">
        <v>154</v>
      </c>
      <c r="G992">
        <v>208</v>
      </c>
      <c r="H992" t="s">
        <v>11</v>
      </c>
      <c r="I992" t="b" cm="1">
        <f t="array" ref="I992">isDup(B992,B993, 0.7)</f>
        <v>0</v>
      </c>
    </row>
    <row r="993" spans="1:9" ht="17" x14ac:dyDescent="0.2">
      <c r="A993" t="s">
        <v>5935</v>
      </c>
      <c r="B993" s="1" t="s">
        <v>5936</v>
      </c>
      <c r="C993" t="s">
        <v>275</v>
      </c>
      <c r="D993" s="1" t="s">
        <v>2</v>
      </c>
      <c r="E993" t="b">
        <v>0</v>
      </c>
      <c r="F993">
        <v>218</v>
      </c>
      <c r="G993">
        <v>606</v>
      </c>
      <c r="H993" t="s">
        <v>11</v>
      </c>
      <c r="I993" t="b" cm="1">
        <f t="array" ref="I993">isDup(B993,B994, 0.7)</f>
        <v>0</v>
      </c>
    </row>
    <row r="994" spans="1:9" ht="34" x14ac:dyDescent="0.2">
      <c r="A994" t="s">
        <v>3488</v>
      </c>
      <c r="B994" s="1" t="s">
        <v>3489</v>
      </c>
      <c r="C994" t="s">
        <v>1583</v>
      </c>
      <c r="D994" s="1" t="s">
        <v>3490</v>
      </c>
      <c r="E994" t="b">
        <v>0</v>
      </c>
      <c r="F994">
        <v>1008</v>
      </c>
      <c r="G994">
        <v>981</v>
      </c>
      <c r="H994" t="s">
        <v>11</v>
      </c>
      <c r="I994" t="b" cm="1">
        <f t="array" ref="I994">isDup(B994,B995, 0.7)</f>
        <v>0</v>
      </c>
    </row>
    <row r="995" spans="1:9" ht="17" x14ac:dyDescent="0.2">
      <c r="A995" t="s">
        <v>1596</v>
      </c>
      <c r="B995" s="1" t="s">
        <v>1597</v>
      </c>
      <c r="C995" t="s">
        <v>1598</v>
      </c>
      <c r="D995" s="1" t="s">
        <v>2</v>
      </c>
      <c r="E995" t="b">
        <v>0</v>
      </c>
      <c r="F995">
        <v>289</v>
      </c>
      <c r="G995">
        <v>70</v>
      </c>
      <c r="H995" t="s">
        <v>11</v>
      </c>
      <c r="I995" t="b" cm="1">
        <f t="array" ref="I995">isDup(B995,B996, 0.7)</f>
        <v>0</v>
      </c>
    </row>
    <row r="996" spans="1:9" ht="17" x14ac:dyDescent="0.2">
      <c r="A996" t="s">
        <v>248</v>
      </c>
      <c r="B996" s="1" t="s">
        <v>249</v>
      </c>
      <c r="C996" t="s">
        <v>250</v>
      </c>
      <c r="D996" s="1" t="s">
        <v>251</v>
      </c>
      <c r="E996" t="b">
        <v>0</v>
      </c>
      <c r="F996">
        <v>81</v>
      </c>
      <c r="G996">
        <v>64</v>
      </c>
      <c r="H996" t="s">
        <v>11</v>
      </c>
      <c r="I996" t="b" cm="1">
        <f t="array" ref="I996">isDup(B996,B997, 0.7)</f>
        <v>0</v>
      </c>
    </row>
    <row r="997" spans="1:9" ht="17" x14ac:dyDescent="0.2">
      <c r="A997" t="s">
        <v>232</v>
      </c>
      <c r="B997" s="1" t="s">
        <v>233</v>
      </c>
      <c r="C997" t="s">
        <v>234</v>
      </c>
      <c r="D997" s="1" t="s">
        <v>2</v>
      </c>
      <c r="E997" t="b">
        <v>0</v>
      </c>
      <c r="F997">
        <v>18</v>
      </c>
      <c r="G997">
        <v>17</v>
      </c>
      <c r="H997" t="s">
        <v>11</v>
      </c>
      <c r="I997" t="b" cm="1">
        <f t="array" ref="I997">isDup(B997,B998, 0.7)</f>
        <v>0</v>
      </c>
    </row>
    <row r="998" spans="1:9" ht="17" x14ac:dyDescent="0.2">
      <c r="A998" t="s">
        <v>2810</v>
      </c>
      <c r="B998" s="1" t="s">
        <v>2811</v>
      </c>
      <c r="C998" t="s">
        <v>1943</v>
      </c>
      <c r="D998" s="1" t="s">
        <v>2</v>
      </c>
      <c r="E998" t="b">
        <v>0</v>
      </c>
      <c r="F998">
        <v>281</v>
      </c>
      <c r="G998">
        <v>48</v>
      </c>
      <c r="H998" t="s">
        <v>11</v>
      </c>
      <c r="I998" t="b" cm="1">
        <f t="array" ref="I998">isDup(B998,B999, 0.7)</f>
        <v>0</v>
      </c>
    </row>
    <row r="999" spans="1:9" ht="17" x14ac:dyDescent="0.2">
      <c r="A999" t="s">
        <v>1391</v>
      </c>
      <c r="B999" s="1" t="s">
        <v>1392</v>
      </c>
      <c r="C999" t="s">
        <v>1206</v>
      </c>
      <c r="D999" s="1" t="s">
        <v>95</v>
      </c>
      <c r="E999" t="b">
        <v>0</v>
      </c>
      <c r="F999">
        <v>2050</v>
      </c>
      <c r="G999">
        <v>543</v>
      </c>
      <c r="H999" t="s">
        <v>11</v>
      </c>
      <c r="I999" t="b" cm="1">
        <f t="array" ref="I999">isDup(B999,B1000, 0.7)</f>
        <v>0</v>
      </c>
    </row>
    <row r="1000" spans="1:9" ht="17" x14ac:dyDescent="0.2">
      <c r="A1000" t="s">
        <v>2995</v>
      </c>
      <c r="B1000" s="1" t="s">
        <v>2996</v>
      </c>
      <c r="C1000" t="s">
        <v>769</v>
      </c>
      <c r="D1000" s="1" t="s">
        <v>2997</v>
      </c>
      <c r="E1000" t="b">
        <v>0</v>
      </c>
      <c r="F1000">
        <v>92</v>
      </c>
      <c r="G1000">
        <v>78</v>
      </c>
      <c r="H1000" t="s">
        <v>11</v>
      </c>
      <c r="I1000" t="b" cm="1">
        <f t="array" ref="I1000">isDup(B1000,B1001, 0.7)</f>
        <v>0</v>
      </c>
    </row>
    <row r="1001" spans="1:9" ht="17" x14ac:dyDescent="0.2">
      <c r="A1001" t="s">
        <v>3194</v>
      </c>
      <c r="B1001" s="1" t="s">
        <v>3195</v>
      </c>
      <c r="C1001" t="s">
        <v>45</v>
      </c>
      <c r="D1001" s="1" t="s">
        <v>2</v>
      </c>
      <c r="E1001" t="b">
        <v>0</v>
      </c>
      <c r="F1001">
        <v>43</v>
      </c>
      <c r="G1001">
        <v>100</v>
      </c>
      <c r="H1001" t="s">
        <v>11</v>
      </c>
      <c r="I1001" t="b" cm="1">
        <f t="array" ref="I1001">isDup(B1001,B1002, 0.7)</f>
        <v>0</v>
      </c>
    </row>
    <row r="1002" spans="1:9" ht="17" x14ac:dyDescent="0.2">
      <c r="A1002" t="s">
        <v>1424</v>
      </c>
      <c r="B1002" s="1" t="s">
        <v>1425</v>
      </c>
      <c r="C1002" t="s">
        <v>1426</v>
      </c>
      <c r="D1002" s="1" t="s">
        <v>2</v>
      </c>
      <c r="E1002" t="b">
        <v>0</v>
      </c>
      <c r="F1002">
        <v>29</v>
      </c>
      <c r="G1002">
        <v>321</v>
      </c>
      <c r="H1002" t="s">
        <v>11</v>
      </c>
      <c r="I1002" t="b" cm="1">
        <f t="array" ref="I1002">isDup(B1002,B1003, 0.7)</f>
        <v>0</v>
      </c>
    </row>
    <row r="1003" spans="1:9" ht="17" x14ac:dyDescent="0.2">
      <c r="A1003" t="s">
        <v>4948</v>
      </c>
      <c r="B1003" s="1" t="s">
        <v>4949</v>
      </c>
      <c r="C1003" t="s">
        <v>2375</v>
      </c>
      <c r="D1003" s="1" t="s">
        <v>2</v>
      </c>
      <c r="E1003" t="b">
        <v>0</v>
      </c>
      <c r="F1003">
        <v>88</v>
      </c>
      <c r="G1003">
        <v>87</v>
      </c>
      <c r="H1003" t="s">
        <v>11</v>
      </c>
      <c r="I1003" t="b" cm="1">
        <f t="array" ref="I1003">isDup(B1003,B1004, 0.7)</f>
        <v>0</v>
      </c>
    </row>
    <row r="1004" spans="1:9" ht="34" x14ac:dyDescent="0.2">
      <c r="A1004" t="s">
        <v>977</v>
      </c>
      <c r="B1004" s="1" t="s">
        <v>978</v>
      </c>
      <c r="C1004" t="s">
        <v>979</v>
      </c>
      <c r="D1004" s="1" t="s">
        <v>980</v>
      </c>
      <c r="E1004" t="b">
        <v>0</v>
      </c>
      <c r="F1004">
        <v>1</v>
      </c>
      <c r="G1004">
        <v>16</v>
      </c>
      <c r="H1004" t="s">
        <v>11</v>
      </c>
      <c r="I1004" t="b" cm="1">
        <f t="array" ref="I1004">isDup(B1004,B1005, 0.7)</f>
        <v>0</v>
      </c>
    </row>
    <row r="1005" spans="1:9" ht="17" x14ac:dyDescent="0.2">
      <c r="A1005" t="s">
        <v>724</v>
      </c>
      <c r="B1005" s="1" t="s">
        <v>725</v>
      </c>
      <c r="C1005" t="s">
        <v>726</v>
      </c>
      <c r="D1005" s="1" t="s">
        <v>2</v>
      </c>
      <c r="E1005" t="b">
        <v>0</v>
      </c>
      <c r="F1005">
        <v>80</v>
      </c>
      <c r="G1005">
        <v>235</v>
      </c>
      <c r="H1005" t="s">
        <v>11</v>
      </c>
      <c r="I1005" t="b" cm="1">
        <f t="array" ref="I1005">isDup(B1005,B1006, 0.7)</f>
        <v>0</v>
      </c>
    </row>
    <row r="1006" spans="1:9" ht="17" x14ac:dyDescent="0.2">
      <c r="A1006" t="s">
        <v>3794</v>
      </c>
      <c r="B1006" s="1" t="s">
        <v>3795</v>
      </c>
      <c r="C1006" t="s">
        <v>3796</v>
      </c>
      <c r="D1006" s="1" t="s">
        <v>322</v>
      </c>
      <c r="E1006" t="b">
        <v>0</v>
      </c>
      <c r="F1006">
        <v>911</v>
      </c>
      <c r="G1006">
        <v>258</v>
      </c>
      <c r="H1006" t="s">
        <v>11</v>
      </c>
      <c r="I1006" t="b" cm="1">
        <f t="array" ref="I1006">isDup(B1006,B1007, 0.7)</f>
        <v>0</v>
      </c>
    </row>
    <row r="1007" spans="1:9" ht="17" x14ac:dyDescent="0.2">
      <c r="A1007" t="s">
        <v>5186</v>
      </c>
      <c r="B1007" s="1" t="s">
        <v>5187</v>
      </c>
      <c r="C1007" t="s">
        <v>458</v>
      </c>
      <c r="D1007" s="1" t="s">
        <v>5188</v>
      </c>
      <c r="E1007" t="b">
        <v>0</v>
      </c>
      <c r="F1007">
        <v>82</v>
      </c>
      <c r="G1007">
        <v>341</v>
      </c>
      <c r="H1007" t="s">
        <v>11</v>
      </c>
      <c r="I1007" t="b" cm="1">
        <f t="array" ref="I1007">isDup(B1007,B1008, 0.7)</f>
        <v>0</v>
      </c>
    </row>
    <row r="1008" spans="1:9" ht="34" x14ac:dyDescent="0.2">
      <c r="A1008" t="s">
        <v>1294</v>
      </c>
      <c r="B1008" s="1" t="s">
        <v>1295</v>
      </c>
      <c r="C1008" t="s">
        <v>1296</v>
      </c>
      <c r="D1008" s="1" t="s">
        <v>2</v>
      </c>
      <c r="E1008" t="b">
        <v>0</v>
      </c>
      <c r="F1008">
        <v>305</v>
      </c>
      <c r="G1008">
        <v>449</v>
      </c>
      <c r="H1008" t="s">
        <v>11</v>
      </c>
      <c r="I1008" t="b" cm="1">
        <f t="array" ref="I1008">isDup(B1008,B1009, 0.7)</f>
        <v>0</v>
      </c>
    </row>
    <row r="1009" spans="1:9" ht="17" x14ac:dyDescent="0.2">
      <c r="A1009" t="s">
        <v>4776</v>
      </c>
      <c r="B1009" s="1" t="s">
        <v>4777</v>
      </c>
      <c r="C1009" t="s">
        <v>4778</v>
      </c>
      <c r="D1009" s="1" t="s">
        <v>4779</v>
      </c>
      <c r="E1009" t="b">
        <v>0</v>
      </c>
      <c r="F1009">
        <v>59</v>
      </c>
      <c r="G1009">
        <v>105</v>
      </c>
      <c r="H1009" t="s">
        <v>11</v>
      </c>
      <c r="I1009" t="b" cm="1">
        <f t="array" ref="I1009">isDup(B1009,B1010, 0.7)</f>
        <v>0</v>
      </c>
    </row>
    <row r="1010" spans="1:9" ht="17" x14ac:dyDescent="0.2">
      <c r="A1010" t="s">
        <v>706</v>
      </c>
      <c r="B1010" s="1" t="s">
        <v>707</v>
      </c>
      <c r="C1010" t="s">
        <v>708</v>
      </c>
      <c r="D1010" s="1" t="s">
        <v>709</v>
      </c>
      <c r="E1010" t="b">
        <v>0</v>
      </c>
      <c r="F1010">
        <v>14</v>
      </c>
      <c r="G1010">
        <v>138</v>
      </c>
      <c r="H1010" t="s">
        <v>11</v>
      </c>
      <c r="I1010" t="b" cm="1">
        <f t="array" ref="I1010">isDup(B1010,B1011, 0.7)</f>
        <v>0</v>
      </c>
    </row>
    <row r="1011" spans="1:9" ht="17" x14ac:dyDescent="0.2">
      <c r="A1011" t="s">
        <v>6314</v>
      </c>
      <c r="B1011" s="1" t="s">
        <v>6315</v>
      </c>
      <c r="C1011" t="s">
        <v>6316</v>
      </c>
      <c r="D1011" s="1" t="s">
        <v>6317</v>
      </c>
      <c r="E1011" t="b">
        <v>0</v>
      </c>
      <c r="F1011">
        <v>1610</v>
      </c>
      <c r="G1011">
        <v>1967</v>
      </c>
      <c r="H1011" t="s">
        <v>11</v>
      </c>
      <c r="I1011" t="b" cm="1">
        <f t="array" ref="I1011">isDup(B1011,B1012, 0.7)</f>
        <v>0</v>
      </c>
    </row>
    <row r="1012" spans="1:9" ht="17" x14ac:dyDescent="0.2">
      <c r="A1012" t="s">
        <v>1905</v>
      </c>
      <c r="B1012" s="1" t="s">
        <v>1906</v>
      </c>
      <c r="C1012" t="s">
        <v>1907</v>
      </c>
      <c r="D1012" s="1" t="s">
        <v>1908</v>
      </c>
      <c r="E1012" t="b">
        <v>0</v>
      </c>
      <c r="F1012">
        <v>183</v>
      </c>
      <c r="G1012">
        <v>153</v>
      </c>
      <c r="H1012" t="s">
        <v>370</v>
      </c>
      <c r="I1012" t="b" cm="1">
        <f t="array" ref="I1012">isDup(B1012,B1013, 0.7)</f>
        <v>0</v>
      </c>
    </row>
    <row r="1013" spans="1:9" ht="17" x14ac:dyDescent="0.2">
      <c r="A1013" t="s">
        <v>3695</v>
      </c>
      <c r="B1013" s="1" t="s">
        <v>3696</v>
      </c>
      <c r="C1013" t="s">
        <v>3597</v>
      </c>
      <c r="D1013" s="1" t="s">
        <v>3598</v>
      </c>
      <c r="E1013" t="b">
        <v>0</v>
      </c>
      <c r="F1013">
        <v>527</v>
      </c>
      <c r="G1013">
        <v>274</v>
      </c>
      <c r="H1013" t="s">
        <v>11</v>
      </c>
      <c r="I1013" t="b" cm="1">
        <f t="array" ref="I1013">isDup(B1013,B1014, 0.7)</f>
        <v>0</v>
      </c>
    </row>
    <row r="1014" spans="1:9" ht="34" x14ac:dyDescent="0.2">
      <c r="A1014" t="s">
        <v>993</v>
      </c>
      <c r="B1014" s="1" t="s">
        <v>994</v>
      </c>
      <c r="C1014" t="s">
        <v>995</v>
      </c>
      <c r="D1014" s="1" t="s">
        <v>996</v>
      </c>
      <c r="E1014" t="b">
        <v>0</v>
      </c>
      <c r="F1014">
        <v>13055</v>
      </c>
      <c r="G1014">
        <v>620</v>
      </c>
      <c r="H1014" t="s">
        <v>11</v>
      </c>
      <c r="I1014" t="b" cm="1">
        <f t="array" ref="I1014">isDup(B1014,B1015, 0.7)</f>
        <v>0</v>
      </c>
    </row>
    <row r="1015" spans="1:9" ht="17" x14ac:dyDescent="0.2">
      <c r="A1015" t="s">
        <v>3757</v>
      </c>
      <c r="B1015" s="1" t="s">
        <v>3758</v>
      </c>
      <c r="C1015" t="s">
        <v>181</v>
      </c>
      <c r="D1015" s="1" t="s">
        <v>3759</v>
      </c>
      <c r="E1015" t="b">
        <v>0</v>
      </c>
      <c r="F1015">
        <v>810</v>
      </c>
      <c r="G1015">
        <v>2979</v>
      </c>
      <c r="H1015" t="s">
        <v>11</v>
      </c>
      <c r="I1015" t="b" cm="1">
        <f t="array" ref="I1015">isDup(B1015,B1016, 0.7)</f>
        <v>0</v>
      </c>
    </row>
    <row r="1016" spans="1:9" ht="34" x14ac:dyDescent="0.2">
      <c r="A1016" t="s">
        <v>5363</v>
      </c>
      <c r="B1016" s="1" t="s">
        <v>5364</v>
      </c>
      <c r="C1016" t="s">
        <v>2598</v>
      </c>
      <c r="D1016" s="1" t="s">
        <v>701</v>
      </c>
      <c r="E1016" t="b">
        <v>0</v>
      </c>
      <c r="F1016">
        <v>4</v>
      </c>
      <c r="G1016">
        <v>23</v>
      </c>
      <c r="H1016" t="s">
        <v>11</v>
      </c>
      <c r="I1016" t="b" cm="1">
        <f t="array" ref="I1016">isDup(B1016,B1017, 0.7)</f>
        <v>0</v>
      </c>
    </row>
    <row r="1017" spans="1:9" ht="17" x14ac:dyDescent="0.2">
      <c r="A1017" t="s">
        <v>1682</v>
      </c>
      <c r="B1017" s="1" t="s">
        <v>1683</v>
      </c>
      <c r="C1017" t="s">
        <v>1684</v>
      </c>
      <c r="D1017" s="1" t="s">
        <v>2</v>
      </c>
      <c r="E1017" t="b">
        <v>0</v>
      </c>
      <c r="F1017">
        <v>715</v>
      </c>
      <c r="G1017">
        <v>557</v>
      </c>
      <c r="H1017" t="s">
        <v>11</v>
      </c>
      <c r="I1017" t="b" cm="1">
        <f t="array" ref="I1017">isDup(B1017,B1018, 0.7)</f>
        <v>0</v>
      </c>
    </row>
    <row r="1018" spans="1:9" ht="17" x14ac:dyDescent="0.2">
      <c r="A1018" t="s">
        <v>1555</v>
      </c>
      <c r="B1018" s="1" t="s">
        <v>1556</v>
      </c>
      <c r="C1018" t="s">
        <v>1515</v>
      </c>
      <c r="D1018" s="1" t="s">
        <v>2</v>
      </c>
      <c r="E1018" t="b">
        <v>0</v>
      </c>
      <c r="F1018">
        <v>0</v>
      </c>
      <c r="G1018">
        <v>46</v>
      </c>
      <c r="H1018" t="s">
        <v>11</v>
      </c>
      <c r="I1018" t="b" cm="1">
        <f t="array" ref="I1018">isDup(B1018,B1019, 0.7)</f>
        <v>0</v>
      </c>
    </row>
    <row r="1019" spans="1:9" ht="17" x14ac:dyDescent="0.2">
      <c r="A1019" t="s">
        <v>5585</v>
      </c>
      <c r="B1019" s="1" t="s">
        <v>5586</v>
      </c>
      <c r="C1019" t="s">
        <v>442</v>
      </c>
      <c r="D1019" s="1" t="s">
        <v>443</v>
      </c>
      <c r="E1019" t="b">
        <v>0</v>
      </c>
      <c r="F1019">
        <v>6124</v>
      </c>
      <c r="G1019">
        <v>384</v>
      </c>
      <c r="H1019" t="s">
        <v>11</v>
      </c>
      <c r="I1019" t="b" cm="1">
        <f t="array" ref="I1019">isDup(B1019,B1020, 0.7)</f>
        <v>0</v>
      </c>
    </row>
    <row r="1020" spans="1:9" ht="17" x14ac:dyDescent="0.2">
      <c r="A1020" t="s">
        <v>1132</v>
      </c>
      <c r="B1020" s="1" t="s">
        <v>1133</v>
      </c>
      <c r="C1020" t="s">
        <v>1134</v>
      </c>
      <c r="D1020" s="1" t="s">
        <v>1135</v>
      </c>
      <c r="E1020" t="b">
        <v>0</v>
      </c>
      <c r="F1020">
        <v>451</v>
      </c>
      <c r="G1020">
        <v>62</v>
      </c>
      <c r="H1020" t="s">
        <v>11</v>
      </c>
      <c r="I1020" t="b" cm="1">
        <f t="array" ref="I1020">isDup(B1020,B1021, 0.7)</f>
        <v>0</v>
      </c>
    </row>
    <row r="1021" spans="1:9" ht="17" x14ac:dyDescent="0.2">
      <c r="A1021" t="s">
        <v>5875</v>
      </c>
      <c r="B1021" s="1" t="s">
        <v>5876</v>
      </c>
      <c r="C1021" t="s">
        <v>5877</v>
      </c>
      <c r="D1021" s="1" t="s">
        <v>2</v>
      </c>
      <c r="E1021" t="b">
        <v>0</v>
      </c>
      <c r="F1021">
        <v>52</v>
      </c>
      <c r="G1021">
        <v>114</v>
      </c>
      <c r="H1021" t="s">
        <v>11</v>
      </c>
      <c r="I1021" t="b" cm="1">
        <f t="array" ref="I1021">isDup(B1021,B1022, 0.7)</f>
        <v>0</v>
      </c>
    </row>
    <row r="1022" spans="1:9" ht="34" x14ac:dyDescent="0.2">
      <c r="A1022" t="s">
        <v>2380</v>
      </c>
      <c r="B1022" s="1" t="s">
        <v>2381</v>
      </c>
      <c r="C1022" t="s">
        <v>2382</v>
      </c>
      <c r="D1022" s="1" t="s">
        <v>2</v>
      </c>
      <c r="E1022" t="b">
        <v>0</v>
      </c>
      <c r="F1022">
        <v>51</v>
      </c>
      <c r="G1022">
        <v>331</v>
      </c>
      <c r="H1022" t="s">
        <v>11</v>
      </c>
      <c r="I1022" t="b" cm="1">
        <f t="array" ref="I1022">isDup(B1022,B1023, 0.7)</f>
        <v>0</v>
      </c>
    </row>
    <row r="1023" spans="1:9" ht="34" x14ac:dyDescent="0.2">
      <c r="A1023" t="s">
        <v>5406</v>
      </c>
      <c r="B1023" s="1" t="s">
        <v>5407</v>
      </c>
      <c r="C1023" t="s">
        <v>5408</v>
      </c>
      <c r="D1023" s="1" t="s">
        <v>5409</v>
      </c>
      <c r="E1023" t="b">
        <v>0</v>
      </c>
      <c r="F1023">
        <v>6248</v>
      </c>
      <c r="G1023">
        <v>516</v>
      </c>
      <c r="H1023" t="s">
        <v>11</v>
      </c>
      <c r="I1023" t="b" cm="1">
        <f t="array" ref="I1023">isDup(B1023,B1024, 0.7)</f>
        <v>0</v>
      </c>
    </row>
    <row r="1024" spans="1:9" ht="17" x14ac:dyDescent="0.2">
      <c r="A1024" t="s">
        <v>5757</v>
      </c>
      <c r="B1024" s="1" t="s">
        <v>5758</v>
      </c>
      <c r="C1024" t="s">
        <v>1058</v>
      </c>
      <c r="D1024" s="1" t="s">
        <v>2</v>
      </c>
      <c r="E1024" t="b">
        <v>0</v>
      </c>
      <c r="F1024">
        <v>2515</v>
      </c>
      <c r="G1024">
        <v>3016</v>
      </c>
      <c r="H1024" t="s">
        <v>31</v>
      </c>
      <c r="I1024" t="b" cm="1">
        <f t="array" ref="I1024">isDup(B1024,B1025, 0.7)</f>
        <v>0</v>
      </c>
    </row>
    <row r="1025" spans="1:9" ht="17" x14ac:dyDescent="0.2">
      <c r="A1025" t="s">
        <v>5208</v>
      </c>
      <c r="B1025" s="1" t="s">
        <v>5209</v>
      </c>
      <c r="C1025" t="s">
        <v>5210</v>
      </c>
      <c r="D1025" s="1" t="s">
        <v>2</v>
      </c>
      <c r="E1025" t="b">
        <v>0</v>
      </c>
      <c r="F1025">
        <v>38</v>
      </c>
      <c r="G1025">
        <v>282</v>
      </c>
      <c r="H1025" t="s">
        <v>11</v>
      </c>
      <c r="I1025" t="b" cm="1">
        <f t="array" ref="I1025">isDup(B1025,B1026, 0.7)</f>
        <v>0</v>
      </c>
    </row>
    <row r="1026" spans="1:9" ht="34" x14ac:dyDescent="0.2">
      <c r="A1026" t="s">
        <v>3674</v>
      </c>
      <c r="B1026" s="1" t="s">
        <v>3675</v>
      </c>
      <c r="C1026" t="s">
        <v>2255</v>
      </c>
      <c r="D1026" s="1" t="s">
        <v>212</v>
      </c>
      <c r="E1026" t="b">
        <v>0</v>
      </c>
      <c r="F1026">
        <v>153</v>
      </c>
      <c r="G1026">
        <v>151</v>
      </c>
      <c r="H1026" t="s">
        <v>11</v>
      </c>
      <c r="I1026" t="b" cm="1">
        <f t="array" ref="I1026">isDup(B1026,B1027, 0.7)</f>
        <v>0</v>
      </c>
    </row>
    <row r="1027" spans="1:9" ht="17" x14ac:dyDescent="0.2">
      <c r="A1027" t="s">
        <v>3986</v>
      </c>
      <c r="B1027" s="1" t="s">
        <v>3987</v>
      </c>
      <c r="C1027" t="s">
        <v>211</v>
      </c>
      <c r="D1027" s="1" t="s">
        <v>2</v>
      </c>
      <c r="E1027" t="b">
        <v>0</v>
      </c>
      <c r="F1027">
        <v>99</v>
      </c>
      <c r="G1027">
        <v>228</v>
      </c>
      <c r="H1027" t="s">
        <v>11</v>
      </c>
      <c r="I1027" t="b" cm="1">
        <f t="array" ref="I1027">isDup(B1027,B1028, 0.7)</f>
        <v>0</v>
      </c>
    </row>
    <row r="1028" spans="1:9" ht="17" x14ac:dyDescent="0.2">
      <c r="A1028" t="s">
        <v>2260</v>
      </c>
      <c r="B1028" s="1" t="s">
        <v>2261</v>
      </c>
      <c r="C1028" t="s">
        <v>275</v>
      </c>
      <c r="D1028" s="1" t="s">
        <v>565</v>
      </c>
      <c r="E1028" t="b">
        <v>0</v>
      </c>
      <c r="F1028">
        <v>299</v>
      </c>
      <c r="G1028">
        <v>310</v>
      </c>
      <c r="H1028" t="s">
        <v>11</v>
      </c>
      <c r="I1028" t="b" cm="1">
        <f t="array" ref="I1028">isDup(B1028,B1029, 0.7)</f>
        <v>0</v>
      </c>
    </row>
    <row r="1029" spans="1:9" ht="34" x14ac:dyDescent="0.2">
      <c r="A1029" t="s">
        <v>7237</v>
      </c>
      <c r="B1029" s="1" t="s">
        <v>7238</v>
      </c>
      <c r="C1029" t="s">
        <v>2458</v>
      </c>
      <c r="D1029" s="1" t="s">
        <v>7239</v>
      </c>
      <c r="E1029" t="b">
        <v>0</v>
      </c>
      <c r="F1029">
        <v>671</v>
      </c>
      <c r="G1029">
        <v>622</v>
      </c>
      <c r="H1029" t="s">
        <v>11</v>
      </c>
      <c r="I1029" t="b" cm="1">
        <f t="array" ref="I1029">isDup(B1029,B1030, 0.7)</f>
        <v>0</v>
      </c>
    </row>
    <row r="1030" spans="1:9" ht="17" x14ac:dyDescent="0.2">
      <c r="A1030" t="s">
        <v>4896</v>
      </c>
      <c r="B1030" s="1" t="s">
        <v>4897</v>
      </c>
      <c r="C1030" t="s">
        <v>4898</v>
      </c>
      <c r="D1030" s="1" t="s">
        <v>4899</v>
      </c>
      <c r="E1030" t="b">
        <v>0</v>
      </c>
      <c r="F1030">
        <v>43</v>
      </c>
      <c r="G1030">
        <v>359</v>
      </c>
      <c r="H1030" t="s">
        <v>11</v>
      </c>
      <c r="I1030" t="b" cm="1">
        <f t="array" ref="I1030">isDup(B1030,B1031, 0.7)</f>
        <v>0</v>
      </c>
    </row>
    <row r="1031" spans="1:9" ht="34" x14ac:dyDescent="0.2">
      <c r="A1031" t="s">
        <v>3174</v>
      </c>
      <c r="B1031" s="1" t="s">
        <v>3175</v>
      </c>
      <c r="C1031" t="s">
        <v>222</v>
      </c>
      <c r="D1031" s="1" t="s">
        <v>223</v>
      </c>
      <c r="E1031" t="b">
        <v>0</v>
      </c>
      <c r="F1031">
        <v>9225</v>
      </c>
      <c r="G1031">
        <v>7170</v>
      </c>
      <c r="H1031" t="s">
        <v>11</v>
      </c>
      <c r="I1031" t="b" cm="1">
        <f t="array" ref="I1031">isDup(B1031,B1032, 0.7)</f>
        <v>0</v>
      </c>
    </row>
    <row r="1032" spans="1:9" ht="34" x14ac:dyDescent="0.2">
      <c r="A1032" t="s">
        <v>6434</v>
      </c>
      <c r="B1032" s="1" t="s">
        <v>6435</v>
      </c>
      <c r="C1032" t="s">
        <v>2687</v>
      </c>
      <c r="D1032" s="1" t="s">
        <v>2688</v>
      </c>
      <c r="E1032" t="b">
        <v>0</v>
      </c>
      <c r="F1032">
        <v>234</v>
      </c>
      <c r="G1032">
        <v>1003</v>
      </c>
      <c r="H1032" t="s">
        <v>11</v>
      </c>
      <c r="I1032" t="b" cm="1">
        <f t="array" ref="I1032">isDup(B1032,B1033, 0.7)</f>
        <v>0</v>
      </c>
    </row>
    <row r="1033" spans="1:9" ht="34" x14ac:dyDescent="0.2">
      <c r="A1033" t="s">
        <v>4121</v>
      </c>
      <c r="B1033" s="1" t="s">
        <v>4122</v>
      </c>
      <c r="C1033" t="s">
        <v>1684</v>
      </c>
      <c r="D1033" s="1" t="s">
        <v>1960</v>
      </c>
      <c r="E1033" t="b">
        <v>0</v>
      </c>
      <c r="F1033">
        <v>7601</v>
      </c>
      <c r="G1033">
        <v>397</v>
      </c>
      <c r="H1033" t="s">
        <v>11</v>
      </c>
      <c r="I1033" t="b" cm="1">
        <f t="array" ref="I1033">isDup(B1033,B1034, 0.7)</f>
        <v>0</v>
      </c>
    </row>
    <row r="1034" spans="1:9" ht="17" x14ac:dyDescent="0.2">
      <c r="A1034" t="s">
        <v>4482</v>
      </c>
      <c r="B1034" s="1" t="s">
        <v>4483</v>
      </c>
      <c r="C1034" t="s">
        <v>4484</v>
      </c>
      <c r="D1034" s="1" t="s">
        <v>4469</v>
      </c>
      <c r="E1034" t="b">
        <v>0</v>
      </c>
      <c r="F1034">
        <v>74</v>
      </c>
      <c r="G1034">
        <v>987</v>
      </c>
      <c r="H1034" t="s">
        <v>11</v>
      </c>
      <c r="I1034" t="b" cm="1">
        <f t="array" ref="I1034">isDup(B1034,B1035, 0.7)</f>
        <v>0</v>
      </c>
    </row>
    <row r="1035" spans="1:9" ht="34" x14ac:dyDescent="0.2">
      <c r="A1035" t="s">
        <v>6479</v>
      </c>
      <c r="B1035" s="1" t="s">
        <v>6480</v>
      </c>
      <c r="C1035" t="s">
        <v>1263</v>
      </c>
      <c r="D1035" s="1" t="s">
        <v>6481</v>
      </c>
      <c r="E1035" t="b">
        <v>0</v>
      </c>
      <c r="F1035">
        <v>469</v>
      </c>
      <c r="G1035">
        <v>17</v>
      </c>
      <c r="H1035" t="s">
        <v>11</v>
      </c>
      <c r="I1035" t="b" cm="1">
        <f t="array" ref="I1035">isDup(B1035,B1036, 0.7)</f>
        <v>0</v>
      </c>
    </row>
    <row r="1036" spans="1:9" ht="34" x14ac:dyDescent="0.2">
      <c r="A1036" t="s">
        <v>3259</v>
      </c>
      <c r="B1036" s="1" t="s">
        <v>3260</v>
      </c>
      <c r="C1036" t="s">
        <v>3261</v>
      </c>
      <c r="D1036" s="1" t="s">
        <v>3262</v>
      </c>
      <c r="E1036" t="b">
        <v>0</v>
      </c>
      <c r="F1036">
        <v>476</v>
      </c>
      <c r="G1036">
        <v>470</v>
      </c>
      <c r="H1036" t="s">
        <v>11</v>
      </c>
      <c r="I1036" t="b" cm="1">
        <f t="array" ref="I1036">isDup(B1036,B1037, 0.7)</f>
        <v>0</v>
      </c>
    </row>
    <row r="1037" spans="1:9" ht="17" x14ac:dyDescent="0.2">
      <c r="A1037" t="s">
        <v>7164</v>
      </c>
      <c r="B1037" s="1" t="s">
        <v>7165</v>
      </c>
      <c r="C1037" t="s">
        <v>1902</v>
      </c>
      <c r="D1037" s="1" t="s">
        <v>61</v>
      </c>
      <c r="E1037" t="b">
        <v>0</v>
      </c>
      <c r="F1037">
        <v>253</v>
      </c>
      <c r="G1037">
        <v>43</v>
      </c>
      <c r="H1037" t="s">
        <v>11</v>
      </c>
      <c r="I1037" t="b" cm="1">
        <f t="array" ref="I1037">isDup(B1037,B1038, 0.7)</f>
        <v>0</v>
      </c>
    </row>
    <row r="1038" spans="1:9" ht="17" x14ac:dyDescent="0.2">
      <c r="A1038" t="s">
        <v>4826</v>
      </c>
      <c r="B1038" s="1" t="s">
        <v>4827</v>
      </c>
      <c r="C1038" t="s">
        <v>79</v>
      </c>
      <c r="D1038" s="1" t="s">
        <v>4773</v>
      </c>
      <c r="E1038" t="b">
        <v>1</v>
      </c>
      <c r="F1038">
        <v>33554</v>
      </c>
      <c r="G1038">
        <v>84</v>
      </c>
      <c r="H1038" t="s">
        <v>11</v>
      </c>
      <c r="I1038" t="b" cm="1">
        <f t="array" ref="I1038">isDup(B1038,B1039, 0.7)</f>
        <v>0</v>
      </c>
    </row>
    <row r="1039" spans="1:9" ht="17" x14ac:dyDescent="0.2">
      <c r="A1039" t="s">
        <v>4682</v>
      </c>
      <c r="B1039" s="1" t="s">
        <v>4683</v>
      </c>
      <c r="C1039" t="s">
        <v>4655</v>
      </c>
      <c r="D1039" s="1" t="s">
        <v>4656</v>
      </c>
      <c r="E1039" t="b">
        <v>0</v>
      </c>
      <c r="F1039">
        <v>5169</v>
      </c>
      <c r="G1039">
        <v>2709</v>
      </c>
      <c r="H1039" t="s">
        <v>11</v>
      </c>
      <c r="I1039" t="b" cm="1">
        <f t="array" ref="I1039">isDup(B1039,B1040, 0.7)</f>
        <v>0</v>
      </c>
    </row>
    <row r="1040" spans="1:9" ht="17" x14ac:dyDescent="0.2">
      <c r="A1040" t="s">
        <v>2136</v>
      </c>
      <c r="B1040" s="1" t="s">
        <v>2137</v>
      </c>
      <c r="C1040" t="s">
        <v>1112</v>
      </c>
      <c r="D1040" s="1" t="s">
        <v>2013</v>
      </c>
      <c r="E1040" t="b">
        <v>0</v>
      </c>
      <c r="F1040">
        <v>1605</v>
      </c>
      <c r="G1040">
        <v>288</v>
      </c>
      <c r="H1040" t="s">
        <v>11</v>
      </c>
      <c r="I1040" t="b" cm="1">
        <f t="array" ref="I1040">isDup(B1040,B1041, 0.7)</f>
        <v>0</v>
      </c>
    </row>
    <row r="1041" spans="1:9" ht="34" x14ac:dyDescent="0.2">
      <c r="A1041" t="s">
        <v>6118</v>
      </c>
      <c r="B1041" s="1" t="s">
        <v>6119</v>
      </c>
      <c r="C1041" t="s">
        <v>3604</v>
      </c>
      <c r="D1041" s="1" t="s">
        <v>2</v>
      </c>
      <c r="E1041" t="b">
        <v>0</v>
      </c>
      <c r="F1041">
        <v>0</v>
      </c>
      <c r="G1041">
        <v>45</v>
      </c>
      <c r="H1041" t="s">
        <v>1688</v>
      </c>
      <c r="I1041" t="b" cm="1">
        <f t="array" ref="I1041">isDup(B1041,B1042, 0.7)</f>
        <v>0</v>
      </c>
    </row>
    <row r="1042" spans="1:9" ht="34" x14ac:dyDescent="0.2">
      <c r="A1042" t="s">
        <v>3962</v>
      </c>
      <c r="B1042" s="1" t="s">
        <v>3963</v>
      </c>
      <c r="C1042" t="s">
        <v>3964</v>
      </c>
      <c r="D1042" s="1" t="s">
        <v>109</v>
      </c>
      <c r="E1042" t="b">
        <v>0</v>
      </c>
      <c r="F1042">
        <v>71</v>
      </c>
      <c r="G1042">
        <v>179</v>
      </c>
      <c r="H1042" t="s">
        <v>11</v>
      </c>
      <c r="I1042" t="b" cm="1">
        <f t="array" ref="I1042">isDup(B1042,B1043, 0.7)</f>
        <v>0</v>
      </c>
    </row>
    <row r="1043" spans="1:9" ht="17" x14ac:dyDescent="0.2">
      <c r="A1043" t="s">
        <v>3808</v>
      </c>
      <c r="B1043" s="1" t="s">
        <v>3809</v>
      </c>
      <c r="C1043" t="s">
        <v>3200</v>
      </c>
      <c r="D1043" s="1" t="s">
        <v>3810</v>
      </c>
      <c r="E1043" t="b">
        <v>0</v>
      </c>
      <c r="F1043">
        <v>587</v>
      </c>
      <c r="G1043">
        <v>128</v>
      </c>
      <c r="H1043" t="s">
        <v>11</v>
      </c>
      <c r="I1043" t="b" cm="1">
        <f t="array" ref="I1043">isDup(B1043,B1044, 0.7)</f>
        <v>0</v>
      </c>
    </row>
    <row r="1044" spans="1:9" ht="17" x14ac:dyDescent="0.2">
      <c r="A1044" t="s">
        <v>4219</v>
      </c>
      <c r="B1044" s="1" t="s">
        <v>4220</v>
      </c>
      <c r="C1044" t="s">
        <v>3560</v>
      </c>
      <c r="D1044" s="1" t="s">
        <v>4221</v>
      </c>
      <c r="E1044" t="b">
        <v>0</v>
      </c>
      <c r="F1044">
        <v>218</v>
      </c>
      <c r="G1044">
        <v>149</v>
      </c>
      <c r="H1044" t="s">
        <v>11</v>
      </c>
      <c r="I1044" t="b" cm="1">
        <f t="array" ref="I1044">isDup(B1044,B1045, 0.7)</f>
        <v>0</v>
      </c>
    </row>
    <row r="1045" spans="1:9" ht="17" x14ac:dyDescent="0.2">
      <c r="A1045" t="s">
        <v>1315</v>
      </c>
      <c r="B1045" s="1" t="s">
        <v>1316</v>
      </c>
      <c r="C1045" t="s">
        <v>1317</v>
      </c>
      <c r="D1045" s="1" t="s">
        <v>659</v>
      </c>
      <c r="E1045" t="b">
        <v>0</v>
      </c>
      <c r="F1045">
        <v>34</v>
      </c>
      <c r="G1045">
        <v>279</v>
      </c>
      <c r="H1045" t="s">
        <v>11</v>
      </c>
      <c r="I1045" t="b" cm="1">
        <f t="array" ref="I1045">isDup(B1045,B1046, 0.7)</f>
        <v>0</v>
      </c>
    </row>
    <row r="1046" spans="1:9" ht="17" x14ac:dyDescent="0.2">
      <c r="A1046" t="s">
        <v>6326</v>
      </c>
      <c r="B1046" s="1" t="s">
        <v>6327</v>
      </c>
      <c r="C1046" t="s">
        <v>814</v>
      </c>
      <c r="D1046" s="1" t="s">
        <v>5005</v>
      </c>
      <c r="E1046" t="b">
        <v>0</v>
      </c>
      <c r="F1046">
        <v>2</v>
      </c>
      <c r="G1046">
        <v>2</v>
      </c>
      <c r="H1046" t="s">
        <v>11</v>
      </c>
      <c r="I1046" t="b" cm="1">
        <f t="array" ref="I1046">isDup(B1046,B1047, 0.7)</f>
        <v>0</v>
      </c>
    </row>
    <row r="1047" spans="1:9" ht="17" x14ac:dyDescent="0.2">
      <c r="A1047" t="s">
        <v>343</v>
      </c>
      <c r="B1047" s="1" t="s">
        <v>344</v>
      </c>
      <c r="C1047" t="s">
        <v>345</v>
      </c>
      <c r="D1047" s="1" t="s">
        <v>346</v>
      </c>
      <c r="E1047" t="b">
        <v>0</v>
      </c>
      <c r="F1047">
        <v>26</v>
      </c>
      <c r="G1047">
        <v>144</v>
      </c>
      <c r="H1047" t="s">
        <v>11</v>
      </c>
      <c r="I1047" t="b" cm="1">
        <f t="array" ref="I1047">isDup(B1047,B1048, 0.7)</f>
        <v>0</v>
      </c>
    </row>
    <row r="1048" spans="1:9" ht="17" x14ac:dyDescent="0.2">
      <c r="A1048" t="s">
        <v>5476</v>
      </c>
      <c r="B1048" s="1" t="s">
        <v>5477</v>
      </c>
      <c r="C1048" t="s">
        <v>5434</v>
      </c>
      <c r="D1048" s="1" t="s">
        <v>2</v>
      </c>
      <c r="E1048" t="b">
        <v>0</v>
      </c>
      <c r="F1048">
        <v>147</v>
      </c>
      <c r="G1048">
        <v>231</v>
      </c>
      <c r="H1048" t="s">
        <v>11</v>
      </c>
      <c r="I1048" t="b" cm="1">
        <f t="array" ref="I1048">isDup(B1048,B1049, 0.7)</f>
        <v>0</v>
      </c>
    </row>
    <row r="1049" spans="1:9" ht="17" x14ac:dyDescent="0.2">
      <c r="A1049" t="s">
        <v>5113</v>
      </c>
      <c r="B1049" s="1" t="s">
        <v>5114</v>
      </c>
      <c r="C1049" t="s">
        <v>782</v>
      </c>
      <c r="D1049" s="1" t="s">
        <v>1348</v>
      </c>
      <c r="E1049" t="b">
        <v>0</v>
      </c>
      <c r="F1049">
        <v>4</v>
      </c>
      <c r="G1049">
        <v>14</v>
      </c>
      <c r="H1049" t="s">
        <v>11</v>
      </c>
      <c r="I1049" t="b" cm="1">
        <f t="array" ref="I1049">isDup(B1049,B1050, 0.7)</f>
        <v>0</v>
      </c>
    </row>
    <row r="1050" spans="1:9" ht="17" x14ac:dyDescent="0.2">
      <c r="A1050" t="s">
        <v>3019</v>
      </c>
      <c r="B1050" s="1" t="s">
        <v>3020</v>
      </c>
      <c r="C1050" t="s">
        <v>3021</v>
      </c>
      <c r="D1050" s="1" t="s">
        <v>3022</v>
      </c>
      <c r="E1050" t="b">
        <v>0</v>
      </c>
      <c r="F1050">
        <v>650</v>
      </c>
      <c r="G1050">
        <v>676</v>
      </c>
      <c r="H1050" t="s">
        <v>11</v>
      </c>
      <c r="I1050" t="b" cm="1">
        <f t="array" ref="I1050">isDup(B1050,B1051, 0.7)</f>
        <v>0</v>
      </c>
    </row>
    <row r="1051" spans="1:9" ht="17" x14ac:dyDescent="0.2">
      <c r="A1051" t="s">
        <v>5340</v>
      </c>
      <c r="B1051" s="1" t="s">
        <v>5341</v>
      </c>
      <c r="C1051" t="s">
        <v>1324</v>
      </c>
      <c r="D1051" s="1" t="s">
        <v>2</v>
      </c>
      <c r="E1051" t="b">
        <v>0</v>
      </c>
      <c r="F1051">
        <v>6</v>
      </c>
      <c r="G1051">
        <v>51</v>
      </c>
      <c r="H1051" t="s">
        <v>11</v>
      </c>
      <c r="I1051" t="b" cm="1">
        <f t="array" ref="I1051">isDup(B1051,B1052, 0.7)</f>
        <v>0</v>
      </c>
    </row>
    <row r="1052" spans="1:9" ht="34" x14ac:dyDescent="0.2">
      <c r="A1052" t="s">
        <v>7148</v>
      </c>
      <c r="B1052" s="1" t="s">
        <v>7149</v>
      </c>
      <c r="C1052" t="s">
        <v>387</v>
      </c>
      <c r="D1052" s="1" t="s">
        <v>7150</v>
      </c>
      <c r="E1052" t="b">
        <v>0</v>
      </c>
      <c r="F1052">
        <v>672</v>
      </c>
      <c r="G1052">
        <v>479</v>
      </c>
      <c r="H1052" t="s">
        <v>11</v>
      </c>
      <c r="I1052" t="b" cm="1">
        <f t="array" ref="I1052">isDup(B1052,B1053, 0.7)</f>
        <v>0</v>
      </c>
    </row>
    <row r="1053" spans="1:9" ht="17" x14ac:dyDescent="0.2">
      <c r="A1053" t="s">
        <v>6281</v>
      </c>
      <c r="B1053" s="1" t="s">
        <v>6282</v>
      </c>
      <c r="C1053" t="s">
        <v>1134</v>
      </c>
      <c r="D1053" s="1" t="s">
        <v>2</v>
      </c>
      <c r="E1053" t="b">
        <v>0</v>
      </c>
      <c r="F1053">
        <v>46</v>
      </c>
      <c r="G1053">
        <v>48</v>
      </c>
      <c r="H1053" t="s">
        <v>11</v>
      </c>
      <c r="I1053" t="b" cm="1">
        <f t="array" ref="I1053">isDup(B1053,B1054, 0.7)</f>
        <v>0</v>
      </c>
    </row>
    <row r="1054" spans="1:9" ht="34" x14ac:dyDescent="0.2">
      <c r="A1054" t="s">
        <v>1063</v>
      </c>
      <c r="B1054" s="1" t="s">
        <v>1064</v>
      </c>
      <c r="C1054" t="s">
        <v>1065</v>
      </c>
      <c r="D1054" s="1" t="s">
        <v>1062</v>
      </c>
      <c r="E1054" t="b">
        <v>0</v>
      </c>
      <c r="F1054">
        <v>130</v>
      </c>
      <c r="G1054">
        <v>239</v>
      </c>
      <c r="H1054" t="s">
        <v>11</v>
      </c>
      <c r="I1054" t="b" cm="1">
        <f t="array" ref="I1054">isDup(B1054,B1055, 0.7)</f>
        <v>0</v>
      </c>
    </row>
    <row r="1055" spans="1:9" ht="17" x14ac:dyDescent="0.2">
      <c r="A1055" t="s">
        <v>7053</v>
      </c>
      <c r="B1055" s="1" t="s">
        <v>7054</v>
      </c>
      <c r="C1055" t="s">
        <v>161</v>
      </c>
      <c r="D1055" s="1" t="s">
        <v>572</v>
      </c>
      <c r="E1055" t="b">
        <v>0</v>
      </c>
      <c r="F1055">
        <v>168</v>
      </c>
      <c r="G1055">
        <v>115</v>
      </c>
      <c r="H1055" t="s">
        <v>11</v>
      </c>
      <c r="I1055" t="b" cm="1">
        <f t="array" ref="I1055">isDup(B1055,B1056, 0.7)</f>
        <v>0</v>
      </c>
    </row>
    <row r="1056" spans="1:9" ht="17" x14ac:dyDescent="0.2">
      <c r="A1056" t="s">
        <v>570</v>
      </c>
      <c r="B1056" s="1" t="s">
        <v>571</v>
      </c>
      <c r="C1056" t="s">
        <v>161</v>
      </c>
      <c r="D1056" s="1" t="s">
        <v>572</v>
      </c>
      <c r="E1056" t="b">
        <v>0</v>
      </c>
      <c r="F1056">
        <v>168</v>
      </c>
      <c r="G1056">
        <v>115</v>
      </c>
      <c r="H1056" t="s">
        <v>11</v>
      </c>
      <c r="I1056" t="b" cm="1">
        <f t="array" ref="I1056">isDup(B1056,B1057, 0.7)</f>
        <v>0</v>
      </c>
    </row>
    <row r="1057" spans="1:9" ht="17" x14ac:dyDescent="0.2">
      <c r="A1057" t="s">
        <v>1185</v>
      </c>
      <c r="B1057" s="1" t="s">
        <v>1186</v>
      </c>
      <c r="C1057" t="s">
        <v>161</v>
      </c>
      <c r="D1057" s="1" t="s">
        <v>572</v>
      </c>
      <c r="E1057" t="b">
        <v>0</v>
      </c>
      <c r="F1057">
        <v>168</v>
      </c>
      <c r="G1057">
        <v>115</v>
      </c>
      <c r="H1057" t="s">
        <v>11</v>
      </c>
      <c r="I1057" t="b" cm="1">
        <f t="array" ref="I1057">isDup(B1057,B1058, 0.7)</f>
        <v>0</v>
      </c>
    </row>
    <row r="1058" spans="1:9" ht="17" x14ac:dyDescent="0.2">
      <c r="A1058" t="s">
        <v>1918</v>
      </c>
      <c r="B1058" s="1" t="s">
        <v>1919</v>
      </c>
      <c r="C1058" t="s">
        <v>161</v>
      </c>
      <c r="D1058" s="1" t="s">
        <v>572</v>
      </c>
      <c r="E1058" t="b">
        <v>0</v>
      </c>
      <c r="F1058">
        <v>168</v>
      </c>
      <c r="G1058">
        <v>115</v>
      </c>
      <c r="H1058" t="s">
        <v>11</v>
      </c>
      <c r="I1058" t="b" cm="1">
        <f t="array" ref="I1058">isDup(B1058,B1059, 0.7)</f>
        <v>0</v>
      </c>
    </row>
    <row r="1059" spans="1:9" ht="17" x14ac:dyDescent="0.2">
      <c r="A1059" t="s">
        <v>2671</v>
      </c>
      <c r="B1059" s="1" t="s">
        <v>2672</v>
      </c>
      <c r="C1059" t="s">
        <v>161</v>
      </c>
      <c r="D1059" s="1" t="s">
        <v>572</v>
      </c>
      <c r="E1059" t="b">
        <v>0</v>
      </c>
      <c r="F1059">
        <v>168</v>
      </c>
      <c r="G1059">
        <v>115</v>
      </c>
      <c r="H1059" t="s">
        <v>11</v>
      </c>
      <c r="I1059" t="b" cm="1">
        <f t="array" ref="I1059">isDup(B1059,B1060, 0.7)</f>
        <v>0</v>
      </c>
    </row>
    <row r="1060" spans="1:9" ht="17" x14ac:dyDescent="0.2">
      <c r="A1060" t="s">
        <v>3500</v>
      </c>
      <c r="B1060" s="1" t="s">
        <v>3501</v>
      </c>
      <c r="C1060" t="s">
        <v>161</v>
      </c>
      <c r="D1060" s="1" t="s">
        <v>572</v>
      </c>
      <c r="E1060" t="b">
        <v>0</v>
      </c>
      <c r="F1060">
        <v>168</v>
      </c>
      <c r="G1060">
        <v>115</v>
      </c>
      <c r="H1060" t="s">
        <v>11</v>
      </c>
      <c r="I1060" t="b" cm="1">
        <f t="array" ref="I1060">isDup(B1060,B1061, 0.7)</f>
        <v>0</v>
      </c>
    </row>
    <row r="1061" spans="1:9" ht="17" x14ac:dyDescent="0.2">
      <c r="A1061" t="s">
        <v>4259</v>
      </c>
      <c r="B1061" s="1" t="s">
        <v>4260</v>
      </c>
      <c r="C1061" t="s">
        <v>161</v>
      </c>
      <c r="D1061" s="1" t="s">
        <v>572</v>
      </c>
      <c r="E1061" t="b">
        <v>0</v>
      </c>
      <c r="F1061">
        <v>168</v>
      </c>
      <c r="G1061">
        <v>115</v>
      </c>
      <c r="H1061" t="s">
        <v>11</v>
      </c>
      <c r="I1061" t="b" cm="1">
        <f t="array" ref="I1061">isDup(B1061,B1062, 0.7)</f>
        <v>0</v>
      </c>
    </row>
    <row r="1062" spans="1:9" ht="17" x14ac:dyDescent="0.2">
      <c r="A1062" t="s">
        <v>4978</v>
      </c>
      <c r="B1062" s="1" t="s">
        <v>4981</v>
      </c>
      <c r="C1062" t="s">
        <v>161</v>
      </c>
      <c r="D1062" s="1" t="s">
        <v>572</v>
      </c>
      <c r="E1062" t="b">
        <v>0</v>
      </c>
      <c r="F1062">
        <v>168</v>
      </c>
      <c r="G1062">
        <v>115</v>
      </c>
      <c r="H1062" t="s">
        <v>11</v>
      </c>
      <c r="I1062" t="b" cm="1">
        <f t="array" ref="I1062">isDup(B1062,B1063, 0.7)</f>
        <v>0</v>
      </c>
    </row>
    <row r="1063" spans="1:9" ht="17" x14ac:dyDescent="0.2">
      <c r="A1063" t="s">
        <v>5621</v>
      </c>
      <c r="B1063" s="1" t="s">
        <v>5622</v>
      </c>
      <c r="C1063" t="s">
        <v>161</v>
      </c>
      <c r="D1063" s="1" t="s">
        <v>572</v>
      </c>
      <c r="E1063" t="b">
        <v>0</v>
      </c>
      <c r="F1063">
        <v>168</v>
      </c>
      <c r="G1063">
        <v>115</v>
      </c>
      <c r="H1063" t="s">
        <v>11</v>
      </c>
      <c r="I1063" t="b" cm="1">
        <f t="array" ref="I1063">isDup(B1063,B1064, 0.7)</f>
        <v>0</v>
      </c>
    </row>
    <row r="1064" spans="1:9" ht="17" x14ac:dyDescent="0.2">
      <c r="A1064" t="s">
        <v>6424</v>
      </c>
      <c r="B1064" s="1" t="s">
        <v>6425</v>
      </c>
      <c r="C1064" t="s">
        <v>161</v>
      </c>
      <c r="D1064" s="1" t="s">
        <v>572</v>
      </c>
      <c r="E1064" t="b">
        <v>0</v>
      </c>
      <c r="F1064">
        <v>168</v>
      </c>
      <c r="G1064">
        <v>115</v>
      </c>
      <c r="H1064" t="s">
        <v>11</v>
      </c>
      <c r="I1064" t="b" cm="1">
        <f t="array" ref="I1064">isDup(B1064,B1065, 0.7)</f>
        <v>0</v>
      </c>
    </row>
    <row r="1065" spans="1:9" ht="34" x14ac:dyDescent="0.2">
      <c r="A1065" t="s">
        <v>5522</v>
      </c>
      <c r="B1065" s="1" t="s">
        <v>5523</v>
      </c>
      <c r="C1065" t="s">
        <v>5220</v>
      </c>
      <c r="D1065" s="1" t="s">
        <v>730</v>
      </c>
      <c r="E1065" t="b">
        <v>0</v>
      </c>
      <c r="F1065">
        <v>160</v>
      </c>
      <c r="G1065">
        <v>176</v>
      </c>
      <c r="H1065" t="s">
        <v>11</v>
      </c>
      <c r="I1065" t="b" cm="1">
        <f t="array" ref="I1065">isDup(B1065,B1066, 0.7)</f>
        <v>0</v>
      </c>
    </row>
    <row r="1066" spans="1:9" ht="17" x14ac:dyDescent="0.2">
      <c r="A1066" t="s">
        <v>6235</v>
      </c>
      <c r="B1066" s="1" t="s">
        <v>6236</v>
      </c>
      <c r="C1066" t="s">
        <v>1614</v>
      </c>
      <c r="D1066" s="1" t="s">
        <v>2</v>
      </c>
      <c r="E1066" t="b">
        <v>0</v>
      </c>
      <c r="F1066">
        <v>5</v>
      </c>
      <c r="G1066">
        <v>95</v>
      </c>
      <c r="H1066" t="s">
        <v>11</v>
      </c>
      <c r="I1066" t="b" cm="1">
        <f t="array" ref="I1066">isDup(B1066,B1067, 0.7)</f>
        <v>0</v>
      </c>
    </row>
    <row r="1067" spans="1:9" ht="34" x14ac:dyDescent="0.2">
      <c r="A1067" t="s">
        <v>815</v>
      </c>
      <c r="B1067" s="1" t="s">
        <v>816</v>
      </c>
      <c r="C1067" t="s">
        <v>817</v>
      </c>
      <c r="D1067" s="1" t="s">
        <v>178</v>
      </c>
      <c r="E1067" t="b">
        <v>0</v>
      </c>
      <c r="F1067">
        <v>691</v>
      </c>
      <c r="G1067">
        <v>1513</v>
      </c>
      <c r="H1067" t="s">
        <v>11</v>
      </c>
      <c r="I1067" t="b" cm="1">
        <f t="array" ref="I1067">isDup(B1067,B1068, 0.7)</f>
        <v>0</v>
      </c>
    </row>
    <row r="1068" spans="1:9" ht="34" x14ac:dyDescent="0.2">
      <c r="A1068" t="s">
        <v>5728</v>
      </c>
      <c r="B1068" s="1" t="s">
        <v>5729</v>
      </c>
      <c r="C1068" t="s">
        <v>186</v>
      </c>
      <c r="D1068" s="1" t="s">
        <v>5567</v>
      </c>
      <c r="E1068" t="b">
        <v>0</v>
      </c>
      <c r="F1068">
        <v>117</v>
      </c>
      <c r="G1068">
        <v>455</v>
      </c>
      <c r="H1068" t="s">
        <v>11</v>
      </c>
      <c r="I1068" t="b" cm="1">
        <f t="array" ref="I1068">isDup(B1068,B1069, 0.7)</f>
        <v>0</v>
      </c>
    </row>
    <row r="1069" spans="1:9" ht="17" x14ac:dyDescent="0.2">
      <c r="A1069" t="s">
        <v>6508</v>
      </c>
      <c r="B1069" s="1" t="s">
        <v>6509</v>
      </c>
      <c r="C1069" t="s">
        <v>71</v>
      </c>
      <c r="D1069" s="1" t="s">
        <v>6510</v>
      </c>
      <c r="E1069" t="b">
        <v>0</v>
      </c>
      <c r="F1069">
        <v>843</v>
      </c>
      <c r="G1069">
        <v>493</v>
      </c>
      <c r="H1069" t="s">
        <v>11</v>
      </c>
      <c r="I1069" t="b" cm="1">
        <f t="array" ref="I1069">isDup(B1069,B1070, 0.7)</f>
        <v>0</v>
      </c>
    </row>
    <row r="1070" spans="1:9" ht="17" x14ac:dyDescent="0.2">
      <c r="A1070" t="s">
        <v>6690</v>
      </c>
      <c r="B1070" s="1" t="s">
        <v>6691</v>
      </c>
      <c r="C1070" t="s">
        <v>6692</v>
      </c>
      <c r="D1070" s="1" t="s">
        <v>2</v>
      </c>
      <c r="E1070" t="b">
        <v>0</v>
      </c>
      <c r="F1070">
        <v>3283</v>
      </c>
      <c r="G1070">
        <v>4499</v>
      </c>
      <c r="H1070" t="s">
        <v>3</v>
      </c>
      <c r="I1070" t="b" cm="1">
        <f t="array" ref="I1070">isDup(B1070,B1071, 0.7)</f>
        <v>0</v>
      </c>
    </row>
    <row r="1071" spans="1:9" ht="17" x14ac:dyDescent="0.2">
      <c r="A1071" t="s">
        <v>1803</v>
      </c>
      <c r="B1071" s="1" t="s">
        <v>1804</v>
      </c>
      <c r="C1071" t="s">
        <v>1008</v>
      </c>
      <c r="D1071" s="1" t="s">
        <v>1805</v>
      </c>
      <c r="E1071" t="b">
        <v>0</v>
      </c>
      <c r="F1071">
        <v>22</v>
      </c>
      <c r="G1071">
        <v>56</v>
      </c>
      <c r="H1071" t="s">
        <v>11</v>
      </c>
      <c r="I1071" t="b" cm="1">
        <f t="array" ref="I1071">isDup(B1071,B1072, 0.7)</f>
        <v>0</v>
      </c>
    </row>
    <row r="1072" spans="1:9" ht="34" x14ac:dyDescent="0.2">
      <c r="A1072" t="s">
        <v>3602</v>
      </c>
      <c r="B1072" s="1" t="s">
        <v>3603</v>
      </c>
      <c r="C1072" t="s">
        <v>3604</v>
      </c>
      <c r="D1072" s="1" t="s">
        <v>2986</v>
      </c>
      <c r="E1072" t="b">
        <v>0</v>
      </c>
      <c r="F1072">
        <v>18</v>
      </c>
      <c r="G1072">
        <v>141</v>
      </c>
      <c r="H1072" t="s">
        <v>11</v>
      </c>
      <c r="I1072" t="b" cm="1">
        <f t="array" ref="I1072">isDup(B1072,B1073, 0.7)</f>
        <v>0</v>
      </c>
    </row>
    <row r="1073" spans="1:9" ht="17" x14ac:dyDescent="0.2">
      <c r="A1073" t="s">
        <v>4744</v>
      </c>
      <c r="B1073" s="1" t="s">
        <v>4745</v>
      </c>
      <c r="C1073" t="s">
        <v>4601</v>
      </c>
      <c r="D1073" s="1" t="s">
        <v>2</v>
      </c>
      <c r="E1073" t="b">
        <v>0</v>
      </c>
      <c r="F1073">
        <v>354</v>
      </c>
      <c r="G1073">
        <v>384</v>
      </c>
      <c r="H1073" t="s">
        <v>11</v>
      </c>
      <c r="I1073" t="b" cm="1">
        <f t="array" ref="I1073">isDup(B1073,B1074, 0.7)</f>
        <v>0</v>
      </c>
    </row>
    <row r="1074" spans="1:9" ht="34" x14ac:dyDescent="0.2">
      <c r="A1074" t="s">
        <v>4803</v>
      </c>
      <c r="B1074" s="1" t="s">
        <v>4804</v>
      </c>
      <c r="C1074" t="s">
        <v>4601</v>
      </c>
      <c r="D1074" s="1" t="s">
        <v>2</v>
      </c>
      <c r="E1074" t="b">
        <v>0</v>
      </c>
      <c r="F1074">
        <v>354</v>
      </c>
      <c r="G1074">
        <v>384</v>
      </c>
      <c r="H1074" t="s">
        <v>11</v>
      </c>
      <c r="I1074" t="b" cm="1">
        <f t="array" ref="I1074">isDup(B1074,B1075, 0.7)</f>
        <v>0</v>
      </c>
    </row>
    <row r="1075" spans="1:9" ht="17" x14ac:dyDescent="0.2">
      <c r="A1075" t="s">
        <v>4939</v>
      </c>
      <c r="B1075" s="1" t="s">
        <v>4940</v>
      </c>
      <c r="C1075" t="s">
        <v>289</v>
      </c>
      <c r="D1075" s="1" t="s">
        <v>2</v>
      </c>
      <c r="E1075" t="b">
        <v>0</v>
      </c>
      <c r="F1075">
        <v>19711</v>
      </c>
      <c r="G1075">
        <v>34</v>
      </c>
      <c r="H1075" t="s">
        <v>359</v>
      </c>
      <c r="I1075" t="b" cm="1">
        <f t="array" ref="I1075">isDup(B1075,B1076, 0.7)</f>
        <v>0</v>
      </c>
    </row>
    <row r="1076" spans="1:9" ht="17" x14ac:dyDescent="0.2">
      <c r="A1076" t="s">
        <v>2304</v>
      </c>
      <c r="B1076" s="1" t="s">
        <v>2307</v>
      </c>
      <c r="C1076" t="s">
        <v>305</v>
      </c>
      <c r="D1076" s="1" t="s">
        <v>2</v>
      </c>
      <c r="E1076" t="b">
        <v>0</v>
      </c>
      <c r="F1076">
        <v>118</v>
      </c>
      <c r="G1076">
        <v>110</v>
      </c>
      <c r="H1076" t="s">
        <v>73</v>
      </c>
      <c r="I1076" t="b" cm="1">
        <f t="array" ref="I1076">isDup(B1076,B1077, 0.7)</f>
        <v>0</v>
      </c>
    </row>
    <row r="1077" spans="1:9" ht="17" x14ac:dyDescent="0.2">
      <c r="A1077" t="s">
        <v>5947</v>
      </c>
      <c r="B1077" s="1" t="s">
        <v>5948</v>
      </c>
      <c r="C1077" t="s">
        <v>1579</v>
      </c>
      <c r="D1077" s="1" t="s">
        <v>5949</v>
      </c>
      <c r="E1077" t="b">
        <v>0</v>
      </c>
      <c r="F1077">
        <v>243</v>
      </c>
      <c r="G1077">
        <v>235</v>
      </c>
      <c r="H1077" t="s">
        <v>11</v>
      </c>
      <c r="I1077" t="b" cm="1">
        <f t="array" ref="I1077">isDup(B1077,B1078, 0.7)</f>
        <v>0</v>
      </c>
    </row>
    <row r="1078" spans="1:9" ht="17" x14ac:dyDescent="0.2">
      <c r="A1078" t="s">
        <v>2971</v>
      </c>
      <c r="B1078" s="1" t="s">
        <v>2972</v>
      </c>
      <c r="C1078" t="s">
        <v>2973</v>
      </c>
      <c r="D1078" s="1" t="s">
        <v>2</v>
      </c>
      <c r="E1078" t="b">
        <v>0</v>
      </c>
      <c r="F1078">
        <v>444</v>
      </c>
      <c r="G1078">
        <v>301</v>
      </c>
      <c r="H1078" t="s">
        <v>11</v>
      </c>
      <c r="I1078" t="b" cm="1">
        <f t="array" ref="I1078">isDup(B1078,B1079, 0.7)</f>
        <v>0</v>
      </c>
    </row>
    <row r="1079" spans="1:9" ht="17" x14ac:dyDescent="0.2">
      <c r="A1079" t="s">
        <v>102</v>
      </c>
      <c r="B1079" s="1" t="s">
        <v>103</v>
      </c>
      <c r="C1079" t="s">
        <v>104</v>
      </c>
      <c r="D1079" s="1" t="s">
        <v>105</v>
      </c>
      <c r="E1079" t="b">
        <v>0</v>
      </c>
      <c r="F1079">
        <v>17</v>
      </c>
      <c r="G1079">
        <v>39</v>
      </c>
      <c r="H1079" t="s">
        <v>11</v>
      </c>
      <c r="I1079" t="b" cm="1">
        <f t="array" ref="I1079">isDup(B1079,B1080, 0.7)</f>
        <v>0</v>
      </c>
    </row>
    <row r="1080" spans="1:9" ht="17" x14ac:dyDescent="0.2">
      <c r="A1080" t="s">
        <v>4447</v>
      </c>
      <c r="B1080" s="1" t="s">
        <v>4448</v>
      </c>
      <c r="C1080" t="s">
        <v>186</v>
      </c>
      <c r="D1080" s="1" t="s">
        <v>4449</v>
      </c>
      <c r="E1080" t="b">
        <v>0</v>
      </c>
      <c r="F1080">
        <v>5173</v>
      </c>
      <c r="G1080">
        <v>5108</v>
      </c>
      <c r="H1080" t="s">
        <v>11</v>
      </c>
      <c r="I1080" t="b" cm="1">
        <f t="array" ref="I1080">isDup(B1080,B1081, 0.7)</f>
        <v>0</v>
      </c>
    </row>
    <row r="1081" spans="1:9" ht="34" x14ac:dyDescent="0.2">
      <c r="A1081" t="s">
        <v>942</v>
      </c>
      <c r="B1081" s="1" t="s">
        <v>943</v>
      </c>
      <c r="C1081" t="s">
        <v>944</v>
      </c>
      <c r="D1081" s="1" t="s">
        <v>2</v>
      </c>
      <c r="E1081" t="b">
        <v>0</v>
      </c>
      <c r="F1081">
        <v>146</v>
      </c>
      <c r="G1081">
        <v>142</v>
      </c>
      <c r="H1081" t="s">
        <v>47</v>
      </c>
      <c r="I1081" t="b" cm="1">
        <f t="array" ref="I1081">isDup(B1081,B1082, 0.7)</f>
        <v>0</v>
      </c>
    </row>
    <row r="1082" spans="1:9" ht="17" x14ac:dyDescent="0.2">
      <c r="A1082" t="s">
        <v>2385</v>
      </c>
      <c r="B1082" s="1" t="s">
        <v>2386</v>
      </c>
      <c r="C1082" t="s">
        <v>2387</v>
      </c>
      <c r="D1082" s="1" t="s">
        <v>2388</v>
      </c>
      <c r="E1082" t="b">
        <v>0</v>
      </c>
      <c r="F1082">
        <v>76</v>
      </c>
      <c r="G1082">
        <v>272</v>
      </c>
      <c r="H1082" t="s">
        <v>1088</v>
      </c>
      <c r="I1082" t="b" cm="1">
        <f t="array" ref="I1082">isDup(B1082,B1083, 0.7)</f>
        <v>0</v>
      </c>
    </row>
    <row r="1083" spans="1:9" ht="34" x14ac:dyDescent="0.2">
      <c r="A1083" t="s">
        <v>3317</v>
      </c>
      <c r="B1083" s="1" t="s">
        <v>3320</v>
      </c>
      <c r="C1083" t="s">
        <v>3321</v>
      </c>
      <c r="D1083" s="1" t="s">
        <v>3322</v>
      </c>
      <c r="E1083" t="b">
        <v>0</v>
      </c>
      <c r="F1083">
        <v>70</v>
      </c>
      <c r="G1083">
        <v>233</v>
      </c>
      <c r="H1083" t="s">
        <v>359</v>
      </c>
      <c r="I1083" t="b" cm="1">
        <f t="array" ref="I1083">isDup(B1083,B1084, 0.7)</f>
        <v>0</v>
      </c>
    </row>
    <row r="1084" spans="1:9" ht="34" x14ac:dyDescent="0.2">
      <c r="A1084" t="s">
        <v>4152</v>
      </c>
      <c r="B1084" s="1" t="s">
        <v>4153</v>
      </c>
      <c r="C1084" t="s">
        <v>4154</v>
      </c>
      <c r="D1084" s="1" t="s">
        <v>2</v>
      </c>
      <c r="E1084" t="b">
        <v>0</v>
      </c>
      <c r="F1084">
        <v>26</v>
      </c>
      <c r="G1084">
        <v>50</v>
      </c>
      <c r="H1084" t="s">
        <v>110</v>
      </c>
      <c r="I1084" t="b" cm="1">
        <f t="array" ref="I1084">isDup(B1084,B1085, 0.7)</f>
        <v>0</v>
      </c>
    </row>
    <row r="1085" spans="1:9" ht="34" x14ac:dyDescent="0.2">
      <c r="A1085" t="s">
        <v>2621</v>
      </c>
      <c r="B1085" s="1" t="s">
        <v>2622</v>
      </c>
      <c r="C1085" t="s">
        <v>237</v>
      </c>
      <c r="D1085" s="1" t="s">
        <v>2623</v>
      </c>
      <c r="E1085" t="b">
        <v>0</v>
      </c>
      <c r="F1085">
        <v>310</v>
      </c>
      <c r="G1085">
        <v>273</v>
      </c>
      <c r="H1085" t="s">
        <v>11</v>
      </c>
      <c r="I1085" t="b" cm="1">
        <f t="array" ref="I1085">isDup(B1085,B1086, 0.7)</f>
        <v>0</v>
      </c>
    </row>
    <row r="1086" spans="1:9" ht="17" x14ac:dyDescent="0.2">
      <c r="A1086" t="s">
        <v>2694</v>
      </c>
      <c r="B1086" s="1" t="s">
        <v>2695</v>
      </c>
      <c r="C1086" t="s">
        <v>869</v>
      </c>
      <c r="D1086" s="1" t="s">
        <v>2</v>
      </c>
      <c r="E1086" t="b">
        <v>0</v>
      </c>
      <c r="F1086">
        <v>0</v>
      </c>
      <c r="G1086">
        <v>14</v>
      </c>
      <c r="H1086" t="s">
        <v>83</v>
      </c>
      <c r="I1086" t="b" cm="1">
        <f t="array" ref="I1086">isDup(B1086,B1087, 0.7)</f>
        <v>0</v>
      </c>
    </row>
    <row r="1087" spans="1:9" ht="34" x14ac:dyDescent="0.2">
      <c r="A1087" t="s">
        <v>3561</v>
      </c>
      <c r="B1087" s="1" t="s">
        <v>3562</v>
      </c>
      <c r="C1087" t="s">
        <v>2867</v>
      </c>
      <c r="D1087" s="1" t="s">
        <v>3563</v>
      </c>
      <c r="E1087" t="b">
        <v>0</v>
      </c>
      <c r="F1087">
        <v>13378</v>
      </c>
      <c r="G1087">
        <v>1958</v>
      </c>
      <c r="H1087" t="s">
        <v>11</v>
      </c>
      <c r="I1087" t="b" cm="1">
        <f t="array" ref="I1087">isDup(B1087,B1088, 0.7)</f>
        <v>0</v>
      </c>
    </row>
    <row r="1088" spans="1:9" ht="34" x14ac:dyDescent="0.2">
      <c r="A1088" t="s">
        <v>4479</v>
      </c>
      <c r="B1088" s="1" t="s">
        <v>4480</v>
      </c>
      <c r="C1088" t="s">
        <v>4481</v>
      </c>
      <c r="D1088" s="1" t="s">
        <v>1368</v>
      </c>
      <c r="E1088" t="b">
        <v>0</v>
      </c>
      <c r="F1088">
        <v>196</v>
      </c>
      <c r="G1088">
        <v>209</v>
      </c>
      <c r="H1088" t="s">
        <v>11</v>
      </c>
      <c r="I1088" t="b" cm="1">
        <f t="array" ref="I1088">isDup(B1088,B1089, 0.7)</f>
        <v>0</v>
      </c>
    </row>
    <row r="1089" spans="1:9" ht="17" x14ac:dyDescent="0.2">
      <c r="A1089" t="s">
        <v>5398</v>
      </c>
      <c r="B1089" s="1" t="s">
        <v>5399</v>
      </c>
      <c r="C1089" t="s">
        <v>5400</v>
      </c>
      <c r="D1089" s="1" t="s">
        <v>5401</v>
      </c>
      <c r="E1089" t="b">
        <v>0</v>
      </c>
      <c r="F1089">
        <v>159</v>
      </c>
      <c r="G1089">
        <v>416</v>
      </c>
      <c r="H1089" t="s">
        <v>11</v>
      </c>
      <c r="I1089" t="b" cm="1">
        <f t="array" ref="I1089">isDup(B1089,B1090, 0.7)</f>
        <v>0</v>
      </c>
    </row>
    <row r="1090" spans="1:9" ht="17" x14ac:dyDescent="0.2">
      <c r="A1090" t="s">
        <v>1267</v>
      </c>
      <c r="B1090" s="1" t="s">
        <v>1268</v>
      </c>
      <c r="C1090" t="s">
        <v>1269</v>
      </c>
      <c r="D1090" s="1" t="s">
        <v>1270</v>
      </c>
      <c r="E1090" t="b">
        <v>0</v>
      </c>
      <c r="F1090">
        <v>416</v>
      </c>
      <c r="G1090">
        <v>594</v>
      </c>
      <c r="H1090" t="s">
        <v>11</v>
      </c>
      <c r="I1090" t="b" cm="1">
        <f t="array" ref="I1090">isDup(B1090,B1091, 0.7)</f>
        <v>0</v>
      </c>
    </row>
    <row r="1091" spans="1:9" ht="17" x14ac:dyDescent="0.2">
      <c r="A1091" t="s">
        <v>2304</v>
      </c>
      <c r="B1091" s="1" t="s">
        <v>2305</v>
      </c>
      <c r="C1091" t="s">
        <v>1342</v>
      </c>
      <c r="D1091" s="1" t="s">
        <v>2306</v>
      </c>
      <c r="E1091" t="b">
        <v>0</v>
      </c>
      <c r="F1091">
        <v>683</v>
      </c>
      <c r="G1091">
        <v>149</v>
      </c>
      <c r="H1091" t="s">
        <v>11</v>
      </c>
      <c r="I1091" t="b" cm="1">
        <f t="array" ref="I1091">isDup(B1091,B1092, 0.7)</f>
        <v>0</v>
      </c>
    </row>
    <row r="1092" spans="1:9" ht="17" x14ac:dyDescent="0.2">
      <c r="A1092" t="s">
        <v>6555</v>
      </c>
      <c r="B1092" s="1" t="s">
        <v>6556</v>
      </c>
      <c r="C1092" t="s">
        <v>2398</v>
      </c>
      <c r="D1092" s="1" t="s">
        <v>2</v>
      </c>
      <c r="E1092" t="b">
        <v>0</v>
      </c>
      <c r="F1092">
        <v>372</v>
      </c>
      <c r="G1092">
        <v>572</v>
      </c>
      <c r="H1092" t="s">
        <v>338</v>
      </c>
      <c r="I1092" t="b" cm="1">
        <f t="array" ref="I1092">isDup(B1092,B1093, 0.7)</f>
        <v>0</v>
      </c>
    </row>
    <row r="1093" spans="1:9" ht="17" x14ac:dyDescent="0.2">
      <c r="A1093" t="s">
        <v>1881</v>
      </c>
      <c r="B1093" s="1" t="s">
        <v>1882</v>
      </c>
      <c r="C1093" t="s">
        <v>1250</v>
      </c>
      <c r="D1093" s="1" t="s">
        <v>1251</v>
      </c>
      <c r="E1093" t="b">
        <v>0</v>
      </c>
      <c r="F1093">
        <v>1354</v>
      </c>
      <c r="G1093">
        <v>1070</v>
      </c>
      <c r="H1093" t="s">
        <v>11</v>
      </c>
      <c r="I1093" t="b" cm="1">
        <f t="array" ref="I1093">isDup(B1093,B1094, 0.7)</f>
        <v>0</v>
      </c>
    </row>
    <row r="1094" spans="1:9" ht="17" x14ac:dyDescent="0.2">
      <c r="A1094" t="s">
        <v>5792</v>
      </c>
      <c r="B1094" s="1" t="s">
        <v>5793</v>
      </c>
      <c r="C1094" t="s">
        <v>5794</v>
      </c>
      <c r="D1094" s="1" t="s">
        <v>322</v>
      </c>
      <c r="E1094" t="b">
        <v>0</v>
      </c>
      <c r="F1094">
        <v>667</v>
      </c>
      <c r="G1094">
        <v>148</v>
      </c>
      <c r="H1094" t="s">
        <v>11</v>
      </c>
      <c r="I1094" t="b" cm="1">
        <f t="array" ref="I1094">isDup(B1094,B1095, 0.7)</f>
        <v>0</v>
      </c>
    </row>
    <row r="1095" spans="1:9" ht="17" x14ac:dyDescent="0.2">
      <c r="A1095" t="s">
        <v>4407</v>
      </c>
      <c r="B1095" s="1" t="s">
        <v>4408</v>
      </c>
      <c r="C1095" t="s">
        <v>3631</v>
      </c>
      <c r="D1095" s="1" t="s">
        <v>534</v>
      </c>
      <c r="E1095" t="b">
        <v>0</v>
      </c>
      <c r="F1095">
        <v>129</v>
      </c>
      <c r="G1095">
        <v>240</v>
      </c>
      <c r="H1095" t="s">
        <v>11</v>
      </c>
      <c r="I1095" t="b" cm="1">
        <f t="array" ref="I1095">isDup(B1095,B1096, 0.7)</f>
        <v>0</v>
      </c>
    </row>
    <row r="1096" spans="1:9" ht="34" x14ac:dyDescent="0.2">
      <c r="A1096" t="s">
        <v>5133</v>
      </c>
      <c r="B1096" s="1" t="s">
        <v>5134</v>
      </c>
      <c r="C1096" t="s">
        <v>90</v>
      </c>
      <c r="D1096" s="1" t="s">
        <v>91</v>
      </c>
      <c r="E1096" t="b">
        <v>0</v>
      </c>
      <c r="F1096">
        <v>136</v>
      </c>
      <c r="G1096">
        <v>11</v>
      </c>
      <c r="H1096" t="s">
        <v>11</v>
      </c>
      <c r="I1096" t="b" cm="1">
        <f t="array" ref="I1096">isDup(B1096,B1097, 0.7)</f>
        <v>0</v>
      </c>
    </row>
    <row r="1097" spans="1:9" ht="34" x14ac:dyDescent="0.2">
      <c r="A1097" t="s">
        <v>74</v>
      </c>
      <c r="B1097" s="1" t="s">
        <v>75</v>
      </c>
      <c r="C1097" t="s">
        <v>76</v>
      </c>
      <c r="D1097" s="1" t="s">
        <v>2</v>
      </c>
      <c r="E1097" t="b">
        <v>0</v>
      </c>
      <c r="F1097">
        <v>17</v>
      </c>
      <c r="G1097">
        <v>207</v>
      </c>
      <c r="H1097" t="s">
        <v>11</v>
      </c>
      <c r="I1097" t="b" cm="1">
        <f t="array" ref="I1097">isDup(B1097,B1098, 0.7)</f>
        <v>0</v>
      </c>
    </row>
    <row r="1098" spans="1:9" ht="17" x14ac:dyDescent="0.2">
      <c r="A1098" t="s">
        <v>4937</v>
      </c>
      <c r="B1098" s="1" t="s">
        <v>4938</v>
      </c>
      <c r="C1098" t="s">
        <v>575</v>
      </c>
      <c r="D1098" s="1" t="s">
        <v>2997</v>
      </c>
      <c r="E1098" t="b">
        <v>0</v>
      </c>
      <c r="F1098">
        <v>4809</v>
      </c>
      <c r="G1098">
        <v>693</v>
      </c>
      <c r="H1098" t="s">
        <v>11</v>
      </c>
      <c r="I1098" t="b" cm="1">
        <f t="array" ref="I1098">isDup(B1098,B1099, 0.7)</f>
        <v>0</v>
      </c>
    </row>
    <row r="1099" spans="1:9" ht="17" x14ac:dyDescent="0.2">
      <c r="A1099" t="s">
        <v>1562</v>
      </c>
      <c r="B1099" s="1" t="s">
        <v>1563</v>
      </c>
      <c r="C1099" t="s">
        <v>1564</v>
      </c>
      <c r="D1099" s="1" t="s">
        <v>2</v>
      </c>
      <c r="E1099" t="b">
        <v>0</v>
      </c>
      <c r="F1099">
        <v>54</v>
      </c>
      <c r="G1099">
        <v>233</v>
      </c>
      <c r="H1099" t="s">
        <v>1565</v>
      </c>
      <c r="I1099" t="b" cm="1">
        <f t="array" ref="I1099">isDup(B1099,B1100, 0.7)</f>
        <v>0</v>
      </c>
    </row>
    <row r="1100" spans="1:9" ht="34" x14ac:dyDescent="0.2">
      <c r="A1100" t="s">
        <v>5256</v>
      </c>
      <c r="B1100" s="1" t="s">
        <v>5257</v>
      </c>
      <c r="C1100" t="s">
        <v>2275</v>
      </c>
      <c r="D1100" s="1" t="s">
        <v>5258</v>
      </c>
      <c r="E1100" t="b">
        <v>0</v>
      </c>
      <c r="F1100">
        <v>6752</v>
      </c>
      <c r="G1100">
        <v>2991</v>
      </c>
      <c r="H1100" t="s">
        <v>11</v>
      </c>
      <c r="I1100" t="b" cm="1">
        <f t="array" ref="I1100">isDup(B1100,B1101, 0.7)</f>
        <v>0</v>
      </c>
    </row>
    <row r="1101" spans="1:9" ht="34" x14ac:dyDescent="0.2">
      <c r="A1101" t="s">
        <v>2758</v>
      </c>
      <c r="B1101" s="1" t="s">
        <v>2759</v>
      </c>
      <c r="C1101" t="s">
        <v>387</v>
      </c>
      <c r="D1101" s="1" t="s">
        <v>2760</v>
      </c>
      <c r="E1101" t="b">
        <v>0</v>
      </c>
      <c r="F1101">
        <v>744</v>
      </c>
      <c r="G1101">
        <v>551</v>
      </c>
      <c r="H1101" t="s">
        <v>11</v>
      </c>
      <c r="I1101" t="b" cm="1">
        <f t="array" ref="I1101">isDup(B1101,B1102, 0.7)</f>
        <v>0</v>
      </c>
    </row>
    <row r="1102" spans="1:9" ht="17" x14ac:dyDescent="0.2">
      <c r="A1102" t="s">
        <v>4467</v>
      </c>
      <c r="B1102" s="1" t="s">
        <v>4468</v>
      </c>
      <c r="C1102" t="s">
        <v>3848</v>
      </c>
      <c r="D1102" s="1" t="s">
        <v>4469</v>
      </c>
      <c r="E1102" t="b">
        <v>0</v>
      </c>
      <c r="F1102">
        <v>573</v>
      </c>
      <c r="G1102">
        <v>419</v>
      </c>
      <c r="H1102" t="s">
        <v>11</v>
      </c>
      <c r="I1102" t="b" cm="1">
        <f t="array" ref="I1102">isDup(B1102,B1103, 0.7)</f>
        <v>0</v>
      </c>
    </row>
    <row r="1103" spans="1:9" ht="17" x14ac:dyDescent="0.2">
      <c r="A1103" t="s">
        <v>2765</v>
      </c>
      <c r="B1103" s="1" t="s">
        <v>2766</v>
      </c>
      <c r="C1103" t="s">
        <v>2024</v>
      </c>
      <c r="D1103" s="1" t="s">
        <v>2767</v>
      </c>
      <c r="E1103" t="b">
        <v>0</v>
      </c>
      <c r="F1103">
        <v>1322</v>
      </c>
      <c r="G1103">
        <v>1009</v>
      </c>
      <c r="H1103" t="s">
        <v>11</v>
      </c>
      <c r="I1103" t="b" cm="1">
        <f t="array" ref="I1103">isDup(B1103,B1104, 0.7)</f>
        <v>0</v>
      </c>
    </row>
    <row r="1104" spans="1:9" ht="17" x14ac:dyDescent="0.2">
      <c r="A1104" t="s">
        <v>6941</v>
      </c>
      <c r="B1104" s="1" t="s">
        <v>6942</v>
      </c>
      <c r="C1104" t="s">
        <v>4750</v>
      </c>
      <c r="D1104" s="1" t="s">
        <v>2</v>
      </c>
      <c r="E1104" t="b">
        <v>0</v>
      </c>
      <c r="F1104">
        <v>2</v>
      </c>
      <c r="G1104">
        <v>3</v>
      </c>
      <c r="H1104" t="s">
        <v>11</v>
      </c>
      <c r="I1104" t="b" cm="1">
        <f t="array" ref="I1104">isDup(B1104,B1105, 0.7)</f>
        <v>0</v>
      </c>
    </row>
    <row r="1105" spans="1:9" ht="34" x14ac:dyDescent="0.2">
      <c r="A1105" t="s">
        <v>4011</v>
      </c>
      <c r="B1105" s="1" t="s">
        <v>4012</v>
      </c>
      <c r="C1105" t="s">
        <v>4013</v>
      </c>
      <c r="D1105" s="1" t="s">
        <v>4014</v>
      </c>
      <c r="E1105" t="b">
        <v>0</v>
      </c>
      <c r="F1105">
        <v>11321</v>
      </c>
      <c r="G1105">
        <v>1633</v>
      </c>
      <c r="H1105" t="s">
        <v>11</v>
      </c>
      <c r="I1105" t="b" cm="1">
        <f t="array" ref="I1105">isDup(B1105,B1106, 0.7)</f>
        <v>0</v>
      </c>
    </row>
    <row r="1106" spans="1:9" ht="17" x14ac:dyDescent="0.2">
      <c r="A1106" t="s">
        <v>2528</v>
      </c>
      <c r="B1106" s="1" t="s">
        <v>2529</v>
      </c>
      <c r="C1106" t="s">
        <v>2530</v>
      </c>
      <c r="D1106" s="1" t="s">
        <v>2</v>
      </c>
      <c r="E1106" t="b">
        <v>0</v>
      </c>
      <c r="F1106">
        <v>79</v>
      </c>
      <c r="G1106">
        <v>100</v>
      </c>
      <c r="H1106" t="s">
        <v>11</v>
      </c>
      <c r="I1106" t="b" cm="1">
        <f t="array" ref="I1106">isDup(B1106,B1107, 0.7)</f>
        <v>0</v>
      </c>
    </row>
    <row r="1107" spans="1:9" ht="17" x14ac:dyDescent="0.2">
      <c r="A1107" t="s">
        <v>5652</v>
      </c>
      <c r="B1107" s="1" t="s">
        <v>5654</v>
      </c>
      <c r="C1107" t="s">
        <v>1226</v>
      </c>
      <c r="D1107" s="1" t="s">
        <v>1227</v>
      </c>
      <c r="E1107" t="b">
        <v>0</v>
      </c>
      <c r="F1107">
        <v>427</v>
      </c>
      <c r="G1107">
        <v>768</v>
      </c>
      <c r="H1107" t="s">
        <v>11</v>
      </c>
      <c r="I1107" t="b" cm="1">
        <f t="array" ref="I1107">isDup(B1107,B1108, 0.7)</f>
        <v>0</v>
      </c>
    </row>
    <row r="1108" spans="1:9" ht="17" x14ac:dyDescent="0.2">
      <c r="A1108" t="s">
        <v>3791</v>
      </c>
      <c r="B1108" s="1" t="s">
        <v>3792</v>
      </c>
      <c r="C1108" t="s">
        <v>3793</v>
      </c>
      <c r="E1108" t="b">
        <v>0</v>
      </c>
      <c r="F1108">
        <v>251</v>
      </c>
      <c r="G1108">
        <v>307</v>
      </c>
      <c r="H1108" t="s">
        <v>11</v>
      </c>
      <c r="I1108" t="b" cm="1">
        <f t="array" ref="I1108">isDup(B1108,B1109, 0.7)</f>
        <v>0</v>
      </c>
    </row>
    <row r="1109" spans="1:9" ht="17" x14ac:dyDescent="0.2">
      <c r="A1109" t="s">
        <v>1528</v>
      </c>
      <c r="B1109" s="1" t="s">
        <v>1529</v>
      </c>
      <c r="C1109" t="s">
        <v>1530</v>
      </c>
      <c r="D1109" s="1" t="s">
        <v>1531</v>
      </c>
      <c r="E1109" t="b">
        <v>0</v>
      </c>
      <c r="F1109">
        <v>25</v>
      </c>
      <c r="G1109">
        <v>43</v>
      </c>
      <c r="H1109" t="s">
        <v>11</v>
      </c>
      <c r="I1109" t="b" cm="1">
        <f t="array" ref="I1109">isDup(B1109,B1110, 0.7)</f>
        <v>0</v>
      </c>
    </row>
    <row r="1110" spans="1:9" ht="17" x14ac:dyDescent="0.2">
      <c r="A1110" t="s">
        <v>2981</v>
      </c>
      <c r="B1110" s="1" t="s">
        <v>2982</v>
      </c>
      <c r="C1110" t="s">
        <v>38</v>
      </c>
      <c r="D1110" s="1" t="s">
        <v>2983</v>
      </c>
      <c r="E1110" t="b">
        <v>0</v>
      </c>
      <c r="F1110">
        <v>75</v>
      </c>
      <c r="G1110">
        <v>284</v>
      </c>
      <c r="H1110" t="s">
        <v>11</v>
      </c>
      <c r="I1110" t="b" cm="1">
        <f t="array" ref="I1110">isDup(B1110,B1111, 0.7)</f>
        <v>0</v>
      </c>
    </row>
    <row r="1111" spans="1:9" ht="17" x14ac:dyDescent="0.2">
      <c r="A1111" t="s">
        <v>6532</v>
      </c>
      <c r="B1111" s="1" t="s">
        <v>6533</v>
      </c>
      <c r="C1111" t="s">
        <v>250</v>
      </c>
      <c r="D1111" s="1" t="s">
        <v>6534</v>
      </c>
      <c r="E1111" t="b">
        <v>1</v>
      </c>
      <c r="F1111">
        <v>60056</v>
      </c>
      <c r="G1111">
        <v>1201</v>
      </c>
      <c r="H1111" t="s">
        <v>11</v>
      </c>
      <c r="I1111" t="b" cm="1">
        <f t="array" ref="I1111">isDup(B1111,B1112, 0.7)</f>
        <v>0</v>
      </c>
    </row>
    <row r="1112" spans="1:9" ht="17" x14ac:dyDescent="0.2">
      <c r="A1112" t="s">
        <v>6547</v>
      </c>
      <c r="B1112" s="1" t="s">
        <v>6548</v>
      </c>
      <c r="C1112" t="s">
        <v>425</v>
      </c>
      <c r="D1112" s="1" t="s">
        <v>2</v>
      </c>
      <c r="E1112" t="b">
        <v>0</v>
      </c>
      <c r="F1112">
        <v>19</v>
      </c>
      <c r="G1112">
        <v>276</v>
      </c>
      <c r="H1112" t="s">
        <v>11</v>
      </c>
      <c r="I1112" t="b" cm="1">
        <f t="array" ref="I1112">isDup(B1112,B1113, 0.7)</f>
        <v>0</v>
      </c>
    </row>
    <row r="1113" spans="1:9" ht="17" x14ac:dyDescent="0.2">
      <c r="A1113" t="s">
        <v>5154</v>
      </c>
      <c r="B1113" s="1" t="s">
        <v>5155</v>
      </c>
      <c r="C1113" t="s">
        <v>5156</v>
      </c>
      <c r="D1113" s="1" t="s">
        <v>2</v>
      </c>
      <c r="E1113" t="b">
        <v>0</v>
      </c>
      <c r="F1113">
        <v>10312</v>
      </c>
      <c r="G1113">
        <v>11025</v>
      </c>
      <c r="H1113" t="s">
        <v>3</v>
      </c>
      <c r="I1113" t="b" cm="1">
        <f t="array" ref="I1113">isDup(B1113,B1114, 0.7)</f>
        <v>0</v>
      </c>
    </row>
    <row r="1114" spans="1:9" ht="17" x14ac:dyDescent="0.2">
      <c r="A1114" t="s">
        <v>3382</v>
      </c>
      <c r="B1114" s="1" t="s">
        <v>3383</v>
      </c>
      <c r="C1114" t="s">
        <v>3384</v>
      </c>
      <c r="E1114" t="b">
        <v>0</v>
      </c>
      <c r="F1114">
        <v>3355</v>
      </c>
      <c r="G1114">
        <v>456</v>
      </c>
      <c r="H1114" t="s">
        <v>11</v>
      </c>
      <c r="I1114" t="b" cm="1">
        <f t="array" ref="I1114">isDup(B1114,B1115, 0.7)</f>
        <v>0</v>
      </c>
    </row>
    <row r="1115" spans="1:9" ht="17" x14ac:dyDescent="0.2">
      <c r="A1115" t="s">
        <v>4024</v>
      </c>
      <c r="B1115" s="1" t="s">
        <v>4026</v>
      </c>
      <c r="C1115" t="s">
        <v>1940</v>
      </c>
      <c r="D1115" s="1" t="s">
        <v>2</v>
      </c>
      <c r="E1115" t="b">
        <v>0</v>
      </c>
      <c r="F1115">
        <v>13</v>
      </c>
      <c r="G1115">
        <v>207</v>
      </c>
      <c r="H1115" t="s">
        <v>2180</v>
      </c>
      <c r="I1115" t="b" cm="1">
        <f t="array" ref="I1115">isDup(B1115,B1116, 0.7)</f>
        <v>0</v>
      </c>
    </row>
    <row r="1116" spans="1:9" ht="34" x14ac:dyDescent="0.2">
      <c r="A1116" t="s">
        <v>6358</v>
      </c>
      <c r="B1116" s="1" t="s">
        <v>6359</v>
      </c>
      <c r="C1116" t="s">
        <v>3765</v>
      </c>
      <c r="D1116" s="1" t="s">
        <v>1336</v>
      </c>
      <c r="E1116" t="b">
        <v>0</v>
      </c>
      <c r="F1116">
        <v>119</v>
      </c>
      <c r="G1116">
        <v>877</v>
      </c>
      <c r="H1116" t="s">
        <v>11</v>
      </c>
      <c r="I1116" t="b" cm="1">
        <f t="array" ref="I1116">isDup(B1116,B1117, 0.7)</f>
        <v>0</v>
      </c>
    </row>
    <row r="1117" spans="1:9" ht="34" x14ac:dyDescent="0.2">
      <c r="A1117" t="s">
        <v>6003</v>
      </c>
      <c r="B1117" s="1" t="s">
        <v>6004</v>
      </c>
      <c r="C1117" t="s">
        <v>6005</v>
      </c>
      <c r="D1117" s="1" t="s">
        <v>6006</v>
      </c>
      <c r="E1117" t="b">
        <v>0</v>
      </c>
      <c r="F1117">
        <v>1064</v>
      </c>
      <c r="G1117">
        <v>362</v>
      </c>
      <c r="H1117" t="s">
        <v>11</v>
      </c>
      <c r="I1117" t="b" cm="1">
        <f t="array" ref="I1117">isDup(B1117,B1118, 0.7)</f>
        <v>0</v>
      </c>
    </row>
    <row r="1118" spans="1:9" ht="17" x14ac:dyDescent="0.2">
      <c r="A1118" t="s">
        <v>2562</v>
      </c>
      <c r="B1118" s="1" t="s">
        <v>2563</v>
      </c>
      <c r="C1118" t="s">
        <v>828</v>
      </c>
      <c r="D1118" s="1" t="s">
        <v>2</v>
      </c>
      <c r="E1118" t="b">
        <v>0</v>
      </c>
      <c r="F1118">
        <v>74</v>
      </c>
      <c r="G1118">
        <v>161</v>
      </c>
      <c r="H1118" t="s">
        <v>262</v>
      </c>
      <c r="I1118" t="b" cm="1">
        <f t="array" ref="I1118">isDup(B1118,B1119, 0.7)</f>
        <v>0</v>
      </c>
    </row>
    <row r="1119" spans="1:9" ht="17" x14ac:dyDescent="0.2">
      <c r="A1119" t="s">
        <v>2040</v>
      </c>
      <c r="B1119" s="1" t="s">
        <v>2041</v>
      </c>
      <c r="C1119" t="s">
        <v>1419</v>
      </c>
      <c r="D1119" s="1" t="s">
        <v>2</v>
      </c>
      <c r="E1119" t="b">
        <v>0</v>
      </c>
      <c r="F1119">
        <v>15</v>
      </c>
      <c r="G1119">
        <v>86</v>
      </c>
      <c r="H1119" t="s">
        <v>11</v>
      </c>
      <c r="I1119" t="b" cm="1">
        <f t="array" ref="I1119">isDup(B1119,B1120, 0.7)</f>
        <v>0</v>
      </c>
    </row>
    <row r="1120" spans="1:9" ht="17" x14ac:dyDescent="0.2">
      <c r="A1120" t="s">
        <v>1438</v>
      </c>
      <c r="B1120" s="1" t="s">
        <v>1439</v>
      </c>
      <c r="C1120" t="s">
        <v>305</v>
      </c>
      <c r="D1120" s="1" t="s">
        <v>2</v>
      </c>
      <c r="E1120" t="b">
        <v>0</v>
      </c>
      <c r="F1120">
        <v>118</v>
      </c>
      <c r="G1120">
        <v>110</v>
      </c>
      <c r="H1120" t="s">
        <v>73</v>
      </c>
      <c r="I1120" t="b" cm="1">
        <f t="array" ref="I1120">isDup(B1120,B1121, 0.7)</f>
        <v>0</v>
      </c>
    </row>
    <row r="1121" spans="1:9" ht="17" x14ac:dyDescent="0.2">
      <c r="A1121" t="s">
        <v>1616</v>
      </c>
      <c r="B1121" s="1" t="s">
        <v>1617</v>
      </c>
      <c r="C1121" t="s">
        <v>1618</v>
      </c>
      <c r="D1121" s="1" t="s">
        <v>2</v>
      </c>
      <c r="E1121" t="b">
        <v>0</v>
      </c>
      <c r="F1121">
        <v>25</v>
      </c>
      <c r="G1121">
        <v>290</v>
      </c>
      <c r="H1121" t="s">
        <v>11</v>
      </c>
      <c r="I1121" t="b" cm="1">
        <f t="array" ref="I1121">isDup(B1121,B1122, 0.7)</f>
        <v>0</v>
      </c>
    </row>
    <row r="1122" spans="1:9" ht="17" x14ac:dyDescent="0.2">
      <c r="A1122" t="s">
        <v>4623</v>
      </c>
      <c r="B1122" s="1" t="s">
        <v>4624</v>
      </c>
      <c r="C1122" t="s">
        <v>564</v>
      </c>
      <c r="D1122" s="1" t="s">
        <v>4625</v>
      </c>
      <c r="E1122" t="b">
        <v>0</v>
      </c>
      <c r="F1122">
        <v>57</v>
      </c>
      <c r="G1122">
        <v>237</v>
      </c>
      <c r="H1122" t="s">
        <v>11</v>
      </c>
      <c r="I1122" t="b" cm="1">
        <f t="array" ref="I1122">isDup(B1122,B1123, 0.7)</f>
        <v>0</v>
      </c>
    </row>
    <row r="1123" spans="1:9" ht="17" x14ac:dyDescent="0.2">
      <c r="A1123" t="s">
        <v>1325</v>
      </c>
      <c r="B1123" s="1" t="s">
        <v>1326</v>
      </c>
      <c r="C1123" t="s">
        <v>1327</v>
      </c>
      <c r="D1123" s="1" t="s">
        <v>2</v>
      </c>
      <c r="E1123" t="b">
        <v>0</v>
      </c>
      <c r="F1123">
        <v>48</v>
      </c>
      <c r="G1123">
        <v>165</v>
      </c>
      <c r="H1123" t="s">
        <v>11</v>
      </c>
      <c r="I1123" t="b" cm="1">
        <f t="array" ref="I1123">isDup(B1123,B1124, 0.7)</f>
        <v>0</v>
      </c>
    </row>
    <row r="1124" spans="1:9" ht="34" x14ac:dyDescent="0.2">
      <c r="A1124" t="s">
        <v>6962</v>
      </c>
      <c r="B1124" s="1" t="s">
        <v>6963</v>
      </c>
      <c r="C1124" t="s">
        <v>2058</v>
      </c>
      <c r="D1124" s="1" t="s">
        <v>2</v>
      </c>
      <c r="E1124" t="b">
        <v>0</v>
      </c>
      <c r="F1124">
        <v>50</v>
      </c>
      <c r="G1124">
        <v>138</v>
      </c>
      <c r="H1124" t="s">
        <v>11</v>
      </c>
      <c r="I1124" t="b" cm="1">
        <f t="array" ref="I1124">isDup(B1124,B1125, 0.7)</f>
        <v>0</v>
      </c>
    </row>
    <row r="1125" spans="1:9" ht="17" x14ac:dyDescent="0.2">
      <c r="A1125" t="s">
        <v>5705</v>
      </c>
      <c r="B1125" s="1" t="s">
        <v>5706</v>
      </c>
      <c r="C1125" t="s">
        <v>938</v>
      </c>
      <c r="D1125" s="1" t="s">
        <v>2</v>
      </c>
      <c r="E1125" t="b">
        <v>0</v>
      </c>
      <c r="F1125">
        <v>17</v>
      </c>
      <c r="G1125">
        <v>148</v>
      </c>
      <c r="H1125" t="s">
        <v>11</v>
      </c>
      <c r="I1125" t="b" cm="1">
        <f t="array" ref="I1125">isDup(B1125,B1126, 0.7)</f>
        <v>0</v>
      </c>
    </row>
    <row r="1126" spans="1:9" ht="17" x14ac:dyDescent="0.2">
      <c r="A1126" t="s">
        <v>419</v>
      </c>
      <c r="B1126" s="1" t="s">
        <v>420</v>
      </c>
      <c r="C1126" t="s">
        <v>311</v>
      </c>
      <c r="D1126" s="1" t="s">
        <v>312</v>
      </c>
      <c r="E1126" t="b">
        <v>0</v>
      </c>
      <c r="F1126">
        <v>207</v>
      </c>
      <c r="G1126">
        <v>630</v>
      </c>
      <c r="H1126" t="s">
        <v>11</v>
      </c>
      <c r="I1126" t="b" cm="1">
        <f t="array" ref="I1126">isDup(B1126,B1127, 0.7)</f>
        <v>0</v>
      </c>
    </row>
    <row r="1127" spans="1:9" ht="17" x14ac:dyDescent="0.2">
      <c r="A1127" t="s">
        <v>3001</v>
      </c>
      <c r="B1127" s="1" t="s">
        <v>3002</v>
      </c>
      <c r="C1127" t="s">
        <v>2363</v>
      </c>
      <c r="D1127" s="1" t="s">
        <v>2</v>
      </c>
      <c r="E1127" t="b">
        <v>0</v>
      </c>
      <c r="F1127">
        <v>222</v>
      </c>
      <c r="G1127">
        <v>224</v>
      </c>
      <c r="H1127" t="s">
        <v>11</v>
      </c>
      <c r="I1127" t="b" cm="1">
        <f t="array" ref="I1127">isDup(B1127,B1128, 0.7)</f>
        <v>0</v>
      </c>
    </row>
    <row r="1128" spans="1:9" ht="17" x14ac:dyDescent="0.2">
      <c r="A1128" t="s">
        <v>1285</v>
      </c>
      <c r="B1128" s="1" t="s">
        <v>1286</v>
      </c>
      <c r="C1128" t="s">
        <v>1287</v>
      </c>
      <c r="D1128" s="1" t="s">
        <v>1288</v>
      </c>
      <c r="E1128" t="b">
        <v>0</v>
      </c>
      <c r="F1128">
        <v>850</v>
      </c>
      <c r="G1128">
        <v>262</v>
      </c>
      <c r="H1128" t="s">
        <v>11</v>
      </c>
      <c r="I1128" t="b" cm="1">
        <f t="array" ref="I1128">isDup(B1128,B1129, 0.7)</f>
        <v>0</v>
      </c>
    </row>
    <row r="1129" spans="1:9" ht="17" x14ac:dyDescent="0.2">
      <c r="A1129" t="s">
        <v>3385</v>
      </c>
      <c r="B1129" s="1" t="s">
        <v>3386</v>
      </c>
      <c r="C1129" t="s">
        <v>3387</v>
      </c>
      <c r="D1129" s="1" t="s">
        <v>3388</v>
      </c>
      <c r="E1129" t="b">
        <v>0</v>
      </c>
      <c r="F1129">
        <v>1035</v>
      </c>
      <c r="G1129">
        <v>1628</v>
      </c>
      <c r="H1129" t="s">
        <v>11</v>
      </c>
      <c r="I1129" t="b" cm="1">
        <f t="array" ref="I1129">isDup(B1129,B1130, 0.7)</f>
        <v>0</v>
      </c>
    </row>
    <row r="1130" spans="1:9" ht="17" x14ac:dyDescent="0.2">
      <c r="A1130" t="s">
        <v>3507</v>
      </c>
      <c r="B1130" s="1" t="s">
        <v>3508</v>
      </c>
      <c r="C1130" t="s">
        <v>3509</v>
      </c>
      <c r="D1130" s="1" t="s">
        <v>168</v>
      </c>
      <c r="E1130" t="b">
        <v>0</v>
      </c>
      <c r="F1130">
        <v>96</v>
      </c>
      <c r="G1130">
        <v>73</v>
      </c>
      <c r="H1130" t="s">
        <v>11</v>
      </c>
      <c r="I1130" t="b" cm="1">
        <f t="array" ref="I1130">isDup(B1130,B1131, 0.7)</f>
        <v>0</v>
      </c>
    </row>
    <row r="1131" spans="1:9" ht="17" x14ac:dyDescent="0.2">
      <c r="A1131" t="s">
        <v>4320</v>
      </c>
      <c r="B1131" s="1" t="s">
        <v>4321</v>
      </c>
      <c r="C1131" t="s">
        <v>1834</v>
      </c>
      <c r="D1131" s="1" t="s">
        <v>2</v>
      </c>
      <c r="E1131" t="b">
        <v>0</v>
      </c>
      <c r="F1131">
        <v>123</v>
      </c>
      <c r="G1131">
        <v>93</v>
      </c>
      <c r="H1131" t="s">
        <v>11</v>
      </c>
      <c r="I1131" t="b" cm="1">
        <f t="array" ref="I1131">isDup(B1131,B1132, 0.7)</f>
        <v>0</v>
      </c>
    </row>
    <row r="1132" spans="1:9" ht="17" x14ac:dyDescent="0.2">
      <c r="A1132" t="s">
        <v>5402</v>
      </c>
      <c r="B1132" s="1" t="s">
        <v>5403</v>
      </c>
      <c r="C1132" t="s">
        <v>1981</v>
      </c>
      <c r="D1132" s="1" t="s">
        <v>2</v>
      </c>
      <c r="E1132" t="b">
        <v>0</v>
      </c>
      <c r="F1132">
        <v>128</v>
      </c>
      <c r="G1132">
        <v>427</v>
      </c>
      <c r="H1132" t="s">
        <v>11</v>
      </c>
      <c r="I1132" t="b" cm="1">
        <f t="array" ref="I1132">isDup(B1132,B1133, 0.7)</f>
        <v>0</v>
      </c>
    </row>
    <row r="1133" spans="1:9" ht="34" x14ac:dyDescent="0.2">
      <c r="A1133" t="s">
        <v>2030</v>
      </c>
      <c r="B1133" s="1" t="s">
        <v>2031</v>
      </c>
      <c r="C1133" t="s">
        <v>894</v>
      </c>
      <c r="D1133" s="1" t="s">
        <v>1653</v>
      </c>
      <c r="E1133" t="b">
        <v>0</v>
      </c>
      <c r="F1133">
        <v>601</v>
      </c>
      <c r="G1133">
        <v>23</v>
      </c>
      <c r="H1133" t="s">
        <v>11</v>
      </c>
      <c r="I1133" t="b" cm="1">
        <f t="array" ref="I1133">isDup(B1133,B1134, 0.7)</f>
        <v>0</v>
      </c>
    </row>
    <row r="1134" spans="1:9" ht="17" x14ac:dyDescent="0.2">
      <c r="A1134" t="s">
        <v>3928</v>
      </c>
      <c r="B1134" s="1" t="s">
        <v>3929</v>
      </c>
      <c r="C1134" t="s">
        <v>2642</v>
      </c>
      <c r="D1134" s="1" t="s">
        <v>3686</v>
      </c>
      <c r="E1134" t="b">
        <v>0</v>
      </c>
      <c r="F1134">
        <v>39272</v>
      </c>
      <c r="G1134">
        <v>193</v>
      </c>
      <c r="H1134" t="s">
        <v>11</v>
      </c>
      <c r="I1134" t="b" cm="1">
        <f t="array" ref="I1134">isDup(B1134,B1135, 0.7)</f>
        <v>0</v>
      </c>
    </row>
    <row r="1135" spans="1:9" ht="17" x14ac:dyDescent="0.2">
      <c r="A1135" t="s">
        <v>1566</v>
      </c>
      <c r="B1135" s="1" t="s">
        <v>1567</v>
      </c>
      <c r="C1135" t="s">
        <v>1568</v>
      </c>
      <c r="D1135" s="1" t="s">
        <v>1569</v>
      </c>
      <c r="E1135" t="b">
        <v>0</v>
      </c>
      <c r="F1135">
        <v>1310</v>
      </c>
      <c r="G1135">
        <v>3065</v>
      </c>
      <c r="H1135" t="s">
        <v>11</v>
      </c>
      <c r="I1135" t="b" cm="1">
        <f t="array" ref="I1135">isDup(B1135,B1136, 0.7)</f>
        <v>0</v>
      </c>
    </row>
    <row r="1136" spans="1:9" ht="17" x14ac:dyDescent="0.2">
      <c r="A1136" t="s">
        <v>3988</v>
      </c>
      <c r="B1136" s="1" t="s">
        <v>3989</v>
      </c>
      <c r="C1136" t="s">
        <v>575</v>
      </c>
      <c r="D1136" s="1" t="s">
        <v>2</v>
      </c>
      <c r="E1136" t="b">
        <v>0</v>
      </c>
      <c r="F1136">
        <v>562</v>
      </c>
      <c r="G1136">
        <v>193</v>
      </c>
      <c r="H1136" t="s">
        <v>3</v>
      </c>
      <c r="I1136" t="b" cm="1">
        <f t="array" ref="I1136">isDup(B1136,B1137, 0.7)</f>
        <v>0</v>
      </c>
    </row>
    <row r="1137" spans="1:9" ht="34" x14ac:dyDescent="0.2">
      <c r="A1137" t="s">
        <v>549</v>
      </c>
      <c r="B1137" s="1" t="s">
        <v>550</v>
      </c>
      <c r="C1137" t="s">
        <v>67</v>
      </c>
      <c r="D1137" s="1" t="s">
        <v>551</v>
      </c>
      <c r="E1137" t="b">
        <v>0</v>
      </c>
      <c r="F1137">
        <v>759</v>
      </c>
      <c r="G1137">
        <v>867</v>
      </c>
      <c r="H1137" t="s">
        <v>11</v>
      </c>
      <c r="I1137" t="b" cm="1">
        <f t="array" ref="I1137">isDup(B1137,B1138, 0.7)</f>
        <v>0</v>
      </c>
    </row>
    <row r="1138" spans="1:9" ht="17" x14ac:dyDescent="0.2">
      <c r="A1138" t="s">
        <v>2408</v>
      </c>
      <c r="B1138" s="1" t="s">
        <v>2409</v>
      </c>
      <c r="C1138" t="s">
        <v>226</v>
      </c>
      <c r="D1138" s="1" t="s">
        <v>2410</v>
      </c>
      <c r="E1138" t="b">
        <v>0</v>
      </c>
      <c r="F1138">
        <v>241</v>
      </c>
      <c r="G1138">
        <v>301</v>
      </c>
      <c r="H1138" t="s">
        <v>11</v>
      </c>
      <c r="I1138" t="b" cm="1">
        <f t="array" ref="I1138">isDup(B1138,B1139, 0.7)</f>
        <v>0</v>
      </c>
    </row>
    <row r="1139" spans="1:9" ht="17" x14ac:dyDescent="0.2">
      <c r="A1139" t="s">
        <v>4919</v>
      </c>
      <c r="B1139" s="1" t="s">
        <v>4920</v>
      </c>
      <c r="C1139" t="s">
        <v>4921</v>
      </c>
      <c r="D1139" s="1" t="s">
        <v>2</v>
      </c>
      <c r="E1139" t="b">
        <v>0</v>
      </c>
      <c r="F1139">
        <v>64</v>
      </c>
      <c r="G1139">
        <v>97</v>
      </c>
      <c r="H1139" t="s">
        <v>11</v>
      </c>
      <c r="I1139" t="b" cm="1">
        <f t="array" ref="I1139">isDup(B1139,B1140, 0.7)</f>
        <v>0</v>
      </c>
    </row>
    <row r="1140" spans="1:9" ht="17" x14ac:dyDescent="0.2">
      <c r="A1140" t="s">
        <v>4691</v>
      </c>
      <c r="B1140" s="1" t="s">
        <v>4692</v>
      </c>
      <c r="C1140" t="s">
        <v>3584</v>
      </c>
      <c r="D1140" s="1" t="s">
        <v>2</v>
      </c>
      <c r="E1140" t="b">
        <v>0</v>
      </c>
      <c r="F1140">
        <v>92</v>
      </c>
      <c r="G1140">
        <v>83</v>
      </c>
      <c r="H1140" t="s">
        <v>11</v>
      </c>
      <c r="I1140" t="b" cm="1">
        <f t="array" ref="I1140">isDup(B1140,B1141, 0.7)</f>
        <v>0</v>
      </c>
    </row>
    <row r="1141" spans="1:9" ht="34" x14ac:dyDescent="0.2">
      <c r="A1141" t="s">
        <v>6568</v>
      </c>
      <c r="B1141" s="1" t="s">
        <v>6569</v>
      </c>
      <c r="C1141" t="s">
        <v>4076</v>
      </c>
      <c r="D1141" s="1" t="s">
        <v>2</v>
      </c>
      <c r="E1141" t="b">
        <v>0</v>
      </c>
      <c r="F1141">
        <v>1569</v>
      </c>
      <c r="G1141">
        <v>1822</v>
      </c>
      <c r="H1141" t="s">
        <v>11</v>
      </c>
      <c r="I1141" t="b" cm="1">
        <f t="array" ref="I1141">isDup(B1141,B1142, 0.7)</f>
        <v>0</v>
      </c>
    </row>
    <row r="1142" spans="1:9" ht="17" x14ac:dyDescent="0.2">
      <c r="A1142" t="s">
        <v>5462</v>
      </c>
      <c r="B1142" s="1" t="s">
        <v>5463</v>
      </c>
      <c r="C1142" t="s">
        <v>5464</v>
      </c>
      <c r="E1142" t="b">
        <v>0</v>
      </c>
      <c r="F1142">
        <v>5744</v>
      </c>
      <c r="G1142">
        <v>6127</v>
      </c>
      <c r="H1142" t="s">
        <v>3</v>
      </c>
      <c r="I1142" t="b" cm="1">
        <f t="array" ref="I1142">isDup(B1142,B1143, 0.7)</f>
        <v>0</v>
      </c>
    </row>
    <row r="1143" spans="1:9" ht="17" x14ac:dyDescent="0.2">
      <c r="A1143" t="s">
        <v>3418</v>
      </c>
      <c r="B1143" s="1" t="s">
        <v>3419</v>
      </c>
      <c r="C1143" t="s">
        <v>1614</v>
      </c>
      <c r="D1143" s="1" t="s">
        <v>2</v>
      </c>
      <c r="E1143" t="b">
        <v>0</v>
      </c>
      <c r="F1143">
        <v>225</v>
      </c>
      <c r="G1143">
        <v>909</v>
      </c>
      <c r="H1143" t="s">
        <v>11</v>
      </c>
      <c r="I1143" t="b" cm="1">
        <f t="array" ref="I1143">isDup(B1143,B1144, 0.7)</f>
        <v>0</v>
      </c>
    </row>
    <row r="1144" spans="1:9" ht="17" x14ac:dyDescent="0.2">
      <c r="A1144" t="s">
        <v>2156</v>
      </c>
      <c r="B1144" s="1" t="s">
        <v>2158</v>
      </c>
      <c r="C1144" t="s">
        <v>2159</v>
      </c>
      <c r="D1144" s="1" t="s">
        <v>2</v>
      </c>
      <c r="E1144" t="b">
        <v>0</v>
      </c>
      <c r="F1144">
        <v>347</v>
      </c>
      <c r="G1144">
        <v>270</v>
      </c>
      <c r="H1144" t="s">
        <v>11</v>
      </c>
      <c r="I1144" t="b" cm="1">
        <f t="array" ref="I1144">isDup(B1144,B1145, 0.7)</f>
        <v>0</v>
      </c>
    </row>
    <row r="1145" spans="1:9" ht="34" x14ac:dyDescent="0.2">
      <c r="A1145" t="s">
        <v>1277</v>
      </c>
      <c r="B1145" s="1" t="s">
        <v>1278</v>
      </c>
      <c r="C1145" t="s">
        <v>1279</v>
      </c>
      <c r="D1145" s="1" t="s">
        <v>2</v>
      </c>
      <c r="E1145" t="b">
        <v>0</v>
      </c>
      <c r="F1145">
        <v>3</v>
      </c>
      <c r="G1145">
        <v>132</v>
      </c>
      <c r="H1145" t="s">
        <v>11</v>
      </c>
      <c r="I1145" t="b" cm="1">
        <f t="array" ref="I1145">isDup(B1145,B1146, 0.7)</f>
        <v>0</v>
      </c>
    </row>
    <row r="1146" spans="1:9" ht="34" x14ac:dyDescent="0.2">
      <c r="A1146" t="s">
        <v>956</v>
      </c>
      <c r="B1146" s="1" t="s">
        <v>957</v>
      </c>
      <c r="C1146" t="s">
        <v>958</v>
      </c>
      <c r="D1146" s="1" t="s">
        <v>2</v>
      </c>
      <c r="E1146" t="b">
        <v>0</v>
      </c>
      <c r="F1146">
        <v>214</v>
      </c>
      <c r="G1146">
        <v>393</v>
      </c>
      <c r="H1146" t="s">
        <v>11</v>
      </c>
      <c r="I1146" t="b" cm="1">
        <f t="array" ref="I1146">isDup(B1146,B1147, 0.7)</f>
        <v>0</v>
      </c>
    </row>
    <row r="1147" spans="1:9" ht="34" x14ac:dyDescent="0.2">
      <c r="A1147" t="s">
        <v>3423</v>
      </c>
      <c r="B1147" s="1" t="s">
        <v>3424</v>
      </c>
      <c r="C1147" t="s">
        <v>3425</v>
      </c>
      <c r="D1147" s="1" t="s">
        <v>3426</v>
      </c>
      <c r="E1147" t="b">
        <v>0</v>
      </c>
      <c r="F1147">
        <v>1552</v>
      </c>
      <c r="G1147">
        <v>433</v>
      </c>
      <c r="H1147" t="s">
        <v>11</v>
      </c>
      <c r="I1147" t="b" cm="1">
        <f t="array" ref="I1147">isDup(B1147,B1148, 0.7)</f>
        <v>0</v>
      </c>
    </row>
    <row r="1148" spans="1:9" ht="17" x14ac:dyDescent="0.2">
      <c r="A1148" t="s">
        <v>5268</v>
      </c>
      <c r="B1148" s="1" t="s">
        <v>5269</v>
      </c>
      <c r="C1148" t="s">
        <v>289</v>
      </c>
      <c r="D1148" s="1" t="s">
        <v>2</v>
      </c>
      <c r="E1148" t="b">
        <v>0</v>
      </c>
      <c r="F1148">
        <v>3634</v>
      </c>
      <c r="G1148">
        <v>3732</v>
      </c>
      <c r="H1148" t="s">
        <v>11</v>
      </c>
      <c r="I1148" t="b" cm="1">
        <f t="array" ref="I1148">isDup(B1148,B1149, 0.7)</f>
        <v>0</v>
      </c>
    </row>
    <row r="1149" spans="1:9" ht="17" x14ac:dyDescent="0.2">
      <c r="A1149" t="s">
        <v>3956</v>
      </c>
      <c r="B1149" s="1" t="s">
        <v>3957</v>
      </c>
      <c r="C1149" t="s">
        <v>591</v>
      </c>
      <c r="D1149" s="1" t="s">
        <v>595</v>
      </c>
      <c r="E1149" t="b">
        <v>0</v>
      </c>
      <c r="F1149">
        <v>91</v>
      </c>
      <c r="G1149">
        <v>751</v>
      </c>
      <c r="H1149" t="s">
        <v>11</v>
      </c>
      <c r="I1149" t="b" cm="1">
        <f t="array" ref="I1149">isDup(B1149,B1150, 0.7)</f>
        <v>0</v>
      </c>
    </row>
    <row r="1150" spans="1:9" ht="34" x14ac:dyDescent="0.2">
      <c r="A1150" t="s">
        <v>4526</v>
      </c>
      <c r="B1150" s="1" t="s">
        <v>4527</v>
      </c>
      <c r="C1150" t="s">
        <v>275</v>
      </c>
      <c r="D1150" s="1" t="s">
        <v>565</v>
      </c>
      <c r="E1150" t="b">
        <v>0</v>
      </c>
      <c r="F1150">
        <v>299</v>
      </c>
      <c r="G1150">
        <v>310</v>
      </c>
      <c r="H1150" t="s">
        <v>11</v>
      </c>
      <c r="I1150" t="b" cm="1">
        <f t="array" ref="I1150">isDup(B1150,B1151, 0.7)</f>
        <v>0</v>
      </c>
    </row>
    <row r="1151" spans="1:9" ht="17" x14ac:dyDescent="0.2">
      <c r="A1151" t="s">
        <v>4561</v>
      </c>
      <c r="B1151" s="1" t="s">
        <v>4562</v>
      </c>
      <c r="C1151" t="s">
        <v>4563</v>
      </c>
      <c r="D1151" s="1" t="s">
        <v>2</v>
      </c>
      <c r="E1151" t="b">
        <v>0</v>
      </c>
      <c r="F1151">
        <v>13</v>
      </c>
      <c r="G1151">
        <v>50</v>
      </c>
      <c r="H1151" t="s">
        <v>11</v>
      </c>
      <c r="I1151" t="b" cm="1">
        <f t="array" ref="I1151">isDup(B1151,B1152, 0.7)</f>
        <v>0</v>
      </c>
    </row>
    <row r="1152" spans="1:9" ht="17" x14ac:dyDescent="0.2">
      <c r="A1152" t="s">
        <v>1714</v>
      </c>
      <c r="B1152" s="1" t="s">
        <v>1715</v>
      </c>
      <c r="C1152" t="s">
        <v>1716</v>
      </c>
      <c r="D1152" s="1" t="s">
        <v>1717</v>
      </c>
      <c r="E1152" t="b">
        <v>0</v>
      </c>
      <c r="F1152">
        <v>202</v>
      </c>
      <c r="G1152">
        <v>424</v>
      </c>
      <c r="H1152" t="s">
        <v>11</v>
      </c>
      <c r="I1152" t="b" cm="1">
        <f t="array" ref="I1152">isDup(B1152,B1153, 0.7)</f>
        <v>0</v>
      </c>
    </row>
    <row r="1153" spans="1:9" ht="34" x14ac:dyDescent="0.2">
      <c r="A1153" t="s">
        <v>731</v>
      </c>
      <c r="B1153" s="1" t="s">
        <v>732</v>
      </c>
      <c r="C1153" t="s">
        <v>733</v>
      </c>
      <c r="D1153" s="1" t="s">
        <v>2</v>
      </c>
      <c r="E1153" t="b">
        <v>0</v>
      </c>
      <c r="F1153">
        <v>46</v>
      </c>
      <c r="G1153">
        <v>96</v>
      </c>
      <c r="H1153" t="s">
        <v>11</v>
      </c>
      <c r="I1153" t="b" cm="1">
        <f t="array" ref="I1153">isDup(B1153,B1154, 0.7)</f>
        <v>0</v>
      </c>
    </row>
    <row r="1154" spans="1:9" ht="17" x14ac:dyDescent="0.2">
      <c r="A1154" t="s">
        <v>922</v>
      </c>
      <c r="B1154" s="1" t="s">
        <v>923</v>
      </c>
      <c r="C1154" t="s">
        <v>554</v>
      </c>
      <c r="D1154" s="1" t="s">
        <v>924</v>
      </c>
      <c r="E1154" t="b">
        <v>0</v>
      </c>
      <c r="F1154">
        <v>4140</v>
      </c>
      <c r="G1154">
        <v>2233</v>
      </c>
      <c r="H1154" t="s">
        <v>83</v>
      </c>
      <c r="I1154" t="b" cm="1">
        <f t="array" ref="I1154">isDup(B1154,B1155, 0.7)</f>
        <v>0</v>
      </c>
    </row>
    <row r="1155" spans="1:9" ht="34" x14ac:dyDescent="0.2">
      <c r="A1155" t="s">
        <v>1756</v>
      </c>
      <c r="B1155" s="1" t="s">
        <v>1757</v>
      </c>
      <c r="C1155" t="s">
        <v>57</v>
      </c>
      <c r="D1155" s="1" t="s">
        <v>2</v>
      </c>
      <c r="E1155" t="b">
        <v>0</v>
      </c>
      <c r="F1155">
        <v>77</v>
      </c>
      <c r="G1155">
        <v>115</v>
      </c>
      <c r="H1155" t="s">
        <v>11</v>
      </c>
      <c r="I1155" t="b" cm="1">
        <f t="array" ref="I1155">isDup(B1155,B1156, 0.7)</f>
        <v>0</v>
      </c>
    </row>
    <row r="1156" spans="1:9" ht="34" x14ac:dyDescent="0.2">
      <c r="A1156" t="s">
        <v>1417</v>
      </c>
      <c r="B1156" s="1" t="s">
        <v>1418</v>
      </c>
      <c r="C1156" t="s">
        <v>1419</v>
      </c>
      <c r="D1156" s="1" t="s">
        <v>2</v>
      </c>
      <c r="E1156" t="b">
        <v>0</v>
      </c>
      <c r="F1156">
        <v>21</v>
      </c>
      <c r="G1156">
        <v>101</v>
      </c>
      <c r="H1156" t="s">
        <v>11</v>
      </c>
      <c r="I1156" t="b" cm="1">
        <f t="array" ref="I1156">isDup(B1156,B1157, 0.7)</f>
        <v>0</v>
      </c>
    </row>
    <row r="1157" spans="1:9" ht="17" x14ac:dyDescent="0.2">
      <c r="A1157" t="s">
        <v>4780</v>
      </c>
      <c r="B1157" s="1" t="s">
        <v>4781</v>
      </c>
      <c r="C1157" t="s">
        <v>509</v>
      </c>
      <c r="D1157" s="1" t="s">
        <v>4509</v>
      </c>
      <c r="E1157" t="b">
        <v>0</v>
      </c>
      <c r="F1157">
        <v>129</v>
      </c>
      <c r="G1157">
        <v>603</v>
      </c>
      <c r="H1157" t="s">
        <v>11</v>
      </c>
      <c r="I1157" t="b" cm="1">
        <f t="array" ref="I1157">isDup(B1157,B1158, 0.7)</f>
        <v>0</v>
      </c>
    </row>
    <row r="1158" spans="1:9" ht="34" x14ac:dyDescent="0.2">
      <c r="A1158" t="s">
        <v>4644</v>
      </c>
      <c r="B1158" s="1" t="s">
        <v>4645</v>
      </c>
      <c r="C1158" t="s">
        <v>4646</v>
      </c>
      <c r="D1158" s="1" t="s">
        <v>4647</v>
      </c>
      <c r="E1158" t="b">
        <v>0</v>
      </c>
      <c r="F1158">
        <v>1607</v>
      </c>
      <c r="G1158">
        <v>1364</v>
      </c>
      <c r="H1158" t="s">
        <v>11</v>
      </c>
      <c r="I1158" t="b" cm="1">
        <f t="array" ref="I1158">isDup(B1158,B1159, 0.7)</f>
        <v>0</v>
      </c>
    </row>
    <row r="1159" spans="1:9" ht="34" x14ac:dyDescent="0.2">
      <c r="A1159" t="s">
        <v>1140</v>
      </c>
      <c r="B1159" s="1" t="s">
        <v>1141</v>
      </c>
      <c r="C1159" t="s">
        <v>1138</v>
      </c>
      <c r="D1159" s="1" t="s">
        <v>1139</v>
      </c>
      <c r="E1159" t="b">
        <v>0</v>
      </c>
      <c r="F1159">
        <v>4774</v>
      </c>
      <c r="G1159">
        <v>1095</v>
      </c>
      <c r="H1159" t="s">
        <v>11</v>
      </c>
      <c r="I1159" t="b" cm="1">
        <f t="array" ref="I1159">isDup(B1159,B1160, 0.7)</f>
        <v>0</v>
      </c>
    </row>
    <row r="1160" spans="1:9" ht="17" x14ac:dyDescent="0.2">
      <c r="A1160" t="s">
        <v>1060</v>
      </c>
      <c r="B1160" s="1" t="s">
        <v>1061</v>
      </c>
      <c r="C1160" t="s">
        <v>760</v>
      </c>
      <c r="D1160" s="1" t="s">
        <v>1062</v>
      </c>
      <c r="E1160" t="b">
        <v>0</v>
      </c>
      <c r="F1160">
        <v>4493</v>
      </c>
      <c r="G1160">
        <v>4254</v>
      </c>
      <c r="H1160" t="s">
        <v>11</v>
      </c>
      <c r="I1160" t="b" cm="1">
        <f t="array" ref="I1160">isDup(B1160,B1161, 0.7)</f>
        <v>0</v>
      </c>
    </row>
    <row r="1161" spans="1:9" ht="17" x14ac:dyDescent="0.2">
      <c r="A1161" t="s">
        <v>3413</v>
      </c>
      <c r="B1161" s="1" t="s">
        <v>3414</v>
      </c>
      <c r="C1161" t="s">
        <v>2867</v>
      </c>
      <c r="D1161" s="1" t="s">
        <v>2</v>
      </c>
      <c r="E1161" t="b">
        <v>0</v>
      </c>
      <c r="F1161">
        <v>15</v>
      </c>
      <c r="G1161">
        <v>368</v>
      </c>
      <c r="H1161" t="s">
        <v>11</v>
      </c>
      <c r="I1161" t="b" cm="1">
        <f t="array" ref="I1161">isDup(B1161,B1162, 0.7)</f>
        <v>0</v>
      </c>
    </row>
    <row r="1162" spans="1:9" ht="34" x14ac:dyDescent="0.2">
      <c r="A1162" t="s">
        <v>3787</v>
      </c>
      <c r="B1162" s="1" t="s">
        <v>3788</v>
      </c>
      <c r="C1162" t="s">
        <v>1583</v>
      </c>
      <c r="D1162" s="1" t="s">
        <v>238</v>
      </c>
      <c r="E1162" t="b">
        <v>0</v>
      </c>
      <c r="F1162">
        <v>95</v>
      </c>
      <c r="G1162">
        <v>68</v>
      </c>
      <c r="H1162" t="s">
        <v>11</v>
      </c>
      <c r="I1162" t="b" cm="1">
        <f t="array" ref="I1162">isDup(B1162,B1163, 0.7)</f>
        <v>0</v>
      </c>
    </row>
    <row r="1163" spans="1:9" ht="34" x14ac:dyDescent="0.2">
      <c r="A1163" t="s">
        <v>2373</v>
      </c>
      <c r="B1163" s="1" t="s">
        <v>2374</v>
      </c>
      <c r="C1163" t="s">
        <v>2375</v>
      </c>
      <c r="D1163" s="1" t="s">
        <v>2</v>
      </c>
      <c r="E1163" t="b">
        <v>0</v>
      </c>
      <c r="F1163">
        <v>33252</v>
      </c>
      <c r="G1163">
        <v>505</v>
      </c>
      <c r="H1163" t="s">
        <v>11</v>
      </c>
      <c r="I1163" t="b" cm="1">
        <f t="array" ref="I1163">isDup(B1163,B1164, 0.7)</f>
        <v>0</v>
      </c>
    </row>
    <row r="1164" spans="1:9" ht="34" x14ac:dyDescent="0.2">
      <c r="A1164" t="s">
        <v>6035</v>
      </c>
      <c r="B1164" s="1" t="s">
        <v>6036</v>
      </c>
      <c r="C1164" t="s">
        <v>2486</v>
      </c>
      <c r="D1164" s="1" t="s">
        <v>6037</v>
      </c>
      <c r="E1164" t="b">
        <v>0</v>
      </c>
      <c r="F1164">
        <v>149</v>
      </c>
      <c r="G1164">
        <v>162</v>
      </c>
      <c r="H1164" t="s">
        <v>11</v>
      </c>
      <c r="I1164" t="b" cm="1">
        <f t="array" ref="I1164">isDup(B1164,B1165, 0.7)</f>
        <v>0</v>
      </c>
    </row>
    <row r="1165" spans="1:9" ht="17" x14ac:dyDescent="0.2">
      <c r="A1165" t="s">
        <v>6228</v>
      </c>
      <c r="B1165" s="1" t="s">
        <v>6229</v>
      </c>
      <c r="C1165" t="s">
        <v>181</v>
      </c>
      <c r="D1165" s="1" t="s">
        <v>6230</v>
      </c>
      <c r="E1165" t="b">
        <v>0</v>
      </c>
      <c r="F1165">
        <v>15</v>
      </c>
      <c r="G1165">
        <v>109</v>
      </c>
      <c r="H1165" t="s">
        <v>11</v>
      </c>
      <c r="I1165" t="b" cm="1">
        <f t="array" ref="I1165">isDup(B1165,B1166, 0.7)</f>
        <v>0</v>
      </c>
    </row>
    <row r="1166" spans="1:9" ht="34" x14ac:dyDescent="0.2">
      <c r="A1166" t="s">
        <v>6580</v>
      </c>
      <c r="B1166" s="1" t="s">
        <v>6581</v>
      </c>
      <c r="C1166" t="s">
        <v>4057</v>
      </c>
      <c r="D1166" s="1" t="s">
        <v>322</v>
      </c>
      <c r="E1166" t="b">
        <v>0</v>
      </c>
      <c r="F1166">
        <v>27</v>
      </c>
      <c r="G1166">
        <v>54</v>
      </c>
      <c r="H1166" t="s">
        <v>11</v>
      </c>
      <c r="I1166" t="b" cm="1">
        <f t="array" ref="I1166">isDup(B1166,B1167, 0.7)</f>
        <v>0</v>
      </c>
    </row>
    <row r="1167" spans="1:9" ht="34" x14ac:dyDescent="0.2">
      <c r="A1167" t="s">
        <v>2257</v>
      </c>
      <c r="B1167" s="1" t="s">
        <v>2258</v>
      </c>
      <c r="C1167" t="s">
        <v>2259</v>
      </c>
      <c r="D1167" s="1" t="s">
        <v>61</v>
      </c>
      <c r="E1167" t="b">
        <v>0</v>
      </c>
      <c r="F1167">
        <v>16</v>
      </c>
      <c r="G1167">
        <v>64</v>
      </c>
      <c r="H1167" t="s">
        <v>11</v>
      </c>
      <c r="I1167" t="b" cm="1">
        <f t="array" ref="I1167">isDup(B1167,B1168, 0.7)</f>
        <v>0</v>
      </c>
    </row>
    <row r="1168" spans="1:9" ht="34" x14ac:dyDescent="0.2">
      <c r="A1168" t="s">
        <v>313</v>
      </c>
      <c r="B1168" s="1" t="s">
        <v>314</v>
      </c>
      <c r="C1168" t="s">
        <v>315</v>
      </c>
      <c r="D1168" s="1" t="s">
        <v>316</v>
      </c>
      <c r="E1168" t="b">
        <v>0</v>
      </c>
      <c r="F1168">
        <v>720</v>
      </c>
      <c r="G1168">
        <v>1404</v>
      </c>
      <c r="H1168" t="s">
        <v>11</v>
      </c>
      <c r="I1168" t="b" cm="1">
        <f t="array" ref="I1168">isDup(B1168,B1169, 0.7)</f>
        <v>0</v>
      </c>
    </row>
    <row r="1169" spans="1:9" ht="34" x14ac:dyDescent="0.2">
      <c r="A1169" t="s">
        <v>6278</v>
      </c>
      <c r="B1169" s="1" t="s">
        <v>6279</v>
      </c>
      <c r="C1169" t="s">
        <v>5887</v>
      </c>
      <c r="D1169" s="1" t="s">
        <v>6280</v>
      </c>
      <c r="E1169" t="b">
        <v>0</v>
      </c>
      <c r="F1169">
        <v>48</v>
      </c>
      <c r="G1169">
        <v>99</v>
      </c>
      <c r="H1169" t="s">
        <v>11</v>
      </c>
      <c r="I1169" t="b" cm="1">
        <f t="array" ref="I1169">isDup(B1169,B1170, 0.7)</f>
        <v>0</v>
      </c>
    </row>
    <row r="1170" spans="1:9" ht="34" x14ac:dyDescent="0.2">
      <c r="A1170" t="s">
        <v>6188</v>
      </c>
      <c r="B1170" s="1" t="s">
        <v>6189</v>
      </c>
      <c r="C1170" t="s">
        <v>5216</v>
      </c>
      <c r="D1170" s="1" t="s">
        <v>2</v>
      </c>
      <c r="E1170" t="b">
        <v>0</v>
      </c>
      <c r="F1170">
        <v>3</v>
      </c>
      <c r="G1170">
        <v>5</v>
      </c>
      <c r="H1170" t="s">
        <v>11</v>
      </c>
      <c r="I1170" t="b" cm="1">
        <f t="array" ref="I1170">isDup(B1170,B1171, 0.7)</f>
        <v>0</v>
      </c>
    </row>
    <row r="1171" spans="1:9" ht="34" x14ac:dyDescent="0.2">
      <c r="A1171" t="s">
        <v>5430</v>
      </c>
      <c r="B1171" s="1" t="s">
        <v>5431</v>
      </c>
      <c r="C1171" t="s">
        <v>4605</v>
      </c>
      <c r="D1171" s="1" t="s">
        <v>399</v>
      </c>
      <c r="E1171" t="b">
        <v>0</v>
      </c>
      <c r="F1171">
        <v>35815</v>
      </c>
      <c r="G1171">
        <v>1551</v>
      </c>
      <c r="H1171" t="s">
        <v>11</v>
      </c>
      <c r="I1171" t="b" cm="1">
        <f t="array" ref="I1171">isDup(B1171,B1172, 0.7)</f>
        <v>0</v>
      </c>
    </row>
    <row r="1172" spans="1:9" ht="17" x14ac:dyDescent="0.2">
      <c r="A1172" t="s">
        <v>2871</v>
      </c>
      <c r="B1172" s="1" t="s">
        <v>2872</v>
      </c>
      <c r="C1172" t="s">
        <v>1419</v>
      </c>
      <c r="D1172" s="1" t="s">
        <v>2873</v>
      </c>
      <c r="E1172" t="b">
        <v>0</v>
      </c>
      <c r="F1172">
        <v>2264</v>
      </c>
      <c r="G1172">
        <v>2351</v>
      </c>
      <c r="H1172" t="s">
        <v>11</v>
      </c>
      <c r="I1172" t="b" cm="1">
        <f t="array" ref="I1172">isDup(B1172,B1173, 0.7)</f>
        <v>0</v>
      </c>
    </row>
    <row r="1173" spans="1:9" ht="17" x14ac:dyDescent="0.2">
      <c r="A1173" t="s">
        <v>393</v>
      </c>
      <c r="B1173" s="1" t="s">
        <v>394</v>
      </c>
      <c r="C1173" t="s">
        <v>395</v>
      </c>
      <c r="D1173" s="1" t="s">
        <v>2</v>
      </c>
      <c r="E1173" t="b">
        <v>0</v>
      </c>
      <c r="F1173">
        <v>9</v>
      </c>
      <c r="G1173">
        <v>85</v>
      </c>
      <c r="H1173" t="s">
        <v>11</v>
      </c>
      <c r="I1173" t="b" cm="1">
        <f t="array" ref="I1173">isDup(B1173,B1174, 0.7)</f>
        <v>0</v>
      </c>
    </row>
    <row r="1174" spans="1:9" ht="34" x14ac:dyDescent="0.2">
      <c r="A1174" t="s">
        <v>3478</v>
      </c>
      <c r="B1174" s="1" t="s">
        <v>3479</v>
      </c>
      <c r="C1174" t="s">
        <v>3480</v>
      </c>
      <c r="D1174" s="1" t="s">
        <v>3481</v>
      </c>
      <c r="E1174" t="b">
        <v>0</v>
      </c>
      <c r="F1174">
        <v>3326</v>
      </c>
      <c r="G1174">
        <v>1973</v>
      </c>
      <c r="H1174" t="s">
        <v>11</v>
      </c>
      <c r="I1174" t="b" cm="1">
        <f t="array" ref="I1174">isDup(B1174,B1175, 0.7)</f>
        <v>0</v>
      </c>
    </row>
    <row r="1175" spans="1:9" ht="34" x14ac:dyDescent="0.2">
      <c r="A1175" t="s">
        <v>3196</v>
      </c>
      <c r="B1175" s="1" t="s">
        <v>3197</v>
      </c>
      <c r="C1175" t="s">
        <v>1320</v>
      </c>
      <c r="D1175" s="1" t="s">
        <v>2</v>
      </c>
      <c r="E1175" t="b">
        <v>0</v>
      </c>
      <c r="F1175">
        <v>23</v>
      </c>
      <c r="G1175">
        <v>253</v>
      </c>
      <c r="H1175" t="s">
        <v>11</v>
      </c>
      <c r="I1175" t="b" cm="1">
        <f t="array" ref="I1175">isDup(B1175,B1176, 0.7)</f>
        <v>0</v>
      </c>
    </row>
    <row r="1176" spans="1:9" ht="17" x14ac:dyDescent="0.2">
      <c r="A1176" t="s">
        <v>2014</v>
      </c>
      <c r="B1176" s="1" t="s">
        <v>2015</v>
      </c>
      <c r="C1176" t="s">
        <v>2016</v>
      </c>
      <c r="D1176" s="1" t="s">
        <v>2</v>
      </c>
      <c r="E1176" t="b">
        <v>0</v>
      </c>
      <c r="F1176">
        <v>48</v>
      </c>
      <c r="G1176">
        <v>246</v>
      </c>
      <c r="H1176" t="s">
        <v>11</v>
      </c>
      <c r="I1176" t="b" cm="1">
        <f t="array" ref="I1176">isDup(B1176,B1177, 0.7)</f>
        <v>0</v>
      </c>
    </row>
    <row r="1177" spans="1:9" ht="17" x14ac:dyDescent="0.2">
      <c r="A1177" t="s">
        <v>1975</v>
      </c>
      <c r="B1177" s="1" t="s">
        <v>1976</v>
      </c>
      <c r="C1177" t="s">
        <v>1977</v>
      </c>
      <c r="D1177" s="1" t="s">
        <v>1978</v>
      </c>
      <c r="E1177" t="b">
        <v>0</v>
      </c>
      <c r="F1177">
        <v>85</v>
      </c>
      <c r="G1177">
        <v>229</v>
      </c>
      <c r="H1177" t="s">
        <v>641</v>
      </c>
      <c r="I1177" t="b" cm="1">
        <f t="array" ref="I1177">isDup(B1177,B1178, 0.7)</f>
        <v>0</v>
      </c>
    </row>
    <row r="1178" spans="1:9" ht="17" x14ac:dyDescent="0.2">
      <c r="A1178" t="s">
        <v>6962</v>
      </c>
      <c r="B1178" s="1" t="s">
        <v>6964</v>
      </c>
      <c r="C1178" t="s">
        <v>4183</v>
      </c>
      <c r="D1178" s="1" t="s">
        <v>95</v>
      </c>
      <c r="E1178" t="b">
        <v>0</v>
      </c>
      <c r="F1178">
        <v>40</v>
      </c>
      <c r="G1178">
        <v>136</v>
      </c>
      <c r="H1178" t="s">
        <v>11</v>
      </c>
      <c r="I1178" t="b" cm="1">
        <f t="array" ref="I1178">isDup(B1178,B1179, 0.7)</f>
        <v>0</v>
      </c>
    </row>
    <row r="1179" spans="1:9" ht="17" x14ac:dyDescent="0.2">
      <c r="A1179" t="s">
        <v>2073</v>
      </c>
      <c r="B1179" s="1" t="s">
        <v>2074</v>
      </c>
      <c r="C1179" t="s">
        <v>2075</v>
      </c>
      <c r="D1179" s="1" t="s">
        <v>2076</v>
      </c>
      <c r="E1179" t="b">
        <v>0</v>
      </c>
      <c r="F1179">
        <v>207</v>
      </c>
      <c r="G1179">
        <v>322</v>
      </c>
      <c r="H1179" t="s">
        <v>47</v>
      </c>
      <c r="I1179" t="b" cm="1">
        <f t="array" ref="I1179">isDup(B1179,B1180, 0.7)</f>
        <v>0</v>
      </c>
    </row>
    <row r="1180" spans="1:9" ht="17" x14ac:dyDescent="0.2">
      <c r="A1180" t="s">
        <v>5836</v>
      </c>
      <c r="B1180" s="1" t="s">
        <v>5837</v>
      </c>
      <c r="C1180" t="s">
        <v>5838</v>
      </c>
      <c r="D1180" s="1" t="s">
        <v>322</v>
      </c>
      <c r="E1180" t="b">
        <v>0</v>
      </c>
      <c r="F1180">
        <v>143</v>
      </c>
      <c r="G1180">
        <v>285</v>
      </c>
      <c r="H1180" t="s">
        <v>11</v>
      </c>
      <c r="I1180" t="b" cm="1">
        <f t="array" ref="I1180">isDup(B1180,B1181, 0.7)</f>
        <v>0</v>
      </c>
    </row>
    <row r="1181" spans="1:9" ht="17" x14ac:dyDescent="0.2">
      <c r="A1181" t="s">
        <v>3465</v>
      </c>
      <c r="B1181" s="1" t="s">
        <v>3466</v>
      </c>
      <c r="C1181" t="s">
        <v>820</v>
      </c>
      <c r="D1181" s="1" t="s">
        <v>3467</v>
      </c>
      <c r="E1181" t="b">
        <v>0</v>
      </c>
      <c r="F1181">
        <v>579</v>
      </c>
      <c r="G1181">
        <v>92</v>
      </c>
      <c r="H1181" t="s">
        <v>11</v>
      </c>
      <c r="I1181" t="b" cm="1">
        <f t="array" ref="I1181">isDup(B1181,B1182, 0.7)</f>
        <v>0</v>
      </c>
    </row>
    <row r="1182" spans="1:9" ht="17" x14ac:dyDescent="0.2">
      <c r="A1182" t="s">
        <v>1351</v>
      </c>
      <c r="B1182" s="1" t="s">
        <v>1352</v>
      </c>
      <c r="C1182" t="s">
        <v>94</v>
      </c>
      <c r="D1182" s="1" t="s">
        <v>2</v>
      </c>
      <c r="E1182" t="b">
        <v>0</v>
      </c>
      <c r="F1182">
        <v>12</v>
      </c>
      <c r="G1182">
        <v>6</v>
      </c>
      <c r="H1182" t="s">
        <v>11</v>
      </c>
      <c r="I1182" t="b" cm="1">
        <f t="array" ref="I1182">isDup(B1182,B1183, 0.7)</f>
        <v>0</v>
      </c>
    </row>
    <row r="1183" spans="1:9" ht="17" x14ac:dyDescent="0.2">
      <c r="A1183" t="s">
        <v>1463</v>
      </c>
      <c r="B1183" s="1" t="s">
        <v>1464</v>
      </c>
      <c r="C1183" t="s">
        <v>1465</v>
      </c>
      <c r="D1183" s="1" t="s">
        <v>2</v>
      </c>
      <c r="E1183" t="b">
        <v>0</v>
      </c>
      <c r="F1183">
        <v>53</v>
      </c>
      <c r="G1183">
        <v>375</v>
      </c>
      <c r="H1183" t="s">
        <v>11</v>
      </c>
      <c r="I1183" t="b" cm="1">
        <f t="array" ref="I1183">isDup(B1183,B1184, 0.7)</f>
        <v>0</v>
      </c>
    </row>
    <row r="1184" spans="1:9" ht="34" x14ac:dyDescent="0.2">
      <c r="A1184" t="s">
        <v>3442</v>
      </c>
      <c r="B1184" s="1" t="s">
        <v>3443</v>
      </c>
      <c r="C1184" t="s">
        <v>3444</v>
      </c>
      <c r="D1184" s="1" t="s">
        <v>3445</v>
      </c>
      <c r="E1184" t="b">
        <v>0</v>
      </c>
      <c r="F1184">
        <v>84</v>
      </c>
      <c r="G1184">
        <v>316</v>
      </c>
      <c r="H1184" t="s">
        <v>11</v>
      </c>
      <c r="I1184" t="b" cm="1">
        <f t="array" ref="I1184">isDup(B1184,B1185, 0.7)</f>
        <v>0</v>
      </c>
    </row>
    <row r="1185" spans="1:9" ht="17" x14ac:dyDescent="0.2">
      <c r="A1185" t="s">
        <v>6495</v>
      </c>
      <c r="B1185" s="1" t="s">
        <v>6496</v>
      </c>
      <c r="C1185" t="s">
        <v>6497</v>
      </c>
      <c r="D1185" s="1" t="s">
        <v>2</v>
      </c>
      <c r="E1185" t="b">
        <v>0</v>
      </c>
      <c r="F1185">
        <v>35</v>
      </c>
      <c r="G1185">
        <v>52</v>
      </c>
      <c r="H1185" t="s">
        <v>11</v>
      </c>
      <c r="I1185" t="b" cm="1">
        <f t="array" ref="I1185">isDup(B1185,B1186, 0.7)</f>
        <v>0</v>
      </c>
    </row>
    <row r="1186" spans="1:9" ht="17" x14ac:dyDescent="0.2">
      <c r="A1186" t="s">
        <v>239</v>
      </c>
      <c r="B1186" s="1" t="s">
        <v>240</v>
      </c>
      <c r="C1186" t="s">
        <v>241</v>
      </c>
      <c r="D1186" s="1" t="s">
        <v>2</v>
      </c>
      <c r="E1186" t="b">
        <v>0</v>
      </c>
      <c r="F1186">
        <v>2788</v>
      </c>
      <c r="G1186">
        <v>760</v>
      </c>
      <c r="H1186" t="s">
        <v>11</v>
      </c>
      <c r="I1186" t="b" cm="1">
        <f t="array" ref="I1186">isDup(B1186,B1187, 0.7)</f>
        <v>0</v>
      </c>
    </row>
    <row r="1187" spans="1:9" ht="17" x14ac:dyDescent="0.2">
      <c r="A1187" t="s">
        <v>4844</v>
      </c>
      <c r="B1187" s="1" t="s">
        <v>4845</v>
      </c>
      <c r="C1187" t="s">
        <v>658</v>
      </c>
      <c r="D1187" s="1" t="s">
        <v>4846</v>
      </c>
      <c r="E1187" t="b">
        <v>0</v>
      </c>
      <c r="F1187">
        <v>768</v>
      </c>
      <c r="G1187">
        <v>499</v>
      </c>
      <c r="H1187" t="s">
        <v>11</v>
      </c>
      <c r="I1187" t="b" cm="1">
        <f t="array" ref="I1187">isDup(B1187,B1188, 0.7)</f>
        <v>0</v>
      </c>
    </row>
    <row r="1188" spans="1:9" ht="34" x14ac:dyDescent="0.2">
      <c r="A1188" t="s">
        <v>2957</v>
      </c>
      <c r="B1188" s="1" t="s">
        <v>2958</v>
      </c>
      <c r="C1188" t="s">
        <v>2024</v>
      </c>
      <c r="D1188" s="1" t="s">
        <v>2767</v>
      </c>
      <c r="E1188" t="b">
        <v>0</v>
      </c>
      <c r="F1188">
        <v>1323</v>
      </c>
      <c r="G1188">
        <v>1009</v>
      </c>
      <c r="H1188" t="s">
        <v>11</v>
      </c>
      <c r="I1188" t="b" cm="1">
        <f t="array" ref="I1188">isDup(B1188,B1189, 0.7)</f>
        <v>0</v>
      </c>
    </row>
    <row r="1189" spans="1:9" ht="34" x14ac:dyDescent="0.2">
      <c r="A1189" t="s">
        <v>673</v>
      </c>
      <c r="B1189" s="1" t="s">
        <v>674</v>
      </c>
      <c r="C1189" t="s">
        <v>675</v>
      </c>
      <c r="D1189" s="1" t="s">
        <v>676</v>
      </c>
      <c r="E1189" t="b">
        <v>0</v>
      </c>
      <c r="F1189">
        <v>51</v>
      </c>
      <c r="G1189">
        <v>152</v>
      </c>
      <c r="H1189" t="s">
        <v>11</v>
      </c>
      <c r="I1189" t="b" cm="1">
        <f t="array" ref="I1189">isDup(B1189,B1190, 0.7)</f>
        <v>0</v>
      </c>
    </row>
    <row r="1190" spans="1:9" ht="17" x14ac:dyDescent="0.2">
      <c r="A1190" t="s">
        <v>295</v>
      </c>
      <c r="B1190" s="1" t="s">
        <v>296</v>
      </c>
      <c r="C1190" t="s">
        <v>297</v>
      </c>
      <c r="D1190" s="1" t="s">
        <v>298</v>
      </c>
      <c r="E1190" t="b">
        <v>0</v>
      </c>
      <c r="F1190">
        <v>51</v>
      </c>
      <c r="G1190">
        <v>62</v>
      </c>
      <c r="H1190" t="s">
        <v>11</v>
      </c>
      <c r="I1190" t="b" cm="1">
        <f t="array" ref="I1190">isDup(B1190,B1191, 0.7)</f>
        <v>1</v>
      </c>
    </row>
    <row r="1191" spans="1:9" ht="17" x14ac:dyDescent="0.2">
      <c r="A1191" t="s">
        <v>904</v>
      </c>
      <c r="B1191" s="1" t="s">
        <v>905</v>
      </c>
      <c r="C1191" t="s">
        <v>297</v>
      </c>
      <c r="D1191" s="1" t="s">
        <v>298</v>
      </c>
      <c r="E1191" t="b">
        <v>0</v>
      </c>
      <c r="F1191">
        <v>51</v>
      </c>
      <c r="G1191">
        <v>62</v>
      </c>
      <c r="H1191" t="s">
        <v>11</v>
      </c>
      <c r="I1191" t="b" cm="1">
        <f t="array" ref="I1191">isDup(B1191,B1192, 0.7)</f>
        <v>1</v>
      </c>
    </row>
    <row r="1192" spans="1:9" ht="17" x14ac:dyDescent="0.2">
      <c r="A1192" t="s">
        <v>1585</v>
      </c>
      <c r="B1192" s="1" t="s">
        <v>1586</v>
      </c>
      <c r="C1192" t="s">
        <v>297</v>
      </c>
      <c r="D1192" s="1" t="s">
        <v>298</v>
      </c>
      <c r="E1192" t="b">
        <v>0</v>
      </c>
      <c r="F1192">
        <v>51</v>
      </c>
      <c r="G1192">
        <v>62</v>
      </c>
      <c r="H1192" t="s">
        <v>11</v>
      </c>
      <c r="I1192" t="b" cm="1">
        <f t="array" ref="I1192">isDup(B1192,B1193, 0.7)</f>
        <v>1</v>
      </c>
    </row>
    <row r="1193" spans="1:9" ht="17" x14ac:dyDescent="0.2">
      <c r="A1193" t="s">
        <v>3904</v>
      </c>
      <c r="B1193" s="1" t="s">
        <v>3905</v>
      </c>
      <c r="C1193" t="s">
        <v>297</v>
      </c>
      <c r="D1193" s="1" t="s">
        <v>298</v>
      </c>
      <c r="E1193" t="b">
        <v>0</v>
      </c>
      <c r="F1193">
        <v>51</v>
      </c>
      <c r="G1193">
        <v>62</v>
      </c>
      <c r="H1193" t="s">
        <v>11</v>
      </c>
      <c r="I1193" t="b" cm="1">
        <f t="array" ref="I1193">isDup(B1193,B1194, 0.7)</f>
        <v>1</v>
      </c>
    </row>
    <row r="1194" spans="1:9" ht="17" x14ac:dyDescent="0.2">
      <c r="A1194" t="s">
        <v>5344</v>
      </c>
      <c r="B1194" s="1" t="s">
        <v>5345</v>
      </c>
      <c r="C1194" t="s">
        <v>297</v>
      </c>
      <c r="D1194" s="1" t="s">
        <v>298</v>
      </c>
      <c r="E1194" t="b">
        <v>0</v>
      </c>
      <c r="F1194">
        <v>51</v>
      </c>
      <c r="G1194">
        <v>62</v>
      </c>
      <c r="H1194" t="s">
        <v>11</v>
      </c>
      <c r="I1194" t="b" cm="1">
        <f t="array" ref="I1194">isDup(B1194,B1195, 0.7)</f>
        <v>1</v>
      </c>
    </row>
    <row r="1195" spans="1:9" ht="17" x14ac:dyDescent="0.2">
      <c r="A1195" t="s">
        <v>4660</v>
      </c>
      <c r="B1195" s="1" t="s">
        <v>4661</v>
      </c>
      <c r="C1195" t="s">
        <v>297</v>
      </c>
      <c r="D1195" s="1" t="s">
        <v>298</v>
      </c>
      <c r="E1195" t="b">
        <v>0</v>
      </c>
      <c r="F1195">
        <v>51</v>
      </c>
      <c r="G1195">
        <v>62</v>
      </c>
      <c r="H1195" t="s">
        <v>11</v>
      </c>
      <c r="I1195" t="b" cm="1">
        <f t="array" ref="I1195">isDup(B1195,B1196, 0.7)</f>
        <v>1</v>
      </c>
    </row>
    <row r="1196" spans="1:9" ht="17" x14ac:dyDescent="0.2">
      <c r="A1196" t="s">
        <v>2332</v>
      </c>
      <c r="B1196" s="1" t="s">
        <v>2333</v>
      </c>
      <c r="C1196" t="s">
        <v>297</v>
      </c>
      <c r="D1196" s="1" t="s">
        <v>298</v>
      </c>
      <c r="E1196" t="b">
        <v>0</v>
      </c>
      <c r="F1196">
        <v>51</v>
      </c>
      <c r="G1196">
        <v>62</v>
      </c>
      <c r="H1196" t="s">
        <v>11</v>
      </c>
      <c r="I1196" t="b" cm="1">
        <f t="array" ref="I1196">isDup(B1196,B1197, 0.7)</f>
        <v>1</v>
      </c>
    </row>
    <row r="1197" spans="1:9" ht="17" x14ac:dyDescent="0.2">
      <c r="A1197" t="s">
        <v>6031</v>
      </c>
      <c r="B1197" s="1" t="s">
        <v>6032</v>
      </c>
      <c r="C1197" t="s">
        <v>297</v>
      </c>
      <c r="D1197" s="1" t="s">
        <v>298</v>
      </c>
      <c r="E1197" t="b">
        <v>0</v>
      </c>
      <c r="F1197">
        <v>51</v>
      </c>
      <c r="G1197">
        <v>62</v>
      </c>
      <c r="H1197" t="s">
        <v>11</v>
      </c>
      <c r="I1197" t="b" cm="1">
        <f t="array" ref="I1197">isDup(B1197,B1198, 0.7)</f>
        <v>1</v>
      </c>
    </row>
    <row r="1198" spans="1:9" ht="17" x14ac:dyDescent="0.2">
      <c r="A1198" t="s">
        <v>3104</v>
      </c>
      <c r="B1198" s="1" t="s">
        <v>3105</v>
      </c>
      <c r="C1198" t="s">
        <v>297</v>
      </c>
      <c r="D1198" s="1" t="s">
        <v>298</v>
      </c>
      <c r="E1198" t="b">
        <v>0</v>
      </c>
      <c r="F1198">
        <v>51</v>
      </c>
      <c r="G1198">
        <v>62</v>
      </c>
      <c r="H1198" t="s">
        <v>11</v>
      </c>
      <c r="I1198" t="b" cm="1">
        <f t="array" ref="I1198">isDup(B1198,B1199, 0.7)</f>
        <v>1</v>
      </c>
    </row>
    <row r="1199" spans="1:9" ht="17" x14ac:dyDescent="0.2">
      <c r="A1199" t="s">
        <v>6794</v>
      </c>
      <c r="B1199" s="1" t="s">
        <v>6795</v>
      </c>
      <c r="C1199" t="s">
        <v>297</v>
      </c>
      <c r="D1199" s="1" t="s">
        <v>298</v>
      </c>
      <c r="E1199" t="b">
        <v>0</v>
      </c>
      <c r="F1199">
        <v>51</v>
      </c>
      <c r="G1199">
        <v>62</v>
      </c>
      <c r="H1199" t="s">
        <v>11</v>
      </c>
      <c r="I1199" t="b" cm="1">
        <f t="array" ref="I1199">isDup(B1199,B1200, 0.7)</f>
        <v>0</v>
      </c>
    </row>
    <row r="1200" spans="1:9" ht="17" x14ac:dyDescent="0.2">
      <c r="A1200" t="s">
        <v>4496</v>
      </c>
      <c r="B1200" s="1" t="s">
        <v>4497</v>
      </c>
      <c r="C1200" t="s">
        <v>2734</v>
      </c>
      <c r="D1200" s="1" t="s">
        <v>4498</v>
      </c>
      <c r="E1200" t="b">
        <v>0</v>
      </c>
      <c r="F1200">
        <v>473</v>
      </c>
      <c r="G1200">
        <v>270</v>
      </c>
      <c r="H1200" t="s">
        <v>11</v>
      </c>
      <c r="I1200" t="b" cm="1">
        <f t="array" ref="I1200">isDup(B1200,B1201, 0.7)</f>
        <v>0</v>
      </c>
    </row>
    <row r="1201" spans="1:9" ht="34" x14ac:dyDescent="0.2">
      <c r="A1201" t="s">
        <v>1700</v>
      </c>
      <c r="B1201" s="1" t="s">
        <v>1701</v>
      </c>
      <c r="C1201" t="s">
        <v>1702</v>
      </c>
      <c r="D1201" s="1" t="s">
        <v>1251</v>
      </c>
      <c r="E1201" t="b">
        <v>0</v>
      </c>
      <c r="F1201">
        <v>0</v>
      </c>
      <c r="G1201">
        <v>12</v>
      </c>
      <c r="H1201" t="s">
        <v>11</v>
      </c>
      <c r="I1201" t="b" cm="1">
        <f t="array" ref="I1201">isDup(B1201,B1202, 0.7)</f>
        <v>0</v>
      </c>
    </row>
    <row r="1202" spans="1:9" ht="17" x14ac:dyDescent="0.2">
      <c r="A1202" t="s">
        <v>4619</v>
      </c>
      <c r="B1202" s="1" t="s">
        <v>4620</v>
      </c>
      <c r="C1202" t="s">
        <v>2661</v>
      </c>
      <c r="D1202" s="1" t="s">
        <v>2662</v>
      </c>
      <c r="E1202" t="b">
        <v>0</v>
      </c>
      <c r="F1202">
        <v>7</v>
      </c>
      <c r="G1202">
        <v>285</v>
      </c>
      <c r="H1202" t="s">
        <v>11</v>
      </c>
      <c r="I1202" t="b" cm="1">
        <f t="array" ref="I1202">isDup(B1202,B1203, 0.7)</f>
        <v>0</v>
      </c>
    </row>
    <row r="1203" spans="1:9" ht="17" x14ac:dyDescent="0.2">
      <c r="A1203" t="s">
        <v>3029</v>
      </c>
      <c r="B1203" s="1" t="s">
        <v>3030</v>
      </c>
      <c r="C1203" t="s">
        <v>3031</v>
      </c>
      <c r="D1203" s="1" t="s">
        <v>2</v>
      </c>
      <c r="E1203" t="b">
        <v>0</v>
      </c>
      <c r="F1203">
        <v>128</v>
      </c>
      <c r="G1203">
        <v>114</v>
      </c>
      <c r="H1203" t="s">
        <v>11</v>
      </c>
      <c r="I1203" t="b" cm="1">
        <f t="array" ref="I1203">isDup(B1203,B1204, 0.7)</f>
        <v>0</v>
      </c>
    </row>
    <row r="1204" spans="1:9" ht="17" x14ac:dyDescent="0.2">
      <c r="A1204" t="s">
        <v>4666</v>
      </c>
      <c r="B1204" s="1" t="s">
        <v>4667</v>
      </c>
      <c r="C1204" t="s">
        <v>3007</v>
      </c>
      <c r="D1204" s="1" t="s">
        <v>4668</v>
      </c>
      <c r="E1204" t="b">
        <v>0</v>
      </c>
      <c r="F1204">
        <v>1227</v>
      </c>
      <c r="G1204">
        <v>751</v>
      </c>
      <c r="H1204" t="s">
        <v>11</v>
      </c>
      <c r="I1204" t="b" cm="1">
        <f t="array" ref="I1204">isDup(B1204,B1205, 0.7)</f>
        <v>0</v>
      </c>
    </row>
    <row r="1205" spans="1:9" ht="34" x14ac:dyDescent="0.2">
      <c r="A1205" t="s">
        <v>2605</v>
      </c>
      <c r="B1205" s="1" t="s">
        <v>2606</v>
      </c>
      <c r="C1205" t="s">
        <v>2607</v>
      </c>
      <c r="D1205" s="1" t="s">
        <v>2</v>
      </c>
      <c r="E1205" t="b">
        <v>0</v>
      </c>
      <c r="F1205">
        <v>9646</v>
      </c>
      <c r="G1205">
        <v>45</v>
      </c>
      <c r="H1205" t="s">
        <v>11</v>
      </c>
      <c r="I1205" t="b" cm="1">
        <f t="array" ref="I1205">isDup(B1205,B1206, 0.7)</f>
        <v>0</v>
      </c>
    </row>
    <row r="1206" spans="1:9" ht="17" x14ac:dyDescent="0.2">
      <c r="A1206" t="s">
        <v>4587</v>
      </c>
      <c r="B1206" s="1" t="s">
        <v>4588</v>
      </c>
      <c r="C1206" t="s">
        <v>4589</v>
      </c>
      <c r="D1206" s="1" t="s">
        <v>4590</v>
      </c>
      <c r="E1206" t="b">
        <v>0</v>
      </c>
      <c r="F1206">
        <v>94</v>
      </c>
      <c r="G1206">
        <v>54</v>
      </c>
      <c r="H1206" t="s">
        <v>11</v>
      </c>
      <c r="I1206" t="b" cm="1">
        <f t="array" ref="I1206">isDup(B1206,B1207, 0.7)</f>
        <v>0</v>
      </c>
    </row>
    <row r="1207" spans="1:9" ht="17" x14ac:dyDescent="0.2">
      <c r="A1207" t="s">
        <v>7200</v>
      </c>
      <c r="B1207" s="1" t="s">
        <v>7201</v>
      </c>
      <c r="C1207" t="s">
        <v>4613</v>
      </c>
      <c r="D1207" s="1" t="s">
        <v>2</v>
      </c>
      <c r="E1207" t="b">
        <v>0</v>
      </c>
      <c r="F1207">
        <v>171</v>
      </c>
      <c r="G1207">
        <v>351</v>
      </c>
      <c r="H1207" t="s">
        <v>11</v>
      </c>
      <c r="I1207" t="b" cm="1">
        <f t="array" ref="I1207">isDup(B1207,B1208, 0.7)</f>
        <v>0</v>
      </c>
    </row>
    <row r="1208" spans="1:9" ht="34" x14ac:dyDescent="0.2">
      <c r="A1208" t="s">
        <v>2814</v>
      </c>
      <c r="B1208" s="1" t="s">
        <v>2815</v>
      </c>
      <c r="C1208" t="s">
        <v>279</v>
      </c>
      <c r="D1208" s="1" t="s">
        <v>2</v>
      </c>
      <c r="E1208" t="b">
        <v>0</v>
      </c>
      <c r="F1208">
        <v>24</v>
      </c>
      <c r="G1208">
        <v>242</v>
      </c>
      <c r="H1208" t="s">
        <v>11</v>
      </c>
      <c r="I1208" t="b" cm="1">
        <f t="array" ref="I1208">isDup(B1208,B1209, 0.7)</f>
        <v>0</v>
      </c>
    </row>
    <row r="1209" spans="1:9" ht="34" x14ac:dyDescent="0.2">
      <c r="A1209" t="s">
        <v>2673</v>
      </c>
      <c r="B1209" s="1" t="s">
        <v>2674</v>
      </c>
      <c r="C1209" t="s">
        <v>2675</v>
      </c>
      <c r="D1209" s="1" t="s">
        <v>2</v>
      </c>
      <c r="E1209" t="b">
        <v>0</v>
      </c>
      <c r="F1209">
        <v>275</v>
      </c>
      <c r="G1209">
        <v>200</v>
      </c>
      <c r="H1209" t="s">
        <v>370</v>
      </c>
      <c r="I1209" t="b" cm="1">
        <f t="array" ref="I1209">isDup(B1209,B1210, 0.7)</f>
        <v>0</v>
      </c>
    </row>
    <row r="1210" spans="1:9" ht="34" x14ac:dyDescent="0.2">
      <c r="A1210" t="s">
        <v>4753</v>
      </c>
      <c r="B1210" s="1" t="s">
        <v>4754</v>
      </c>
      <c r="C1210" t="s">
        <v>4755</v>
      </c>
      <c r="D1210" s="1" t="s">
        <v>2</v>
      </c>
      <c r="E1210" t="b">
        <v>0</v>
      </c>
      <c r="F1210">
        <v>3182</v>
      </c>
      <c r="G1210">
        <v>4464</v>
      </c>
      <c r="H1210" t="s">
        <v>11</v>
      </c>
      <c r="I1210" t="b" cm="1">
        <f t="array" ref="I1210">isDup(B1210,B1211, 0.7)</f>
        <v>0</v>
      </c>
    </row>
    <row r="1211" spans="1:9" ht="17" x14ac:dyDescent="0.2">
      <c r="A1211" t="s">
        <v>2649</v>
      </c>
      <c r="B1211" s="1" t="s">
        <v>2650</v>
      </c>
      <c r="C1211" t="s">
        <v>2651</v>
      </c>
      <c r="D1211" s="1" t="s">
        <v>2652</v>
      </c>
      <c r="E1211" t="b">
        <v>0</v>
      </c>
      <c r="F1211">
        <v>2580</v>
      </c>
      <c r="G1211">
        <v>4107</v>
      </c>
      <c r="H1211" t="s">
        <v>11</v>
      </c>
      <c r="I1211" t="b" cm="1">
        <f t="array" ref="I1211">isDup(B1211,B1212, 0.7)</f>
        <v>0</v>
      </c>
    </row>
    <row r="1212" spans="1:9" ht="17" x14ac:dyDescent="0.2">
      <c r="A1212" t="s">
        <v>2928</v>
      </c>
      <c r="B1212" s="1" t="s">
        <v>2929</v>
      </c>
      <c r="C1212" t="s">
        <v>2930</v>
      </c>
      <c r="D1212" s="1" t="s">
        <v>2</v>
      </c>
      <c r="E1212" t="b">
        <v>0</v>
      </c>
      <c r="F1212">
        <v>15</v>
      </c>
      <c r="G1212">
        <v>159</v>
      </c>
      <c r="H1212" t="s">
        <v>370</v>
      </c>
      <c r="I1212" t="b" cm="1">
        <f t="array" ref="I1212">isDup(B1212,B1213, 0.7)</f>
        <v>0</v>
      </c>
    </row>
    <row r="1213" spans="1:9" ht="34" x14ac:dyDescent="0.2">
      <c r="A1213" t="s">
        <v>2328</v>
      </c>
      <c r="B1213" s="1" t="s">
        <v>2329</v>
      </c>
      <c r="C1213" t="s">
        <v>2330</v>
      </c>
      <c r="D1213" s="1" t="s">
        <v>2331</v>
      </c>
      <c r="E1213" t="b">
        <v>0</v>
      </c>
      <c r="F1213">
        <v>120</v>
      </c>
      <c r="G1213">
        <v>140</v>
      </c>
      <c r="H1213" t="s">
        <v>11</v>
      </c>
      <c r="I1213" t="b" cm="1">
        <f t="array" ref="I1213">isDup(B1213,B1214, 0.7)</f>
        <v>0</v>
      </c>
    </row>
    <row r="1214" spans="1:9" ht="17" x14ac:dyDescent="0.2">
      <c r="A1214" t="s">
        <v>2640</v>
      </c>
      <c r="B1214" s="1" t="s">
        <v>2641</v>
      </c>
      <c r="C1214" t="s">
        <v>2642</v>
      </c>
      <c r="D1214" s="1" t="s">
        <v>2643</v>
      </c>
      <c r="E1214" t="b">
        <v>0</v>
      </c>
      <c r="F1214">
        <v>312</v>
      </c>
      <c r="G1214">
        <v>182</v>
      </c>
      <c r="H1214" t="s">
        <v>11</v>
      </c>
      <c r="I1214" t="b" cm="1">
        <f t="array" ref="I1214">isDup(B1214,B1215, 0.7)</f>
        <v>0</v>
      </c>
    </row>
    <row r="1215" spans="1:9" ht="17" x14ac:dyDescent="0.2">
      <c r="A1215" t="s">
        <v>3290</v>
      </c>
      <c r="B1215" s="1" t="s">
        <v>3291</v>
      </c>
      <c r="C1215" t="s">
        <v>2938</v>
      </c>
      <c r="D1215" s="1" t="s">
        <v>3292</v>
      </c>
      <c r="E1215" t="b">
        <v>0</v>
      </c>
      <c r="F1215">
        <v>266</v>
      </c>
      <c r="G1215">
        <v>687</v>
      </c>
      <c r="H1215" t="s">
        <v>11</v>
      </c>
      <c r="I1215" t="b" cm="1">
        <f t="array" ref="I1215">isDup(B1215,B1216, 0.7)</f>
        <v>0</v>
      </c>
    </row>
    <row r="1216" spans="1:9" ht="17" x14ac:dyDescent="0.2">
      <c r="A1216" t="s">
        <v>6678</v>
      </c>
      <c r="B1216" s="1" t="s">
        <v>6679</v>
      </c>
      <c r="C1216" t="s">
        <v>2208</v>
      </c>
      <c r="D1216" s="1" t="s">
        <v>6680</v>
      </c>
      <c r="E1216" t="b">
        <v>0</v>
      </c>
      <c r="F1216">
        <v>9</v>
      </c>
      <c r="G1216">
        <v>8</v>
      </c>
      <c r="H1216" t="s">
        <v>11</v>
      </c>
      <c r="I1216" t="b" cm="1">
        <f t="array" ref="I1216">isDup(B1216,B1217, 0.7)</f>
        <v>1</v>
      </c>
    </row>
    <row r="1217" spans="1:9" ht="17" x14ac:dyDescent="0.2">
      <c r="A1217" t="s">
        <v>6693</v>
      </c>
      <c r="B1217" s="1" t="s">
        <v>6694</v>
      </c>
      <c r="C1217" t="s">
        <v>2208</v>
      </c>
      <c r="D1217" s="1" t="s">
        <v>6680</v>
      </c>
      <c r="E1217" t="b">
        <v>0</v>
      </c>
      <c r="F1217">
        <v>9</v>
      </c>
      <c r="G1217">
        <v>8</v>
      </c>
      <c r="H1217" t="s">
        <v>11</v>
      </c>
      <c r="I1217" t="b" cm="1">
        <f t="array" ref="I1217">isDup(B1217,B1218, 0.7)</f>
        <v>0</v>
      </c>
    </row>
    <row r="1218" spans="1:9" ht="34" x14ac:dyDescent="0.2">
      <c r="A1218" t="s">
        <v>4432</v>
      </c>
      <c r="B1218" s="1" t="s">
        <v>4433</v>
      </c>
      <c r="C1218" t="s">
        <v>4434</v>
      </c>
      <c r="D1218" s="1" t="s">
        <v>1372</v>
      </c>
      <c r="E1218" t="b">
        <v>0</v>
      </c>
      <c r="F1218">
        <v>144</v>
      </c>
      <c r="G1218">
        <v>539</v>
      </c>
      <c r="H1218" t="s">
        <v>11</v>
      </c>
      <c r="I1218" t="b" cm="1">
        <f t="array" ref="I1218">isDup(B1218,B1219, 0.7)</f>
        <v>0</v>
      </c>
    </row>
    <row r="1219" spans="1:9" ht="17" x14ac:dyDescent="0.2">
      <c r="A1219" t="s">
        <v>3313</v>
      </c>
      <c r="B1219" s="1" t="s">
        <v>3314</v>
      </c>
      <c r="C1219" t="s">
        <v>3315</v>
      </c>
      <c r="D1219" s="1" t="s">
        <v>3316</v>
      </c>
      <c r="E1219" t="b">
        <v>0</v>
      </c>
      <c r="F1219">
        <v>187</v>
      </c>
      <c r="G1219">
        <v>530</v>
      </c>
      <c r="H1219" t="s">
        <v>11</v>
      </c>
      <c r="I1219" t="b" cm="1">
        <f t="array" ref="I1219">isDup(B1219,B1220, 0.7)</f>
        <v>0</v>
      </c>
    </row>
    <row r="1220" spans="1:9" ht="17" x14ac:dyDescent="0.2">
      <c r="A1220" t="s">
        <v>2359</v>
      </c>
      <c r="B1220" s="1" t="s">
        <v>2360</v>
      </c>
      <c r="C1220" t="s">
        <v>305</v>
      </c>
      <c r="D1220" s="1" t="s">
        <v>2</v>
      </c>
      <c r="E1220" t="b">
        <v>0</v>
      </c>
      <c r="F1220">
        <v>118</v>
      </c>
      <c r="G1220">
        <v>110</v>
      </c>
      <c r="H1220" t="s">
        <v>73</v>
      </c>
      <c r="I1220" t="b" cm="1">
        <f t="array" ref="I1220">isDup(B1220,B1221, 0.7)</f>
        <v>0</v>
      </c>
    </row>
    <row r="1221" spans="1:9" ht="17" x14ac:dyDescent="0.2">
      <c r="A1221" t="s">
        <v>356</v>
      </c>
      <c r="B1221" s="1" t="s">
        <v>357</v>
      </c>
      <c r="C1221" t="s">
        <v>358</v>
      </c>
      <c r="D1221" s="1" t="s">
        <v>2</v>
      </c>
      <c r="E1221" t="b">
        <v>0</v>
      </c>
      <c r="F1221">
        <v>6</v>
      </c>
      <c r="G1221">
        <v>91</v>
      </c>
      <c r="H1221" t="s">
        <v>359</v>
      </c>
      <c r="I1221" t="b" cm="1">
        <f t="array" ref="I1221">isDup(B1221,B1222, 0.7)</f>
        <v>0</v>
      </c>
    </row>
    <row r="1222" spans="1:9" ht="34" x14ac:dyDescent="0.2">
      <c r="A1222" t="s">
        <v>4559</v>
      </c>
      <c r="B1222" s="1" t="s">
        <v>4560</v>
      </c>
      <c r="C1222" t="s">
        <v>3729</v>
      </c>
      <c r="D1222" s="1" t="s">
        <v>1343</v>
      </c>
      <c r="E1222" t="b">
        <v>0</v>
      </c>
      <c r="F1222">
        <v>170</v>
      </c>
      <c r="G1222">
        <v>1093</v>
      </c>
      <c r="H1222" t="s">
        <v>11</v>
      </c>
      <c r="I1222" t="b" cm="1">
        <f t="array" ref="I1222">isDup(B1222,B1223, 0.7)</f>
        <v>0</v>
      </c>
    </row>
    <row r="1223" spans="1:9" ht="17" x14ac:dyDescent="0.2">
      <c r="A1223" t="s">
        <v>5918</v>
      </c>
      <c r="B1223" s="1" t="s">
        <v>5919</v>
      </c>
      <c r="C1223" t="s">
        <v>5920</v>
      </c>
      <c r="D1223" s="1" t="s">
        <v>2</v>
      </c>
      <c r="E1223" t="b">
        <v>0</v>
      </c>
      <c r="F1223">
        <v>82</v>
      </c>
      <c r="G1223">
        <v>569</v>
      </c>
      <c r="H1223" t="s">
        <v>11</v>
      </c>
      <c r="I1223" t="b" cm="1">
        <f t="array" ref="I1223">isDup(B1223,B1224, 0.7)</f>
        <v>0</v>
      </c>
    </row>
    <row r="1224" spans="1:9" ht="17" x14ac:dyDescent="0.2">
      <c r="A1224" t="s">
        <v>3038</v>
      </c>
      <c r="B1224" s="1" t="s">
        <v>3039</v>
      </c>
      <c r="C1224" t="s">
        <v>891</v>
      </c>
      <c r="D1224" s="1" t="s">
        <v>3040</v>
      </c>
      <c r="E1224" t="b">
        <v>0</v>
      </c>
      <c r="F1224">
        <v>79</v>
      </c>
      <c r="G1224">
        <v>543</v>
      </c>
      <c r="H1224" t="s">
        <v>11</v>
      </c>
      <c r="I1224" t="b" cm="1">
        <f t="array" ref="I1224">isDup(B1224,B1225, 0.7)</f>
        <v>0</v>
      </c>
    </row>
    <row r="1225" spans="1:9" ht="17" x14ac:dyDescent="0.2">
      <c r="A1225" t="s">
        <v>2812</v>
      </c>
      <c r="B1225" s="1" t="s">
        <v>2813</v>
      </c>
      <c r="C1225" t="s">
        <v>564</v>
      </c>
      <c r="D1225" s="1" t="s">
        <v>61</v>
      </c>
      <c r="E1225" t="b">
        <v>0</v>
      </c>
      <c r="F1225">
        <v>42</v>
      </c>
      <c r="G1225">
        <v>209</v>
      </c>
      <c r="H1225" t="s">
        <v>11</v>
      </c>
      <c r="I1225" t="b" cm="1">
        <f t="array" ref="I1225">isDup(B1225,B1226, 0.7)</f>
        <v>0</v>
      </c>
    </row>
    <row r="1226" spans="1:9" ht="17" x14ac:dyDescent="0.2">
      <c r="A1226" t="s">
        <v>350</v>
      </c>
      <c r="B1226" s="1" t="s">
        <v>351</v>
      </c>
      <c r="C1226" t="s">
        <v>279</v>
      </c>
      <c r="D1226" s="1" t="s">
        <v>2</v>
      </c>
      <c r="E1226" t="b">
        <v>0</v>
      </c>
      <c r="F1226">
        <v>22</v>
      </c>
      <c r="G1226">
        <v>240</v>
      </c>
      <c r="H1226" t="s">
        <v>11</v>
      </c>
      <c r="I1226" t="b" cm="1">
        <f t="array" ref="I1226">isDup(B1226,B1227, 0.7)</f>
        <v>0</v>
      </c>
    </row>
    <row r="1227" spans="1:9" ht="17" x14ac:dyDescent="0.2">
      <c r="A1227" t="s">
        <v>6681</v>
      </c>
      <c r="B1227" s="1" t="s">
        <v>6682</v>
      </c>
      <c r="C1227" t="s">
        <v>1250</v>
      </c>
      <c r="D1227" s="1" t="s">
        <v>322</v>
      </c>
      <c r="E1227" t="b">
        <v>0</v>
      </c>
      <c r="F1227">
        <v>55</v>
      </c>
      <c r="G1227">
        <v>305</v>
      </c>
      <c r="H1227" t="s">
        <v>11</v>
      </c>
      <c r="I1227" t="b" cm="1">
        <f t="array" ref="I1227">isDup(B1227,B1228, 0.7)</f>
        <v>0</v>
      </c>
    </row>
    <row r="1228" spans="1:9" ht="17" x14ac:dyDescent="0.2">
      <c r="A1228" t="s">
        <v>2505</v>
      </c>
      <c r="B1228" s="1" t="s">
        <v>2506</v>
      </c>
      <c r="C1228" t="s">
        <v>1987</v>
      </c>
      <c r="D1228" s="1" t="s">
        <v>2507</v>
      </c>
      <c r="E1228" t="b">
        <v>0</v>
      </c>
      <c r="F1228">
        <v>191</v>
      </c>
      <c r="G1228">
        <v>648</v>
      </c>
      <c r="H1228" t="s">
        <v>11</v>
      </c>
      <c r="I1228" t="b" cm="1">
        <f t="array" ref="I1228">isDup(B1228,B1229, 0.7)</f>
        <v>0</v>
      </c>
    </row>
    <row r="1229" spans="1:9" ht="17" x14ac:dyDescent="0.2">
      <c r="A1229" t="s">
        <v>4314</v>
      </c>
      <c r="B1229" s="1" t="s">
        <v>4315</v>
      </c>
      <c r="C1229" t="s">
        <v>2391</v>
      </c>
      <c r="D1229" s="1" t="s">
        <v>2</v>
      </c>
      <c r="E1229" t="b">
        <v>0</v>
      </c>
      <c r="F1229">
        <v>123</v>
      </c>
      <c r="G1229">
        <v>235</v>
      </c>
      <c r="H1229" t="s">
        <v>11</v>
      </c>
      <c r="I1229" t="b" cm="1">
        <f t="array" ref="I1229">isDup(B1229,B1230, 0.7)</f>
        <v>0</v>
      </c>
    </row>
    <row r="1230" spans="1:9" ht="34" x14ac:dyDescent="0.2">
      <c r="A1230" t="s">
        <v>6396</v>
      </c>
      <c r="B1230" s="1" t="s">
        <v>6397</v>
      </c>
      <c r="C1230" t="s">
        <v>6398</v>
      </c>
      <c r="D1230" s="1" t="s">
        <v>6399</v>
      </c>
      <c r="E1230" t="b">
        <v>0</v>
      </c>
      <c r="F1230">
        <v>321</v>
      </c>
      <c r="G1230">
        <v>58</v>
      </c>
      <c r="H1230" t="s">
        <v>11</v>
      </c>
      <c r="I1230" t="b" cm="1">
        <f t="array" ref="I1230">isDup(B1230,B1231, 0.7)</f>
        <v>0</v>
      </c>
    </row>
    <row r="1231" spans="1:9" ht="34" x14ac:dyDescent="0.2">
      <c r="A1231" t="s">
        <v>6382</v>
      </c>
      <c r="B1231" s="1" t="s">
        <v>6383</v>
      </c>
      <c r="C1231" t="s">
        <v>869</v>
      </c>
      <c r="D1231" s="1" t="s">
        <v>6384</v>
      </c>
      <c r="E1231" t="b">
        <v>0</v>
      </c>
      <c r="F1231">
        <v>77</v>
      </c>
      <c r="G1231">
        <v>146</v>
      </c>
      <c r="H1231" t="s">
        <v>11</v>
      </c>
      <c r="I1231" t="b" cm="1">
        <f t="array" ref="I1231">isDup(B1231,B1232, 0.7)</f>
        <v>0</v>
      </c>
    </row>
    <row r="1232" spans="1:9" ht="17" x14ac:dyDescent="0.2">
      <c r="A1232" t="s">
        <v>1386</v>
      </c>
      <c r="B1232" s="1" t="s">
        <v>1387</v>
      </c>
      <c r="C1232" t="s">
        <v>1388</v>
      </c>
      <c r="D1232" s="1" t="s">
        <v>2</v>
      </c>
      <c r="E1232" t="b">
        <v>0</v>
      </c>
      <c r="F1232">
        <v>10</v>
      </c>
      <c r="G1232">
        <v>23</v>
      </c>
      <c r="H1232" t="s">
        <v>11</v>
      </c>
      <c r="I1232" t="b" cm="1">
        <f t="array" ref="I1232">isDup(B1232,B1233, 0.7)</f>
        <v>0</v>
      </c>
    </row>
    <row r="1233" spans="1:9" ht="17" x14ac:dyDescent="0.2">
      <c r="A1233" t="s">
        <v>1979</v>
      </c>
      <c r="B1233" s="1" t="s">
        <v>1980</v>
      </c>
      <c r="C1233" t="s">
        <v>1981</v>
      </c>
      <c r="D1233" s="1" t="s">
        <v>2</v>
      </c>
      <c r="E1233" t="b">
        <v>0</v>
      </c>
      <c r="F1233">
        <v>65</v>
      </c>
      <c r="G1233">
        <v>81</v>
      </c>
      <c r="H1233" t="s">
        <v>11</v>
      </c>
      <c r="I1233" t="b" cm="1">
        <f t="array" ref="I1233">isDup(B1233,B1234, 0.7)</f>
        <v>0</v>
      </c>
    </row>
    <row r="1234" spans="1:9" ht="17" x14ac:dyDescent="0.2">
      <c r="A1234" t="s">
        <v>5370</v>
      </c>
      <c r="B1234" s="1" t="s">
        <v>5371</v>
      </c>
      <c r="C1234" t="s">
        <v>5372</v>
      </c>
      <c r="D1234" s="1" t="s">
        <v>2</v>
      </c>
      <c r="E1234" t="b">
        <v>0</v>
      </c>
      <c r="F1234">
        <v>403</v>
      </c>
      <c r="G1234">
        <v>746</v>
      </c>
      <c r="H1234" t="s">
        <v>11</v>
      </c>
      <c r="I1234" t="b" cm="1">
        <f t="array" ref="I1234">isDup(B1234,B1235, 0.7)</f>
        <v>0</v>
      </c>
    </row>
    <row r="1235" spans="1:9" ht="17" x14ac:dyDescent="0.2">
      <c r="A1235" t="s">
        <v>5452</v>
      </c>
      <c r="B1235" s="1" t="s">
        <v>5453</v>
      </c>
      <c r="C1235" t="s">
        <v>5454</v>
      </c>
      <c r="D1235" s="1" t="s">
        <v>5455</v>
      </c>
      <c r="E1235" t="b">
        <v>0</v>
      </c>
      <c r="F1235">
        <v>192</v>
      </c>
      <c r="G1235">
        <v>198</v>
      </c>
      <c r="H1235" t="s">
        <v>11</v>
      </c>
      <c r="I1235" t="b" cm="1">
        <f t="array" ref="I1235">isDup(B1235,B1236, 0.7)</f>
        <v>0</v>
      </c>
    </row>
    <row r="1236" spans="1:9" ht="17" x14ac:dyDescent="0.2">
      <c r="A1236" t="s">
        <v>5161</v>
      </c>
      <c r="B1236" s="1" t="s">
        <v>5162</v>
      </c>
      <c r="C1236" t="s">
        <v>5163</v>
      </c>
      <c r="D1236" s="1" t="s">
        <v>4813</v>
      </c>
      <c r="E1236" t="b">
        <v>0</v>
      </c>
      <c r="F1236">
        <v>3</v>
      </c>
      <c r="G1236">
        <v>30</v>
      </c>
      <c r="H1236" t="s">
        <v>11</v>
      </c>
      <c r="I1236" t="b" cm="1">
        <f t="array" ref="I1236">isDup(B1236,B1237, 0.7)</f>
        <v>0</v>
      </c>
    </row>
    <row r="1237" spans="1:9" ht="17" x14ac:dyDescent="0.2">
      <c r="A1237" t="s">
        <v>1663</v>
      </c>
      <c r="B1237" s="1" t="s">
        <v>1664</v>
      </c>
      <c r="C1237" t="s">
        <v>1665</v>
      </c>
      <c r="D1237" s="1" t="s">
        <v>1666</v>
      </c>
      <c r="E1237" t="b">
        <v>0</v>
      </c>
      <c r="F1237">
        <v>105</v>
      </c>
      <c r="G1237">
        <v>178</v>
      </c>
      <c r="H1237" t="s">
        <v>11</v>
      </c>
      <c r="I1237" t="b" cm="1">
        <f t="array" ref="I1237">isDup(B1237,B1238, 0.7)</f>
        <v>0</v>
      </c>
    </row>
    <row r="1238" spans="1:9" ht="17" x14ac:dyDescent="0.2">
      <c r="A1238" t="s">
        <v>5422</v>
      </c>
      <c r="B1238" s="1" t="s">
        <v>5423</v>
      </c>
      <c r="C1238" t="s">
        <v>3631</v>
      </c>
      <c r="D1238" s="1" t="s">
        <v>5424</v>
      </c>
      <c r="E1238" t="b">
        <v>0</v>
      </c>
      <c r="F1238">
        <v>4248</v>
      </c>
      <c r="G1238">
        <v>1721</v>
      </c>
      <c r="H1238" t="s">
        <v>11</v>
      </c>
      <c r="I1238" t="b" cm="1">
        <f t="array" ref="I1238">isDup(B1238,B1239, 0.7)</f>
        <v>0</v>
      </c>
    </row>
    <row r="1239" spans="1:9" ht="34" x14ac:dyDescent="0.2">
      <c r="A1239" t="s">
        <v>6291</v>
      </c>
      <c r="B1239" s="1" t="s">
        <v>6292</v>
      </c>
      <c r="C1239" t="s">
        <v>6293</v>
      </c>
      <c r="D1239" s="1" t="s">
        <v>546</v>
      </c>
      <c r="E1239" t="b">
        <v>0</v>
      </c>
      <c r="F1239">
        <v>1594</v>
      </c>
      <c r="G1239">
        <v>2660</v>
      </c>
      <c r="H1239" t="s">
        <v>11</v>
      </c>
      <c r="I1239" t="b" cm="1">
        <f t="array" ref="I1239">isDup(B1239,B1240, 0.7)</f>
        <v>0</v>
      </c>
    </row>
    <row r="1240" spans="1:9" ht="17" x14ac:dyDescent="0.2">
      <c r="A1240" t="s">
        <v>6736</v>
      </c>
      <c r="B1240" s="1" t="s">
        <v>6737</v>
      </c>
      <c r="C1240" t="s">
        <v>6738</v>
      </c>
      <c r="D1240" s="1" t="s">
        <v>6739</v>
      </c>
      <c r="E1240" t="b">
        <v>0</v>
      </c>
      <c r="F1240">
        <v>98</v>
      </c>
      <c r="G1240">
        <v>159</v>
      </c>
      <c r="H1240" t="s">
        <v>11</v>
      </c>
      <c r="I1240" t="b" cm="1">
        <f t="array" ref="I1240">isDup(B1240,B1241, 0.7)</f>
        <v>0</v>
      </c>
    </row>
    <row r="1241" spans="1:9" ht="34" x14ac:dyDescent="0.2">
      <c r="A1241" t="s">
        <v>252</v>
      </c>
      <c r="B1241" s="1" t="s">
        <v>253</v>
      </c>
      <c r="C1241" t="s">
        <v>254</v>
      </c>
      <c r="D1241" s="1" t="s">
        <v>255</v>
      </c>
      <c r="E1241" t="b">
        <v>0</v>
      </c>
      <c r="F1241">
        <v>46</v>
      </c>
      <c r="G1241">
        <v>126</v>
      </c>
      <c r="H1241" t="s">
        <v>11</v>
      </c>
      <c r="I1241" t="b" cm="1">
        <f t="array" ref="I1241">isDup(B1241,B1242, 0.7)</f>
        <v>0</v>
      </c>
    </row>
    <row r="1242" spans="1:9" ht="17" x14ac:dyDescent="0.2">
      <c r="A1242" t="s">
        <v>5143</v>
      </c>
      <c r="B1242" s="1" t="s">
        <v>5144</v>
      </c>
      <c r="C1242" t="s">
        <v>1495</v>
      </c>
      <c r="D1242" s="1" t="s">
        <v>2</v>
      </c>
      <c r="E1242" t="b">
        <v>0</v>
      </c>
      <c r="F1242">
        <v>64</v>
      </c>
      <c r="G1242">
        <v>71</v>
      </c>
      <c r="H1242" t="s">
        <v>11</v>
      </c>
      <c r="I1242" t="b" cm="1">
        <f t="array" ref="I1242">isDup(B1242,B1243, 0.7)</f>
        <v>0</v>
      </c>
    </row>
    <row r="1243" spans="1:9" ht="17" x14ac:dyDescent="0.2">
      <c r="A1243" t="s">
        <v>2361</v>
      </c>
      <c r="B1243" s="1" t="s">
        <v>2362</v>
      </c>
      <c r="C1243" t="s">
        <v>2363</v>
      </c>
      <c r="D1243" s="1" t="s">
        <v>2</v>
      </c>
      <c r="E1243" t="b">
        <v>0</v>
      </c>
      <c r="F1243">
        <v>222</v>
      </c>
      <c r="G1243">
        <v>224</v>
      </c>
      <c r="H1243" t="s">
        <v>11</v>
      </c>
      <c r="I1243" t="b" cm="1">
        <f t="array" ref="I1243">isDup(B1243,B1244, 0.7)</f>
        <v>0</v>
      </c>
    </row>
    <row r="1244" spans="1:9" ht="17" x14ac:dyDescent="0.2">
      <c r="A1244" t="s">
        <v>4738</v>
      </c>
      <c r="B1244" s="1" t="s">
        <v>4739</v>
      </c>
      <c r="C1244" t="s">
        <v>3765</v>
      </c>
      <c r="D1244" s="1" t="s">
        <v>61</v>
      </c>
      <c r="E1244" t="b">
        <v>0</v>
      </c>
      <c r="F1244">
        <v>162</v>
      </c>
      <c r="G1244">
        <v>362</v>
      </c>
      <c r="H1244" t="s">
        <v>11</v>
      </c>
      <c r="I1244" t="b" cm="1">
        <f t="array" ref="I1244">isDup(B1244,B1245, 0.7)</f>
        <v>0</v>
      </c>
    </row>
    <row r="1245" spans="1:9" ht="17" x14ac:dyDescent="0.2">
      <c r="A1245" t="s">
        <v>2575</v>
      </c>
      <c r="B1245" s="1" t="s">
        <v>2576</v>
      </c>
      <c r="C1245" t="s">
        <v>2577</v>
      </c>
      <c r="D1245" s="1" t="s">
        <v>316</v>
      </c>
      <c r="E1245" t="b">
        <v>0</v>
      </c>
      <c r="F1245">
        <v>159</v>
      </c>
      <c r="G1245">
        <v>122</v>
      </c>
      <c r="H1245" t="s">
        <v>11</v>
      </c>
      <c r="I1245" t="b" cm="1">
        <f t="array" ref="I1245">isDup(B1245,B1246, 0.7)</f>
        <v>0</v>
      </c>
    </row>
    <row r="1246" spans="1:9" ht="17" x14ac:dyDescent="0.2">
      <c r="A1246" t="s">
        <v>3446</v>
      </c>
      <c r="B1246" s="1" t="s">
        <v>3448</v>
      </c>
      <c r="C1246" t="s">
        <v>1568</v>
      </c>
      <c r="D1246" s="1" t="s">
        <v>3449</v>
      </c>
      <c r="E1246" t="b">
        <v>0</v>
      </c>
      <c r="F1246">
        <v>183</v>
      </c>
      <c r="G1246">
        <v>358</v>
      </c>
      <c r="H1246" t="s">
        <v>11</v>
      </c>
      <c r="I1246" t="b" cm="1">
        <f t="array" ref="I1246">isDup(B1246,B1247, 0.7)</f>
        <v>0</v>
      </c>
    </row>
    <row r="1247" spans="1:9" ht="34" x14ac:dyDescent="0.2">
      <c r="A1247" t="s">
        <v>5275</v>
      </c>
      <c r="B1247" s="1" t="s">
        <v>5276</v>
      </c>
      <c r="C1247" t="s">
        <v>5277</v>
      </c>
      <c r="D1247" s="1" t="s">
        <v>1023</v>
      </c>
      <c r="E1247" t="b">
        <v>0</v>
      </c>
      <c r="F1247">
        <v>6</v>
      </c>
      <c r="G1247">
        <v>36</v>
      </c>
      <c r="H1247" t="s">
        <v>11</v>
      </c>
      <c r="I1247" t="b" cm="1">
        <f t="array" ref="I1247">isDup(B1247,B1248, 0.7)</f>
        <v>0</v>
      </c>
    </row>
    <row r="1248" spans="1:9" ht="17" x14ac:dyDescent="0.2">
      <c r="A1248" t="s">
        <v>531</v>
      </c>
      <c r="B1248" s="1" t="s">
        <v>532</v>
      </c>
      <c r="C1248" t="s">
        <v>533</v>
      </c>
      <c r="D1248" s="1" t="s">
        <v>534</v>
      </c>
      <c r="E1248" t="b">
        <v>0</v>
      </c>
      <c r="F1248">
        <v>543</v>
      </c>
      <c r="G1248">
        <v>179</v>
      </c>
      <c r="H1248" t="s">
        <v>11</v>
      </c>
      <c r="I1248" t="b" cm="1">
        <f t="array" ref="I1248">isDup(B1248,B1249, 0.7)</f>
        <v>0</v>
      </c>
    </row>
    <row r="1249" spans="1:9" ht="17" x14ac:dyDescent="0.2">
      <c r="A1249" t="s">
        <v>2543</v>
      </c>
      <c r="B1249" s="1" t="s">
        <v>2544</v>
      </c>
      <c r="C1249" t="s">
        <v>2545</v>
      </c>
      <c r="D1249" s="1" t="s">
        <v>2546</v>
      </c>
      <c r="E1249" t="b">
        <v>0</v>
      </c>
      <c r="F1249">
        <v>34</v>
      </c>
      <c r="G1249">
        <v>70</v>
      </c>
      <c r="H1249" t="s">
        <v>11</v>
      </c>
      <c r="I1249" t="b" cm="1">
        <f t="array" ref="I1249">isDup(B1249,B1250, 0.7)</f>
        <v>0</v>
      </c>
    </row>
    <row r="1250" spans="1:9" ht="17" x14ac:dyDescent="0.2">
      <c r="A1250" t="s">
        <v>6402</v>
      </c>
      <c r="B1250" s="1" t="s">
        <v>6403</v>
      </c>
      <c r="C1250" t="s">
        <v>6404</v>
      </c>
      <c r="D1250" s="1" t="s">
        <v>6405</v>
      </c>
      <c r="E1250" t="b">
        <v>0</v>
      </c>
      <c r="F1250">
        <v>28</v>
      </c>
      <c r="G1250">
        <v>188</v>
      </c>
      <c r="H1250" t="s">
        <v>11</v>
      </c>
      <c r="I1250" t="b" cm="1">
        <f t="array" ref="I1250">isDup(B1250,B1251, 0.7)</f>
        <v>0</v>
      </c>
    </row>
    <row r="1251" spans="1:9" ht="17" x14ac:dyDescent="0.2">
      <c r="A1251" t="s">
        <v>3355</v>
      </c>
      <c r="B1251" s="1" t="s">
        <v>3356</v>
      </c>
      <c r="C1251" t="s">
        <v>509</v>
      </c>
      <c r="D1251" s="1" t="s">
        <v>3357</v>
      </c>
      <c r="E1251" t="b">
        <v>0</v>
      </c>
      <c r="F1251">
        <v>326</v>
      </c>
      <c r="G1251">
        <v>393</v>
      </c>
      <c r="H1251" t="s">
        <v>11</v>
      </c>
      <c r="I1251" t="b" cm="1">
        <f t="array" ref="I1251">isDup(B1251,B1252, 0.7)</f>
        <v>1</v>
      </c>
    </row>
    <row r="1252" spans="1:9" ht="17" x14ac:dyDescent="0.2">
      <c r="A1252" t="s">
        <v>7180</v>
      </c>
      <c r="B1252" s="1" t="s">
        <v>7181</v>
      </c>
      <c r="C1252" t="s">
        <v>1943</v>
      </c>
      <c r="D1252" s="1" t="s">
        <v>7182</v>
      </c>
      <c r="E1252" t="b">
        <v>0</v>
      </c>
      <c r="F1252">
        <v>942</v>
      </c>
      <c r="G1252">
        <v>1121</v>
      </c>
      <c r="H1252" t="s">
        <v>11</v>
      </c>
      <c r="I1252" t="b" cm="1">
        <f t="array" ref="I1252">isDup(B1252,B1253, 0.7)</f>
        <v>0</v>
      </c>
    </row>
    <row r="1253" spans="1:9" ht="34" x14ac:dyDescent="0.2">
      <c r="A1253" t="s">
        <v>1010</v>
      </c>
      <c r="B1253" s="1" t="s">
        <v>1011</v>
      </c>
      <c r="C1253" t="s">
        <v>1012</v>
      </c>
      <c r="D1253" s="1" t="s">
        <v>2</v>
      </c>
      <c r="E1253" t="b">
        <v>0</v>
      </c>
      <c r="F1253">
        <v>57</v>
      </c>
      <c r="G1253">
        <v>45</v>
      </c>
      <c r="H1253" t="s">
        <v>11</v>
      </c>
      <c r="I1253" t="b" cm="1">
        <f t="array" ref="I1253">isDup(B1253,B1254, 0.7)</f>
        <v>0</v>
      </c>
    </row>
    <row r="1254" spans="1:9" ht="17" x14ac:dyDescent="0.2">
      <c r="A1254" t="s">
        <v>4005</v>
      </c>
      <c r="B1254" s="1" t="s">
        <v>4006</v>
      </c>
      <c r="C1254" t="s">
        <v>4007</v>
      </c>
      <c r="D1254" s="1" t="s">
        <v>2</v>
      </c>
      <c r="E1254" t="b">
        <v>0</v>
      </c>
      <c r="F1254">
        <v>1</v>
      </c>
      <c r="G1254">
        <v>1</v>
      </c>
      <c r="H1254" t="s">
        <v>11</v>
      </c>
      <c r="I1254" t="b" cm="1">
        <f t="array" ref="I1254">isDup(B1254,B1255, 0.7)</f>
        <v>0</v>
      </c>
    </row>
    <row r="1255" spans="1:9" ht="17" x14ac:dyDescent="0.2">
      <c r="A1255" t="s">
        <v>1454</v>
      </c>
      <c r="B1255" s="1" t="s">
        <v>1455</v>
      </c>
      <c r="C1255" t="s">
        <v>1456</v>
      </c>
      <c r="D1255" s="1" t="s">
        <v>399</v>
      </c>
      <c r="E1255" t="b">
        <v>0</v>
      </c>
      <c r="F1255">
        <v>547</v>
      </c>
      <c r="G1255">
        <v>720</v>
      </c>
      <c r="H1255" t="s">
        <v>11</v>
      </c>
      <c r="I1255" t="b" cm="1">
        <f t="array" ref="I1255">isDup(B1255,B1256, 0.7)</f>
        <v>0</v>
      </c>
    </row>
    <row r="1256" spans="1:9" ht="17" x14ac:dyDescent="0.2">
      <c r="A1256" t="s">
        <v>131</v>
      </c>
      <c r="B1256" s="1" t="s">
        <v>132</v>
      </c>
      <c r="C1256" t="s">
        <v>133</v>
      </c>
      <c r="D1256" s="1" t="s">
        <v>2</v>
      </c>
      <c r="E1256" t="b">
        <v>0</v>
      </c>
      <c r="F1256">
        <v>6</v>
      </c>
      <c r="G1256">
        <v>45</v>
      </c>
      <c r="H1256" t="s">
        <v>11</v>
      </c>
      <c r="I1256" t="b" cm="1">
        <f t="array" ref="I1256">isDup(B1256,B1257, 0.7)</f>
        <v>0</v>
      </c>
    </row>
    <row r="1257" spans="1:9" ht="17" x14ac:dyDescent="0.2">
      <c r="A1257" t="s">
        <v>5535</v>
      </c>
      <c r="B1257" s="1" t="s">
        <v>5536</v>
      </c>
      <c r="C1257" t="s">
        <v>1568</v>
      </c>
      <c r="D1257" s="1" t="s">
        <v>5537</v>
      </c>
      <c r="E1257" t="b">
        <v>0</v>
      </c>
      <c r="F1257">
        <v>137</v>
      </c>
      <c r="G1257">
        <v>404</v>
      </c>
      <c r="H1257" t="s">
        <v>11</v>
      </c>
      <c r="I1257" t="b" cm="1">
        <f t="array" ref="I1257">isDup(B1257,B1258, 0.7)</f>
        <v>0</v>
      </c>
    </row>
    <row r="1258" spans="1:9" ht="17" x14ac:dyDescent="0.2">
      <c r="A1258" t="s">
        <v>4136</v>
      </c>
      <c r="B1258" s="1" t="s">
        <v>4137</v>
      </c>
      <c r="C1258" t="s">
        <v>4138</v>
      </c>
      <c r="D1258" s="1" t="s">
        <v>4139</v>
      </c>
      <c r="E1258" t="b">
        <v>0</v>
      </c>
      <c r="F1258">
        <v>1</v>
      </c>
      <c r="G1258">
        <v>7</v>
      </c>
      <c r="H1258" t="s">
        <v>1580</v>
      </c>
      <c r="I1258" t="b" cm="1">
        <f t="array" ref="I1258">isDup(B1258,B1259, 0.7)</f>
        <v>0</v>
      </c>
    </row>
    <row r="1259" spans="1:9" ht="17" x14ac:dyDescent="0.2">
      <c r="A1259" t="s">
        <v>4325</v>
      </c>
      <c r="B1259" s="1" t="s">
        <v>4329</v>
      </c>
      <c r="C1259" t="s">
        <v>4110</v>
      </c>
      <c r="D1259" s="1" t="s">
        <v>2</v>
      </c>
      <c r="E1259" t="b">
        <v>0</v>
      </c>
      <c r="F1259">
        <v>9</v>
      </c>
      <c r="G1259">
        <v>57</v>
      </c>
      <c r="H1259" t="s">
        <v>11</v>
      </c>
      <c r="I1259" t="b" cm="1">
        <f t="array" ref="I1259">isDup(B1259,B1260, 0.7)</f>
        <v>0</v>
      </c>
    </row>
    <row r="1260" spans="1:9" ht="34" x14ac:dyDescent="0.2">
      <c r="A1260" t="s">
        <v>6650</v>
      </c>
      <c r="B1260" s="1" t="s">
        <v>6651</v>
      </c>
      <c r="C1260" t="s">
        <v>455</v>
      </c>
      <c r="D1260" s="1" t="s">
        <v>212</v>
      </c>
      <c r="E1260" t="b">
        <v>0</v>
      </c>
      <c r="F1260">
        <v>178</v>
      </c>
      <c r="G1260">
        <v>135</v>
      </c>
      <c r="H1260" t="s">
        <v>11</v>
      </c>
      <c r="I1260" t="b" cm="1">
        <f t="array" ref="I1260">isDup(B1260,B1261, 0.7)</f>
        <v>0</v>
      </c>
    </row>
    <row r="1261" spans="1:9" ht="17" x14ac:dyDescent="0.2">
      <c r="A1261" t="s">
        <v>5527</v>
      </c>
      <c r="B1261" s="1" t="s">
        <v>5528</v>
      </c>
      <c r="C1261" t="s">
        <v>5529</v>
      </c>
      <c r="D1261" s="1" t="s">
        <v>2</v>
      </c>
      <c r="E1261" t="b">
        <v>0</v>
      </c>
      <c r="F1261">
        <v>3194</v>
      </c>
      <c r="G1261">
        <v>3136</v>
      </c>
      <c r="H1261" t="s">
        <v>3</v>
      </c>
      <c r="I1261" t="b" cm="1">
        <f t="array" ref="I1261">isDup(B1261,B1262, 0.7)</f>
        <v>0</v>
      </c>
    </row>
    <row r="1262" spans="1:9" ht="17" x14ac:dyDescent="0.2">
      <c r="A1262" t="s">
        <v>3299</v>
      </c>
      <c r="B1262" s="1" t="s">
        <v>3300</v>
      </c>
      <c r="C1262" t="s">
        <v>3301</v>
      </c>
      <c r="D1262" s="1" t="s">
        <v>2</v>
      </c>
      <c r="E1262" t="b">
        <v>0</v>
      </c>
      <c r="F1262">
        <v>5395</v>
      </c>
      <c r="G1262">
        <v>698</v>
      </c>
      <c r="H1262" t="s">
        <v>11</v>
      </c>
      <c r="I1262" t="b" cm="1">
        <f t="array" ref="I1262">isDup(B1262,B1263, 0.7)</f>
        <v>0</v>
      </c>
    </row>
    <row r="1263" spans="1:9" ht="34" x14ac:dyDescent="0.2">
      <c r="A1263" t="s">
        <v>1712</v>
      </c>
      <c r="B1263" s="1" t="s">
        <v>1713</v>
      </c>
      <c r="C1263" t="s">
        <v>1592</v>
      </c>
      <c r="D1263" s="1" t="s">
        <v>1593</v>
      </c>
      <c r="E1263" t="b">
        <v>0</v>
      </c>
      <c r="F1263">
        <v>4</v>
      </c>
      <c r="G1263">
        <v>0</v>
      </c>
      <c r="H1263" t="s">
        <v>11</v>
      </c>
      <c r="I1263" t="b" cm="1">
        <f t="array" ref="I1263">isDup(B1263,B1264, 0.7)</f>
        <v>0</v>
      </c>
    </row>
    <row r="1264" spans="1:9" ht="34" x14ac:dyDescent="0.2">
      <c r="A1264" t="s">
        <v>4943</v>
      </c>
      <c r="B1264" s="1" t="s">
        <v>4944</v>
      </c>
      <c r="C1264" t="s">
        <v>4945</v>
      </c>
      <c r="D1264" s="1" t="s">
        <v>2</v>
      </c>
      <c r="E1264" t="b">
        <v>0</v>
      </c>
      <c r="F1264">
        <v>48</v>
      </c>
      <c r="G1264">
        <v>149</v>
      </c>
      <c r="H1264" t="s">
        <v>641</v>
      </c>
      <c r="I1264" t="b" cm="1">
        <f t="array" ref="I1264">isDup(B1264,B1265, 0.7)</f>
        <v>0</v>
      </c>
    </row>
    <row r="1265" spans="1:9" ht="34" x14ac:dyDescent="0.2">
      <c r="A1265" t="s">
        <v>6458</v>
      </c>
      <c r="B1265" s="1" t="s">
        <v>6459</v>
      </c>
      <c r="C1265" t="s">
        <v>1371</v>
      </c>
      <c r="D1265" s="1" t="s">
        <v>2</v>
      </c>
      <c r="E1265" t="b">
        <v>0</v>
      </c>
      <c r="F1265">
        <v>62</v>
      </c>
      <c r="G1265">
        <v>130</v>
      </c>
      <c r="H1265" t="s">
        <v>11</v>
      </c>
      <c r="I1265" t="b" cm="1">
        <f t="array" ref="I1265">isDup(B1265,B1266, 0.7)</f>
        <v>0</v>
      </c>
    </row>
    <row r="1266" spans="1:9" ht="17" x14ac:dyDescent="0.2">
      <c r="A1266" t="s">
        <v>6366</v>
      </c>
      <c r="B1266" s="1" t="s">
        <v>6367</v>
      </c>
      <c r="C1266" t="s">
        <v>3553</v>
      </c>
      <c r="D1266" s="1" t="s">
        <v>6368</v>
      </c>
      <c r="E1266" t="b">
        <v>0</v>
      </c>
      <c r="F1266">
        <v>319</v>
      </c>
      <c r="G1266">
        <v>582</v>
      </c>
      <c r="H1266" t="s">
        <v>11</v>
      </c>
      <c r="I1266" t="b" cm="1">
        <f t="array" ref="I1266">isDup(B1266,B1267, 0.7)</f>
        <v>0</v>
      </c>
    </row>
    <row r="1267" spans="1:9" ht="17" x14ac:dyDescent="0.2">
      <c r="A1267" t="s">
        <v>3335</v>
      </c>
      <c r="B1267" s="1" t="s">
        <v>3336</v>
      </c>
      <c r="C1267" t="s">
        <v>1022</v>
      </c>
      <c r="D1267" s="1" t="s">
        <v>2</v>
      </c>
      <c r="E1267" t="b">
        <v>0</v>
      </c>
      <c r="F1267">
        <v>82</v>
      </c>
      <c r="G1267">
        <v>238</v>
      </c>
      <c r="H1267" t="s">
        <v>11</v>
      </c>
      <c r="I1267" t="b" cm="1">
        <f t="array" ref="I1267">isDup(B1267,B1268, 0.7)</f>
        <v>0</v>
      </c>
    </row>
    <row r="1268" spans="1:9" ht="17" x14ac:dyDescent="0.2">
      <c r="A1268" t="s">
        <v>6786</v>
      </c>
      <c r="B1268" s="1" t="s">
        <v>6787</v>
      </c>
      <c r="C1268" t="s">
        <v>591</v>
      </c>
      <c r="D1268" s="1" t="s">
        <v>1841</v>
      </c>
      <c r="E1268" t="b">
        <v>0</v>
      </c>
      <c r="F1268">
        <v>1282</v>
      </c>
      <c r="G1268">
        <v>270</v>
      </c>
      <c r="H1268" t="s">
        <v>11</v>
      </c>
      <c r="I1268" t="b" cm="1">
        <f t="array" ref="I1268">isDup(B1268,B1269, 0.7)</f>
        <v>0</v>
      </c>
    </row>
    <row r="1269" spans="1:9" ht="17" x14ac:dyDescent="0.2">
      <c r="A1269" t="s">
        <v>6805</v>
      </c>
      <c r="B1269" s="1" t="s">
        <v>6806</v>
      </c>
      <c r="C1269" t="s">
        <v>319</v>
      </c>
      <c r="D1269" s="1" t="s">
        <v>2</v>
      </c>
      <c r="E1269" t="b">
        <v>0</v>
      </c>
      <c r="F1269">
        <v>19</v>
      </c>
      <c r="G1269">
        <v>75</v>
      </c>
      <c r="H1269" t="s">
        <v>11</v>
      </c>
      <c r="I1269" t="b" cm="1">
        <f t="array" ref="I1269">isDup(B1269,B1270, 0.7)</f>
        <v>0</v>
      </c>
    </row>
    <row r="1270" spans="1:9" ht="17" x14ac:dyDescent="0.2">
      <c r="A1270" t="s">
        <v>2450</v>
      </c>
      <c r="B1270" s="1" t="s">
        <v>2451</v>
      </c>
      <c r="C1270" t="s">
        <v>311</v>
      </c>
      <c r="D1270" s="1" t="s">
        <v>2452</v>
      </c>
      <c r="E1270" t="b">
        <v>0</v>
      </c>
      <c r="F1270">
        <v>23</v>
      </c>
      <c r="G1270">
        <v>150</v>
      </c>
      <c r="H1270" t="s">
        <v>11</v>
      </c>
      <c r="I1270" t="b" cm="1">
        <f t="array" ref="I1270">isDup(B1270,B1271, 0.7)</f>
        <v>0</v>
      </c>
    </row>
    <row r="1271" spans="1:9" ht="34" x14ac:dyDescent="0.2">
      <c r="A1271" t="s">
        <v>6165</v>
      </c>
      <c r="B1271" s="1" t="s">
        <v>6166</v>
      </c>
      <c r="C1271" t="s">
        <v>4907</v>
      </c>
      <c r="D1271" s="1" t="s">
        <v>2</v>
      </c>
      <c r="E1271" t="b">
        <v>0</v>
      </c>
      <c r="F1271">
        <v>1515</v>
      </c>
      <c r="G1271">
        <v>5002</v>
      </c>
      <c r="H1271" t="s">
        <v>31</v>
      </c>
      <c r="I1271" t="b" cm="1">
        <f t="array" ref="I1271">isDup(B1271,B1272, 0.7)</f>
        <v>0</v>
      </c>
    </row>
    <row r="1272" spans="1:9" ht="17" x14ac:dyDescent="0.2">
      <c r="A1272" t="s">
        <v>3108</v>
      </c>
      <c r="B1272" s="1" t="s">
        <v>3109</v>
      </c>
      <c r="C1272" t="s">
        <v>773</v>
      </c>
      <c r="D1272" s="1" t="s">
        <v>2</v>
      </c>
      <c r="E1272" t="b">
        <v>0</v>
      </c>
      <c r="F1272">
        <v>8</v>
      </c>
      <c r="G1272">
        <v>29</v>
      </c>
      <c r="H1272" t="s">
        <v>11</v>
      </c>
      <c r="I1272" t="b" cm="1">
        <f t="array" ref="I1272">isDup(B1272,B1273, 0.7)</f>
        <v>0</v>
      </c>
    </row>
    <row r="1273" spans="1:9" ht="17" x14ac:dyDescent="0.2">
      <c r="A1273" t="s">
        <v>1874</v>
      </c>
      <c r="B1273" s="1" t="s">
        <v>1875</v>
      </c>
      <c r="C1273" t="s">
        <v>1635</v>
      </c>
      <c r="D1273" s="1" t="s">
        <v>1636</v>
      </c>
      <c r="E1273" t="b">
        <v>0</v>
      </c>
      <c r="F1273">
        <v>85</v>
      </c>
      <c r="G1273">
        <v>113</v>
      </c>
      <c r="H1273" t="s">
        <v>11</v>
      </c>
      <c r="I1273" t="b" cm="1">
        <f t="array" ref="I1273">isDup(B1273,B1274, 0.7)</f>
        <v>0</v>
      </c>
    </row>
    <row r="1274" spans="1:9" ht="34" x14ac:dyDescent="0.2">
      <c r="A1274" t="s">
        <v>7216</v>
      </c>
      <c r="B1274" s="1" t="s">
        <v>7217</v>
      </c>
      <c r="C1274" t="s">
        <v>1254</v>
      </c>
      <c r="D1274" s="1" t="s">
        <v>2</v>
      </c>
      <c r="E1274" t="b">
        <v>0</v>
      </c>
      <c r="F1274">
        <v>377</v>
      </c>
      <c r="G1274">
        <v>1113</v>
      </c>
      <c r="H1274" t="s">
        <v>31</v>
      </c>
      <c r="I1274" t="b" cm="1">
        <f t="array" ref="I1274">isDup(B1274,B1275, 0.7)</f>
        <v>0</v>
      </c>
    </row>
    <row r="1275" spans="1:9" ht="17" x14ac:dyDescent="0.2">
      <c r="A1275" t="s">
        <v>5469</v>
      </c>
      <c r="B1275" s="1" t="s">
        <v>5470</v>
      </c>
      <c r="C1275" t="s">
        <v>5471</v>
      </c>
      <c r="D1275" s="1" t="s">
        <v>5472</v>
      </c>
      <c r="E1275" t="b">
        <v>0</v>
      </c>
      <c r="F1275">
        <v>134</v>
      </c>
      <c r="G1275">
        <v>205</v>
      </c>
      <c r="H1275" t="s">
        <v>11</v>
      </c>
      <c r="I1275" t="b" cm="1">
        <f t="array" ref="I1275">isDup(B1275,B1276, 0.7)</f>
        <v>0</v>
      </c>
    </row>
    <row r="1276" spans="1:9" ht="17" x14ac:dyDescent="0.2">
      <c r="A1276" t="s">
        <v>5883</v>
      </c>
      <c r="B1276" s="1" t="s">
        <v>5884</v>
      </c>
      <c r="C1276" t="s">
        <v>1530</v>
      </c>
      <c r="D1276" s="1" t="s">
        <v>2272</v>
      </c>
      <c r="E1276" t="b">
        <v>0</v>
      </c>
      <c r="F1276">
        <v>313</v>
      </c>
      <c r="G1276">
        <v>79</v>
      </c>
      <c r="H1276" t="s">
        <v>11</v>
      </c>
      <c r="I1276" t="b" cm="1">
        <f t="array" ref="I1276">isDup(B1276,B1277, 0.7)</f>
        <v>0</v>
      </c>
    </row>
    <row r="1277" spans="1:9" ht="17" x14ac:dyDescent="0.2">
      <c r="A1277" t="s">
        <v>4922</v>
      </c>
      <c r="B1277" s="1" t="s">
        <v>4923</v>
      </c>
      <c r="C1277" t="s">
        <v>4643</v>
      </c>
      <c r="D1277" s="1" t="s">
        <v>2</v>
      </c>
      <c r="E1277" t="b">
        <v>0</v>
      </c>
      <c r="F1277">
        <v>3795</v>
      </c>
      <c r="G1277">
        <v>95</v>
      </c>
      <c r="H1277" t="s">
        <v>47</v>
      </c>
      <c r="I1277" t="b" cm="1">
        <f t="array" ref="I1277">isDup(B1277,B1278, 0.7)</f>
        <v>0</v>
      </c>
    </row>
    <row r="1278" spans="1:9" ht="17" x14ac:dyDescent="0.2">
      <c r="A1278" t="s">
        <v>3187</v>
      </c>
      <c r="B1278" s="1" t="s">
        <v>3188</v>
      </c>
      <c r="C1278" t="s">
        <v>3189</v>
      </c>
      <c r="D1278" s="1" t="s">
        <v>3190</v>
      </c>
      <c r="E1278" t="b">
        <v>0</v>
      </c>
      <c r="F1278">
        <v>1073</v>
      </c>
      <c r="G1278">
        <v>290</v>
      </c>
      <c r="H1278" t="s">
        <v>47</v>
      </c>
      <c r="I1278" t="b" cm="1">
        <f t="array" ref="I1278">isDup(B1278,B1279, 0.7)</f>
        <v>0</v>
      </c>
    </row>
    <row r="1279" spans="1:9" ht="17" x14ac:dyDescent="0.2">
      <c r="A1279" t="s">
        <v>6505</v>
      </c>
      <c r="B1279" s="1" t="s">
        <v>6506</v>
      </c>
      <c r="C1279" t="s">
        <v>3967</v>
      </c>
      <c r="D1279" s="1" t="s">
        <v>2</v>
      </c>
      <c r="E1279" t="b">
        <v>0</v>
      </c>
      <c r="F1279">
        <v>54</v>
      </c>
      <c r="G1279">
        <v>147</v>
      </c>
      <c r="H1279" t="s">
        <v>11</v>
      </c>
      <c r="I1279" t="b" cm="1">
        <f t="array" ref="I1279">isDup(B1279,B1280, 0.7)</f>
        <v>0</v>
      </c>
    </row>
    <row r="1280" spans="1:9" ht="34" x14ac:dyDescent="0.2">
      <c r="A1280" t="s">
        <v>3023</v>
      </c>
      <c r="B1280" s="1" t="s">
        <v>3024</v>
      </c>
      <c r="C1280" t="s">
        <v>100</v>
      </c>
      <c r="D1280" s="1" t="s">
        <v>2</v>
      </c>
      <c r="E1280" t="b">
        <v>0</v>
      </c>
      <c r="F1280">
        <v>2</v>
      </c>
      <c r="G1280">
        <v>0</v>
      </c>
      <c r="H1280" t="s">
        <v>359</v>
      </c>
      <c r="I1280" t="b" cm="1">
        <f t="array" ref="I1280">isDup(B1280,B1281, 0.7)</f>
        <v>0</v>
      </c>
    </row>
    <row r="1281" spans="1:9" ht="17" x14ac:dyDescent="0.2">
      <c r="A1281" t="s">
        <v>4507</v>
      </c>
      <c r="B1281" s="1" t="s">
        <v>4508</v>
      </c>
      <c r="C1281" t="s">
        <v>509</v>
      </c>
      <c r="D1281" s="1" t="s">
        <v>4509</v>
      </c>
      <c r="E1281" t="b">
        <v>0</v>
      </c>
      <c r="F1281">
        <v>129</v>
      </c>
      <c r="G1281">
        <v>603</v>
      </c>
      <c r="H1281" t="s">
        <v>11</v>
      </c>
      <c r="I1281" t="b" cm="1">
        <f t="array" ref="I1281">isDup(B1281,B1282, 0.7)</f>
        <v>0</v>
      </c>
    </row>
    <row r="1282" spans="1:9" ht="17" x14ac:dyDescent="0.2">
      <c r="A1282" t="s">
        <v>4224</v>
      </c>
      <c r="B1282" s="1" t="s">
        <v>4225</v>
      </c>
      <c r="C1282" t="s">
        <v>1355</v>
      </c>
      <c r="D1282" s="1" t="s">
        <v>4226</v>
      </c>
      <c r="E1282" t="b">
        <v>0</v>
      </c>
      <c r="F1282">
        <v>4753</v>
      </c>
      <c r="G1282">
        <v>1512</v>
      </c>
      <c r="H1282" t="s">
        <v>11</v>
      </c>
      <c r="I1282" t="b" cm="1">
        <f t="array" ref="I1282">isDup(B1282,B1283, 0.7)</f>
        <v>0</v>
      </c>
    </row>
    <row r="1283" spans="1:9" ht="34" x14ac:dyDescent="0.2">
      <c r="A1283" t="s">
        <v>24</v>
      </c>
      <c r="B1283" s="1" t="s">
        <v>25</v>
      </c>
      <c r="C1283" t="s">
        <v>26</v>
      </c>
      <c r="D1283" s="1" t="s">
        <v>2</v>
      </c>
      <c r="E1283" t="b">
        <v>0</v>
      </c>
      <c r="F1283">
        <v>34</v>
      </c>
      <c r="G1283">
        <v>90</v>
      </c>
      <c r="H1283" t="s">
        <v>11</v>
      </c>
      <c r="I1283" t="b" cm="1">
        <f t="array" ref="I1283">isDup(B1283,B1284, 0.7)</f>
        <v>0</v>
      </c>
    </row>
    <row r="1284" spans="1:9" ht="17" x14ac:dyDescent="0.2">
      <c r="A1284" t="s">
        <v>4570</v>
      </c>
      <c r="B1284" s="1" t="s">
        <v>4571</v>
      </c>
      <c r="C1284" t="s">
        <v>6</v>
      </c>
      <c r="D1284" s="1" t="s">
        <v>2</v>
      </c>
      <c r="E1284" t="b">
        <v>0</v>
      </c>
      <c r="F1284">
        <v>520</v>
      </c>
      <c r="G1284">
        <v>1752</v>
      </c>
      <c r="H1284" t="s">
        <v>11</v>
      </c>
      <c r="I1284" t="b" cm="1">
        <f t="array" ref="I1284">isDup(B1284,B1285, 0.7)</f>
        <v>0</v>
      </c>
    </row>
    <row r="1285" spans="1:9" ht="17" x14ac:dyDescent="0.2">
      <c r="A1285" t="s">
        <v>6565</v>
      </c>
      <c r="B1285" s="1" t="s">
        <v>6566</v>
      </c>
      <c r="C1285" t="s">
        <v>2116</v>
      </c>
      <c r="D1285" s="1" t="s">
        <v>6567</v>
      </c>
      <c r="E1285" t="b">
        <v>0</v>
      </c>
      <c r="F1285">
        <v>120</v>
      </c>
      <c r="G1285">
        <v>778</v>
      </c>
      <c r="H1285" t="s">
        <v>11</v>
      </c>
      <c r="I1285" t="b" cm="1">
        <f t="array" ref="I1285">isDup(B1285,B1286, 0.7)</f>
        <v>0</v>
      </c>
    </row>
    <row r="1286" spans="1:9" ht="17" x14ac:dyDescent="0.2">
      <c r="A1286" t="s">
        <v>2206</v>
      </c>
      <c r="B1286" s="1" t="s">
        <v>2207</v>
      </c>
      <c r="C1286" t="s">
        <v>2208</v>
      </c>
      <c r="D1286" s="1" t="s">
        <v>2209</v>
      </c>
      <c r="E1286" t="b">
        <v>0</v>
      </c>
      <c r="F1286">
        <v>134</v>
      </c>
      <c r="G1286">
        <v>61</v>
      </c>
      <c r="H1286" t="s">
        <v>11</v>
      </c>
      <c r="I1286" t="b" cm="1">
        <f t="array" ref="I1286">isDup(B1286,B1287, 0.7)</f>
        <v>0</v>
      </c>
    </row>
    <row r="1287" spans="1:9" ht="17" x14ac:dyDescent="0.2">
      <c r="A1287" t="s">
        <v>4572</v>
      </c>
      <c r="B1287" s="1" t="s">
        <v>4575</v>
      </c>
      <c r="C1287" t="s">
        <v>1873</v>
      </c>
      <c r="D1287" s="1" t="s">
        <v>2</v>
      </c>
      <c r="E1287" t="b">
        <v>0</v>
      </c>
      <c r="F1287">
        <v>159</v>
      </c>
      <c r="G1287">
        <v>193</v>
      </c>
      <c r="H1287" t="s">
        <v>11</v>
      </c>
      <c r="I1287" t="b" cm="1">
        <f t="array" ref="I1287">isDup(B1287,B1288, 0.7)</f>
        <v>0</v>
      </c>
    </row>
    <row r="1288" spans="1:9" ht="34" x14ac:dyDescent="0.2">
      <c r="A1288" t="s">
        <v>3112</v>
      </c>
      <c r="B1288" s="1" t="s">
        <v>3113</v>
      </c>
      <c r="C1288" t="s">
        <v>522</v>
      </c>
      <c r="D1288" s="1" t="s">
        <v>3114</v>
      </c>
      <c r="E1288" t="b">
        <v>0</v>
      </c>
      <c r="F1288">
        <v>632</v>
      </c>
      <c r="G1288">
        <v>419</v>
      </c>
      <c r="H1288" t="s">
        <v>11</v>
      </c>
      <c r="I1288" t="b" cm="1">
        <f t="array" ref="I1288">isDup(B1288,B1289, 0.7)</f>
        <v>0</v>
      </c>
    </row>
    <row r="1289" spans="1:9" ht="34" x14ac:dyDescent="0.2">
      <c r="A1289" t="s">
        <v>2747</v>
      </c>
      <c r="B1289" s="1" t="s">
        <v>2748</v>
      </c>
      <c r="C1289" t="s">
        <v>2749</v>
      </c>
      <c r="D1289" s="1" t="s">
        <v>829</v>
      </c>
      <c r="E1289" t="b">
        <v>0</v>
      </c>
      <c r="F1289">
        <v>585</v>
      </c>
      <c r="G1289">
        <v>439</v>
      </c>
      <c r="H1289" t="s">
        <v>11</v>
      </c>
      <c r="I1289" t="b" cm="1">
        <f t="array" ref="I1289">isDup(B1289,B1290, 0.7)</f>
        <v>0</v>
      </c>
    </row>
    <row r="1290" spans="1:9" ht="17" x14ac:dyDescent="0.2">
      <c r="A1290" t="s">
        <v>7001</v>
      </c>
      <c r="B1290" s="1" t="s">
        <v>7002</v>
      </c>
      <c r="C1290" t="s">
        <v>3059</v>
      </c>
      <c r="D1290" s="1" t="s">
        <v>7003</v>
      </c>
      <c r="E1290" t="b">
        <v>0</v>
      </c>
      <c r="F1290">
        <v>102</v>
      </c>
      <c r="G1290">
        <v>418</v>
      </c>
      <c r="H1290" t="s">
        <v>11</v>
      </c>
      <c r="I1290" t="b" cm="1">
        <f t="array" ref="I1290">isDup(B1290,B1291, 0.7)</f>
        <v>0</v>
      </c>
    </row>
    <row r="1291" spans="1:9" ht="34" x14ac:dyDescent="0.2">
      <c r="A1291" t="s">
        <v>6704</v>
      </c>
      <c r="B1291" s="1" t="s">
        <v>6705</v>
      </c>
      <c r="C1291" t="s">
        <v>1162</v>
      </c>
      <c r="D1291" s="1" t="s">
        <v>2</v>
      </c>
      <c r="E1291" t="b">
        <v>0</v>
      </c>
      <c r="F1291">
        <v>91</v>
      </c>
      <c r="G1291">
        <v>334</v>
      </c>
      <c r="H1291" t="s">
        <v>11</v>
      </c>
      <c r="I1291" t="b" cm="1">
        <f t="array" ref="I1291">isDup(B1291,B1292, 0.7)</f>
        <v>0</v>
      </c>
    </row>
    <row r="1292" spans="1:9" ht="17" x14ac:dyDescent="0.2">
      <c r="A1292" t="s">
        <v>6057</v>
      </c>
      <c r="B1292" s="1" t="s">
        <v>6058</v>
      </c>
      <c r="C1292" t="s">
        <v>6059</v>
      </c>
      <c r="D1292" s="1" t="s">
        <v>2</v>
      </c>
      <c r="E1292" t="b">
        <v>0</v>
      </c>
      <c r="F1292">
        <v>145</v>
      </c>
      <c r="G1292">
        <v>230</v>
      </c>
      <c r="H1292" t="s">
        <v>83</v>
      </c>
      <c r="I1292" t="b" cm="1">
        <f t="array" ref="I1292">isDup(B1292,B1293, 0.7)</f>
        <v>0</v>
      </c>
    </row>
    <row r="1293" spans="1:9" ht="34" x14ac:dyDescent="0.2">
      <c r="A1293" t="s">
        <v>6173</v>
      </c>
      <c r="B1293" s="1" t="s">
        <v>6174</v>
      </c>
      <c r="C1293" t="s">
        <v>6175</v>
      </c>
      <c r="D1293" s="1" t="s">
        <v>6176</v>
      </c>
      <c r="E1293" t="b">
        <v>0</v>
      </c>
      <c r="F1293">
        <v>1404</v>
      </c>
      <c r="G1293">
        <v>498</v>
      </c>
      <c r="H1293" t="s">
        <v>11</v>
      </c>
      <c r="I1293" t="b" cm="1">
        <f t="array" ref="I1293">isDup(B1293,B1294, 0.7)</f>
        <v>0</v>
      </c>
    </row>
    <row r="1294" spans="1:9" ht="34" x14ac:dyDescent="0.2">
      <c r="A1294" t="s">
        <v>4801</v>
      </c>
      <c r="B1294" s="1" t="s">
        <v>4802</v>
      </c>
      <c r="C1294" t="s">
        <v>222</v>
      </c>
      <c r="D1294" s="1" t="s">
        <v>223</v>
      </c>
      <c r="E1294" t="b">
        <v>0</v>
      </c>
      <c r="F1294">
        <v>9228</v>
      </c>
      <c r="G1294">
        <v>7170</v>
      </c>
      <c r="H1294" t="s">
        <v>11</v>
      </c>
      <c r="I1294" t="b" cm="1">
        <f t="array" ref="I1294">isDup(B1294,B1295, 0.7)</f>
        <v>0</v>
      </c>
    </row>
    <row r="1295" spans="1:9" ht="34" x14ac:dyDescent="0.2">
      <c r="A1295" t="s">
        <v>3370</v>
      </c>
      <c r="B1295" s="1" t="s">
        <v>3371</v>
      </c>
      <c r="C1295" t="s">
        <v>2828</v>
      </c>
      <c r="D1295" s="1" t="s">
        <v>19</v>
      </c>
      <c r="E1295" t="b">
        <v>0</v>
      </c>
      <c r="F1295">
        <v>215</v>
      </c>
      <c r="G1295">
        <v>137</v>
      </c>
      <c r="H1295" t="s">
        <v>11</v>
      </c>
      <c r="I1295" t="b" cm="1">
        <f t="array" ref="I1295">isDup(B1295,B1296, 0.7)</f>
        <v>0</v>
      </c>
    </row>
    <row r="1296" spans="1:9" ht="17" x14ac:dyDescent="0.2">
      <c r="A1296" t="s">
        <v>5432</v>
      </c>
      <c r="B1296" s="1" t="s">
        <v>5433</v>
      </c>
      <c r="C1296" t="s">
        <v>5434</v>
      </c>
      <c r="D1296" s="1" t="s">
        <v>2</v>
      </c>
      <c r="E1296" t="b">
        <v>0</v>
      </c>
      <c r="F1296">
        <v>147</v>
      </c>
      <c r="G1296">
        <v>231</v>
      </c>
      <c r="H1296" t="s">
        <v>11</v>
      </c>
      <c r="I1296" t="b" cm="1">
        <f t="array" ref="I1296">isDup(B1296,B1297, 0.7)</f>
        <v>0</v>
      </c>
    </row>
    <row r="1297" spans="1:9" ht="34" x14ac:dyDescent="0.2">
      <c r="A1297" t="s">
        <v>3704</v>
      </c>
      <c r="B1297" s="1" t="s">
        <v>3705</v>
      </c>
      <c r="C1297" t="s">
        <v>3706</v>
      </c>
      <c r="D1297" s="1" t="s">
        <v>2</v>
      </c>
      <c r="E1297" t="b">
        <v>0</v>
      </c>
      <c r="F1297">
        <v>62</v>
      </c>
      <c r="G1297">
        <v>332</v>
      </c>
      <c r="H1297" t="s">
        <v>11</v>
      </c>
      <c r="I1297" t="b" cm="1">
        <f t="array" ref="I1297">isDup(B1297,B1298, 0.7)</f>
        <v>0</v>
      </c>
    </row>
    <row r="1298" spans="1:9" ht="17" x14ac:dyDescent="0.2">
      <c r="A1298" t="s">
        <v>224</v>
      </c>
      <c r="B1298" s="1" t="s">
        <v>225</v>
      </c>
      <c r="C1298" t="s">
        <v>226</v>
      </c>
      <c r="D1298" s="1" t="s">
        <v>227</v>
      </c>
      <c r="E1298" t="b">
        <v>0</v>
      </c>
      <c r="F1298">
        <v>3601</v>
      </c>
      <c r="G1298">
        <v>4869</v>
      </c>
      <c r="H1298" t="s">
        <v>11</v>
      </c>
      <c r="I1298" t="b" cm="1">
        <f t="array" ref="I1298">isDup(B1298,B1299, 0.7)</f>
        <v>0</v>
      </c>
    </row>
    <row r="1299" spans="1:9" ht="17" x14ac:dyDescent="0.2">
      <c r="A1299" t="s">
        <v>5145</v>
      </c>
      <c r="B1299" s="1" t="s">
        <v>5146</v>
      </c>
      <c r="C1299" t="s">
        <v>2628</v>
      </c>
      <c r="D1299" s="1" t="s">
        <v>928</v>
      </c>
      <c r="E1299" t="b">
        <v>0</v>
      </c>
      <c r="F1299">
        <v>486</v>
      </c>
      <c r="G1299">
        <v>358</v>
      </c>
      <c r="H1299" t="s">
        <v>11</v>
      </c>
      <c r="I1299" t="b" cm="1">
        <f t="array" ref="I1299">isDup(B1299,B1300, 0.7)</f>
        <v>0</v>
      </c>
    </row>
    <row r="1300" spans="1:9" ht="17" x14ac:dyDescent="0.2">
      <c r="A1300" t="s">
        <v>5380</v>
      </c>
      <c r="B1300" s="1" t="s">
        <v>5381</v>
      </c>
      <c r="C1300" t="s">
        <v>782</v>
      </c>
      <c r="D1300" s="1" t="s">
        <v>928</v>
      </c>
      <c r="E1300" t="b">
        <v>0</v>
      </c>
      <c r="F1300">
        <v>167</v>
      </c>
      <c r="G1300">
        <v>62</v>
      </c>
      <c r="H1300" t="s">
        <v>11</v>
      </c>
      <c r="I1300" t="b" cm="1">
        <f t="array" ref="I1300">isDup(B1300,B1301, 0.7)</f>
        <v>0</v>
      </c>
    </row>
    <row r="1301" spans="1:9" ht="17" x14ac:dyDescent="0.2">
      <c r="A1301" t="s">
        <v>886</v>
      </c>
      <c r="B1301" s="1" t="s">
        <v>887</v>
      </c>
      <c r="C1301" t="s">
        <v>888</v>
      </c>
      <c r="D1301" s="1" t="s">
        <v>2</v>
      </c>
      <c r="E1301" t="b">
        <v>0</v>
      </c>
      <c r="F1301">
        <v>5</v>
      </c>
      <c r="G1301">
        <v>21</v>
      </c>
      <c r="H1301" t="s">
        <v>31</v>
      </c>
      <c r="I1301" t="b" cm="1">
        <f t="array" ref="I1301">isDup(B1301,B1302, 0.7)</f>
        <v>0</v>
      </c>
    </row>
    <row r="1302" spans="1:9" ht="17" x14ac:dyDescent="0.2">
      <c r="A1302" t="s">
        <v>2998</v>
      </c>
      <c r="B1302" s="1" t="s">
        <v>2999</v>
      </c>
      <c r="C1302" t="s">
        <v>2425</v>
      </c>
      <c r="D1302" s="1" t="s">
        <v>3000</v>
      </c>
      <c r="E1302" t="b">
        <v>0</v>
      </c>
      <c r="F1302">
        <v>5366</v>
      </c>
      <c r="G1302">
        <v>1650</v>
      </c>
      <c r="H1302" t="s">
        <v>11</v>
      </c>
      <c r="I1302" t="b" cm="1">
        <f t="array" ref="I1302">isDup(B1302,B1303, 0.7)</f>
        <v>0</v>
      </c>
    </row>
    <row r="1303" spans="1:9" ht="17" x14ac:dyDescent="0.2">
      <c r="A1303" t="s">
        <v>2110</v>
      </c>
      <c r="B1303" s="1" t="s">
        <v>2111</v>
      </c>
      <c r="C1303" t="s">
        <v>2112</v>
      </c>
      <c r="D1303" s="1" t="s">
        <v>2113</v>
      </c>
      <c r="E1303" t="b">
        <v>0</v>
      </c>
      <c r="F1303">
        <v>728</v>
      </c>
      <c r="G1303">
        <v>448</v>
      </c>
      <c r="H1303" t="s">
        <v>11</v>
      </c>
      <c r="I1303" t="b" cm="1">
        <f t="array" ref="I1303">isDup(B1303,B1304, 0.7)</f>
        <v>0</v>
      </c>
    </row>
    <row r="1304" spans="1:9" ht="17" x14ac:dyDescent="0.2">
      <c r="A1304" t="s">
        <v>2400</v>
      </c>
      <c r="B1304" s="1" t="s">
        <v>2401</v>
      </c>
      <c r="C1304" t="s">
        <v>2402</v>
      </c>
      <c r="D1304" s="1" t="s">
        <v>2</v>
      </c>
      <c r="E1304" t="b">
        <v>0</v>
      </c>
      <c r="F1304">
        <v>31</v>
      </c>
      <c r="G1304">
        <v>113</v>
      </c>
      <c r="H1304" t="s">
        <v>11</v>
      </c>
      <c r="I1304" t="b" cm="1">
        <f t="array" ref="I1304">isDup(B1304,B1305, 0.7)</f>
        <v>0</v>
      </c>
    </row>
    <row r="1305" spans="1:9" ht="34" x14ac:dyDescent="0.2">
      <c r="A1305" t="s">
        <v>2171</v>
      </c>
      <c r="B1305" s="1" t="s">
        <v>2172</v>
      </c>
      <c r="C1305" t="s">
        <v>2173</v>
      </c>
      <c r="D1305" s="1" t="s">
        <v>2</v>
      </c>
      <c r="E1305" t="b">
        <v>0</v>
      </c>
      <c r="F1305">
        <v>2</v>
      </c>
      <c r="G1305">
        <v>27</v>
      </c>
      <c r="H1305" t="s">
        <v>11</v>
      </c>
      <c r="I1305" t="b" cm="1">
        <f t="array" ref="I1305">isDup(B1305,B1306, 0.7)</f>
        <v>0</v>
      </c>
    </row>
    <row r="1306" spans="1:9" ht="34" x14ac:dyDescent="0.2">
      <c r="A1306" t="s">
        <v>2079</v>
      </c>
      <c r="B1306" s="1" t="s">
        <v>2080</v>
      </c>
      <c r="C1306" t="s">
        <v>2081</v>
      </c>
      <c r="D1306" s="1" t="s">
        <v>2</v>
      </c>
      <c r="E1306" t="b">
        <v>0</v>
      </c>
      <c r="F1306">
        <v>13</v>
      </c>
      <c r="G1306">
        <v>26</v>
      </c>
      <c r="H1306" t="s">
        <v>11</v>
      </c>
      <c r="I1306" t="b" cm="1">
        <f t="array" ref="I1306">isDup(B1306,B1307, 0.7)</f>
        <v>0</v>
      </c>
    </row>
    <row r="1307" spans="1:9" ht="34" x14ac:dyDescent="0.2">
      <c r="A1307" t="s">
        <v>149</v>
      </c>
      <c r="B1307" s="1" t="s">
        <v>150</v>
      </c>
      <c r="C1307" t="s">
        <v>151</v>
      </c>
      <c r="D1307" s="1" t="s">
        <v>152</v>
      </c>
      <c r="E1307" t="b">
        <v>0</v>
      </c>
      <c r="F1307">
        <v>2748</v>
      </c>
      <c r="G1307">
        <v>1544</v>
      </c>
      <c r="H1307" t="s">
        <v>11</v>
      </c>
      <c r="I1307" t="b" cm="1">
        <f t="array" ref="I1307">isDup(B1307,B1308, 0.7)</f>
        <v>0</v>
      </c>
    </row>
    <row r="1308" spans="1:9" ht="17" x14ac:dyDescent="0.2">
      <c r="A1308" t="s">
        <v>1670</v>
      </c>
      <c r="B1308" s="1" t="s">
        <v>1671</v>
      </c>
      <c r="C1308" t="s">
        <v>1672</v>
      </c>
      <c r="D1308" s="1" t="s">
        <v>2</v>
      </c>
      <c r="E1308" t="b">
        <v>0</v>
      </c>
      <c r="F1308">
        <v>10</v>
      </c>
      <c r="G1308">
        <v>110</v>
      </c>
      <c r="H1308" t="s">
        <v>11</v>
      </c>
      <c r="I1308" t="b" cm="1">
        <f t="array" ref="I1308">isDup(B1308,B1309, 0.7)</f>
        <v>0</v>
      </c>
    </row>
    <row r="1309" spans="1:9" ht="17" x14ac:dyDescent="0.2">
      <c r="A1309" t="s">
        <v>3950</v>
      </c>
      <c r="B1309" s="1" t="s">
        <v>3951</v>
      </c>
      <c r="C1309" t="s">
        <v>461</v>
      </c>
      <c r="D1309" s="1" t="s">
        <v>2</v>
      </c>
      <c r="E1309" t="b">
        <v>0</v>
      </c>
      <c r="F1309">
        <v>27</v>
      </c>
      <c r="G1309">
        <v>162</v>
      </c>
      <c r="H1309" t="s">
        <v>11</v>
      </c>
      <c r="I1309" t="b" cm="1">
        <f t="array" ref="I1309">isDup(B1309,B1310, 0.7)</f>
        <v>0</v>
      </c>
    </row>
    <row r="1310" spans="1:9" ht="17" x14ac:dyDescent="0.2">
      <c r="A1310" t="s">
        <v>5797</v>
      </c>
      <c r="B1310" s="1" t="s">
        <v>5798</v>
      </c>
      <c r="C1310" t="s">
        <v>992</v>
      </c>
      <c r="D1310" s="1" t="s">
        <v>2</v>
      </c>
      <c r="E1310" t="b">
        <v>0</v>
      </c>
      <c r="F1310">
        <v>355</v>
      </c>
      <c r="G1310">
        <v>880</v>
      </c>
      <c r="H1310" t="s">
        <v>11</v>
      </c>
      <c r="I1310" t="b" cm="1">
        <f t="array" ref="I1310">isDup(B1310,B1311, 0.7)</f>
        <v>0</v>
      </c>
    </row>
    <row r="1311" spans="1:9" ht="17" x14ac:dyDescent="0.2">
      <c r="A1311" t="s">
        <v>4185</v>
      </c>
      <c r="B1311" s="1" t="s">
        <v>4186</v>
      </c>
      <c r="C1311" t="s">
        <v>2607</v>
      </c>
      <c r="D1311" s="1" t="s">
        <v>2</v>
      </c>
      <c r="E1311" t="b">
        <v>0</v>
      </c>
      <c r="F1311">
        <v>9717</v>
      </c>
      <c r="G1311">
        <v>45</v>
      </c>
      <c r="H1311" t="s">
        <v>11</v>
      </c>
      <c r="I1311" t="b" cm="1">
        <f t="array" ref="I1311">isDup(B1311,B1312, 0.7)</f>
        <v>0</v>
      </c>
    </row>
    <row r="1312" spans="1:9" ht="34" x14ac:dyDescent="0.2">
      <c r="A1312" t="s">
        <v>2901</v>
      </c>
      <c r="B1312" s="1" t="s">
        <v>2902</v>
      </c>
      <c r="C1312" t="s">
        <v>1091</v>
      </c>
      <c r="D1312" s="1" t="s">
        <v>2903</v>
      </c>
      <c r="E1312" t="b">
        <v>0</v>
      </c>
      <c r="F1312">
        <v>1195</v>
      </c>
      <c r="G1312">
        <v>468</v>
      </c>
      <c r="H1312" t="s">
        <v>11</v>
      </c>
      <c r="I1312" t="b" cm="1">
        <f t="array" ref="I1312">isDup(B1312,B1313, 0.7)</f>
        <v>0</v>
      </c>
    </row>
    <row r="1313" spans="1:9" ht="17" x14ac:dyDescent="0.2">
      <c r="A1313" t="s">
        <v>2610</v>
      </c>
      <c r="B1313" s="1" t="s">
        <v>2611</v>
      </c>
      <c r="C1313" t="s">
        <v>2612</v>
      </c>
      <c r="D1313" s="1" t="s">
        <v>2</v>
      </c>
      <c r="E1313" t="b">
        <v>0</v>
      </c>
      <c r="F1313">
        <v>625</v>
      </c>
      <c r="G1313">
        <v>478</v>
      </c>
      <c r="H1313" t="s">
        <v>11</v>
      </c>
      <c r="I1313" t="b" cm="1">
        <f t="array" ref="I1313">isDup(B1313,B1314, 0.7)</f>
        <v>0</v>
      </c>
    </row>
    <row r="1314" spans="1:9" ht="17" x14ac:dyDescent="0.2">
      <c r="A1314" t="s">
        <v>1773</v>
      </c>
      <c r="B1314" s="1" t="s">
        <v>1774</v>
      </c>
      <c r="C1314" t="s">
        <v>675</v>
      </c>
      <c r="D1314" s="1" t="s">
        <v>1775</v>
      </c>
      <c r="E1314" t="b">
        <v>0</v>
      </c>
      <c r="F1314">
        <v>102</v>
      </c>
      <c r="G1314">
        <v>144</v>
      </c>
      <c r="H1314" t="s">
        <v>11</v>
      </c>
      <c r="I1314" t="b" cm="1">
        <f t="array" ref="I1314">isDup(B1314,B1315, 0.7)</f>
        <v>0</v>
      </c>
    </row>
    <row r="1315" spans="1:9" ht="17" x14ac:dyDescent="0.2">
      <c r="A1315" t="s">
        <v>1084</v>
      </c>
      <c r="B1315" s="1" t="s">
        <v>1085</v>
      </c>
      <c r="C1315" t="s">
        <v>1086</v>
      </c>
      <c r="D1315" s="1" t="s">
        <v>1087</v>
      </c>
      <c r="E1315" t="b">
        <v>0</v>
      </c>
      <c r="F1315">
        <v>15</v>
      </c>
      <c r="G1315">
        <v>2</v>
      </c>
      <c r="H1315" t="s">
        <v>1088</v>
      </c>
      <c r="I1315" t="b" cm="1">
        <f t="array" ref="I1315">isDup(B1315,B1316, 0.7)</f>
        <v>0</v>
      </c>
    </row>
    <row r="1316" spans="1:9" ht="17" x14ac:dyDescent="0.2">
      <c r="A1316" t="s">
        <v>1152</v>
      </c>
      <c r="B1316" s="1" t="s">
        <v>1153</v>
      </c>
      <c r="C1316" t="s">
        <v>1154</v>
      </c>
      <c r="D1316" s="1" t="s">
        <v>1155</v>
      </c>
      <c r="E1316" t="b">
        <v>0</v>
      </c>
      <c r="F1316">
        <v>139</v>
      </c>
      <c r="G1316">
        <v>306</v>
      </c>
      <c r="H1316" t="s">
        <v>11</v>
      </c>
      <c r="I1316" t="b" cm="1">
        <f t="array" ref="I1316">isDup(B1316,B1317, 0.7)</f>
        <v>0</v>
      </c>
    </row>
    <row r="1317" spans="1:9" ht="34" x14ac:dyDescent="0.2">
      <c r="A1317" t="s">
        <v>3070</v>
      </c>
      <c r="B1317" s="1" t="s">
        <v>3071</v>
      </c>
      <c r="C1317" t="s">
        <v>3072</v>
      </c>
      <c r="D1317" s="1" t="s">
        <v>506</v>
      </c>
      <c r="E1317" t="b">
        <v>0</v>
      </c>
      <c r="F1317">
        <v>7</v>
      </c>
      <c r="G1317">
        <v>35</v>
      </c>
      <c r="H1317" t="s">
        <v>11</v>
      </c>
      <c r="I1317" t="b" cm="1">
        <f t="array" ref="I1317">isDup(B1317,B1318, 0.7)</f>
        <v>0</v>
      </c>
    </row>
    <row r="1318" spans="1:9" ht="34" x14ac:dyDescent="0.2">
      <c r="A1318" t="s">
        <v>2340</v>
      </c>
      <c r="B1318" s="1" t="s">
        <v>2341</v>
      </c>
      <c r="C1318" t="s">
        <v>2342</v>
      </c>
      <c r="D1318" s="1" t="s">
        <v>2343</v>
      </c>
      <c r="E1318" t="b">
        <v>0</v>
      </c>
      <c r="F1318">
        <v>48</v>
      </c>
      <c r="G1318">
        <v>108</v>
      </c>
      <c r="H1318" t="s">
        <v>11</v>
      </c>
      <c r="I1318" t="b" cm="1">
        <f t="array" ref="I1318">isDup(B1318,B1319, 0.7)</f>
        <v>0</v>
      </c>
    </row>
    <row r="1319" spans="1:9" ht="17" x14ac:dyDescent="0.2">
      <c r="A1319" t="s">
        <v>2441</v>
      </c>
      <c r="B1319" s="1" t="s">
        <v>2442</v>
      </c>
      <c r="C1319" t="s">
        <v>2443</v>
      </c>
      <c r="D1319" s="1" t="s">
        <v>2</v>
      </c>
      <c r="E1319" t="b">
        <v>0</v>
      </c>
      <c r="F1319">
        <v>2</v>
      </c>
      <c r="G1319">
        <v>21</v>
      </c>
      <c r="H1319" t="s">
        <v>11</v>
      </c>
      <c r="I1319" t="b" cm="1">
        <f t="array" ref="I1319">isDup(B1319,B1320, 0.7)</f>
        <v>0</v>
      </c>
    </row>
    <row r="1320" spans="1:9" ht="34" x14ac:dyDescent="0.2">
      <c r="A1320" t="s">
        <v>2302</v>
      </c>
      <c r="B1320" s="1" t="s">
        <v>2303</v>
      </c>
      <c r="C1320" t="s">
        <v>587</v>
      </c>
      <c r="D1320" s="1" t="s">
        <v>2</v>
      </c>
      <c r="E1320" t="b">
        <v>0</v>
      </c>
      <c r="F1320">
        <v>4610</v>
      </c>
      <c r="G1320">
        <v>449</v>
      </c>
      <c r="H1320" t="s">
        <v>11</v>
      </c>
      <c r="I1320" t="b" cm="1">
        <f t="array" ref="I1320">isDup(B1320,B1321, 0.7)</f>
        <v>0</v>
      </c>
    </row>
    <row r="1321" spans="1:9" ht="17" x14ac:dyDescent="0.2">
      <c r="A1321" t="s">
        <v>317</v>
      </c>
      <c r="B1321" s="1" t="s">
        <v>318</v>
      </c>
      <c r="C1321" t="s">
        <v>319</v>
      </c>
      <c r="D1321" s="1" t="s">
        <v>2</v>
      </c>
      <c r="E1321" t="b">
        <v>0</v>
      </c>
      <c r="F1321">
        <v>18</v>
      </c>
      <c r="G1321">
        <v>74</v>
      </c>
      <c r="H1321" t="s">
        <v>11</v>
      </c>
      <c r="I1321" t="b" cm="1">
        <f t="array" ref="I1321">isDup(B1321,B1322, 0.7)</f>
        <v>0</v>
      </c>
    </row>
    <row r="1322" spans="1:9" ht="34" x14ac:dyDescent="0.2">
      <c r="A1322" t="s">
        <v>5662</v>
      </c>
      <c r="B1322" s="1" t="s">
        <v>5663</v>
      </c>
      <c r="C1322" t="s">
        <v>679</v>
      </c>
      <c r="D1322" s="1" t="s">
        <v>4139</v>
      </c>
      <c r="E1322" t="b">
        <v>0</v>
      </c>
      <c r="F1322">
        <v>354</v>
      </c>
      <c r="G1322">
        <v>291</v>
      </c>
      <c r="H1322" t="s">
        <v>11</v>
      </c>
      <c r="I1322" t="b" cm="1">
        <f t="array" ref="I1322">isDup(B1322,B1323, 0.7)</f>
        <v>0</v>
      </c>
    </row>
    <row r="1323" spans="1:9" ht="17" x14ac:dyDescent="0.2">
      <c r="A1323" t="s">
        <v>5111</v>
      </c>
      <c r="B1323" s="1" t="s">
        <v>5112</v>
      </c>
      <c r="C1323" t="s">
        <v>726</v>
      </c>
      <c r="D1323" s="1" t="s">
        <v>2</v>
      </c>
      <c r="E1323" t="b">
        <v>0</v>
      </c>
      <c r="F1323">
        <v>49</v>
      </c>
      <c r="G1323">
        <v>146</v>
      </c>
      <c r="H1323" t="s">
        <v>11</v>
      </c>
      <c r="I1323" t="b" cm="1">
        <f t="array" ref="I1323">isDup(B1323,B1324, 0.7)</f>
        <v>0</v>
      </c>
    </row>
    <row r="1324" spans="1:9" ht="34" x14ac:dyDescent="0.2">
      <c r="A1324" t="s">
        <v>6263</v>
      </c>
      <c r="B1324" s="1" t="s">
        <v>6264</v>
      </c>
      <c r="C1324" t="s">
        <v>4076</v>
      </c>
      <c r="D1324" s="1" t="s">
        <v>6265</v>
      </c>
      <c r="E1324" t="b">
        <v>0</v>
      </c>
      <c r="F1324">
        <v>138</v>
      </c>
      <c r="G1324">
        <v>588</v>
      </c>
      <c r="H1324" t="s">
        <v>1580</v>
      </c>
      <c r="I1324" t="b" cm="1">
        <f t="array" ref="I1324">isDup(B1324,B1325, 0.7)</f>
        <v>0</v>
      </c>
    </row>
    <row r="1325" spans="1:9" ht="34" x14ac:dyDescent="0.2">
      <c r="A1325" t="s">
        <v>2722</v>
      </c>
      <c r="B1325" s="1" t="s">
        <v>2723</v>
      </c>
      <c r="C1325" t="s">
        <v>2607</v>
      </c>
      <c r="D1325" s="1" t="s">
        <v>2724</v>
      </c>
      <c r="E1325" t="b">
        <v>0</v>
      </c>
      <c r="F1325">
        <v>35</v>
      </c>
      <c r="G1325">
        <v>274</v>
      </c>
      <c r="H1325" t="s">
        <v>11</v>
      </c>
      <c r="I1325" t="b" cm="1">
        <f t="array" ref="I1325">isDup(B1325,B1326, 0.7)</f>
        <v>0</v>
      </c>
    </row>
    <row r="1326" spans="1:9" ht="17" x14ac:dyDescent="0.2">
      <c r="A1326" t="s">
        <v>4894</v>
      </c>
      <c r="B1326" s="1" t="s">
        <v>4895</v>
      </c>
      <c r="C1326" t="s">
        <v>3439</v>
      </c>
      <c r="D1326" s="1" t="s">
        <v>168</v>
      </c>
      <c r="E1326" t="b">
        <v>0</v>
      </c>
      <c r="F1326">
        <v>184</v>
      </c>
      <c r="G1326">
        <v>268</v>
      </c>
      <c r="H1326" t="s">
        <v>11</v>
      </c>
      <c r="I1326" t="b" cm="1">
        <f t="array" ref="I1326">isDup(B1326,B1327, 0.7)</f>
        <v>0</v>
      </c>
    </row>
    <row r="1327" spans="1:9" ht="17" x14ac:dyDescent="0.2">
      <c r="A1327" t="s">
        <v>5458</v>
      </c>
      <c r="B1327" s="1" t="s">
        <v>5459</v>
      </c>
      <c r="C1327" t="s">
        <v>5460</v>
      </c>
      <c r="D1327" s="1" t="s">
        <v>5461</v>
      </c>
      <c r="E1327" t="b">
        <v>0</v>
      </c>
      <c r="F1327">
        <v>8588</v>
      </c>
      <c r="G1327">
        <v>1223</v>
      </c>
      <c r="H1327" t="s">
        <v>11</v>
      </c>
      <c r="I1327" t="b" cm="1">
        <f t="array" ref="I1327">isDup(B1327,B1328, 0.7)</f>
        <v>0</v>
      </c>
    </row>
    <row r="1328" spans="1:9" ht="17" x14ac:dyDescent="0.2">
      <c r="A1328" t="s">
        <v>4159</v>
      </c>
      <c r="B1328" s="1" t="s">
        <v>4160</v>
      </c>
      <c r="C1328" t="s">
        <v>4161</v>
      </c>
      <c r="D1328" s="1" t="s">
        <v>2</v>
      </c>
      <c r="E1328" t="b">
        <v>0</v>
      </c>
      <c r="F1328">
        <v>413</v>
      </c>
      <c r="G1328">
        <v>379</v>
      </c>
      <c r="H1328" t="s">
        <v>11</v>
      </c>
      <c r="I1328" t="b" cm="1">
        <f t="array" ref="I1328">isDup(B1328,B1329, 0.7)</f>
        <v>0</v>
      </c>
    </row>
    <row r="1329" spans="1:9" ht="34" x14ac:dyDescent="0.2">
      <c r="A1329" t="s">
        <v>2114</v>
      </c>
      <c r="B1329" s="1" t="s">
        <v>2115</v>
      </c>
      <c r="C1329" t="s">
        <v>2116</v>
      </c>
      <c r="D1329" s="1" t="s">
        <v>2117</v>
      </c>
      <c r="E1329" t="b">
        <v>0</v>
      </c>
      <c r="F1329">
        <v>173</v>
      </c>
      <c r="G1329">
        <v>291</v>
      </c>
      <c r="H1329" t="s">
        <v>11</v>
      </c>
      <c r="I1329" t="b" cm="1">
        <f t="array" ref="I1329">isDup(B1329,B1330, 0.7)</f>
        <v>0</v>
      </c>
    </row>
    <row r="1330" spans="1:9" ht="17" x14ac:dyDescent="0.2">
      <c r="A1330" t="s">
        <v>2581</v>
      </c>
      <c r="B1330" s="1" t="s">
        <v>2582</v>
      </c>
      <c r="C1330" t="s">
        <v>2583</v>
      </c>
      <c r="D1330" s="1" t="s">
        <v>2584</v>
      </c>
      <c r="E1330" t="b">
        <v>0</v>
      </c>
      <c r="F1330">
        <v>7</v>
      </c>
      <c r="G1330">
        <v>44</v>
      </c>
      <c r="H1330" t="s">
        <v>11</v>
      </c>
      <c r="I1330" t="b" cm="1">
        <f t="array" ref="I1330">isDup(B1330,B1331, 0.7)</f>
        <v>0</v>
      </c>
    </row>
    <row r="1331" spans="1:9" ht="17" x14ac:dyDescent="0.2">
      <c r="A1331" t="s">
        <v>339</v>
      </c>
      <c r="B1331" s="1" t="s">
        <v>340</v>
      </c>
      <c r="C1331" t="s">
        <v>341</v>
      </c>
      <c r="D1331" s="1" t="s">
        <v>342</v>
      </c>
      <c r="E1331" t="b">
        <v>0</v>
      </c>
      <c r="F1331">
        <v>594</v>
      </c>
      <c r="G1331">
        <v>80</v>
      </c>
      <c r="H1331" t="s">
        <v>11</v>
      </c>
      <c r="I1331" t="b" cm="1">
        <f t="array" ref="I1331">isDup(B1331,B1332, 0.7)</f>
        <v>0</v>
      </c>
    </row>
    <row r="1332" spans="1:9" ht="17" x14ac:dyDescent="0.2">
      <c r="A1332" t="s">
        <v>1093</v>
      </c>
      <c r="B1332" s="1" t="s">
        <v>1094</v>
      </c>
      <c r="C1332" t="s">
        <v>1095</v>
      </c>
      <c r="D1332" s="1" t="s">
        <v>1096</v>
      </c>
      <c r="E1332" t="b">
        <v>0</v>
      </c>
      <c r="F1332">
        <v>1700</v>
      </c>
      <c r="G1332">
        <v>328</v>
      </c>
      <c r="H1332" t="s">
        <v>11</v>
      </c>
      <c r="I1332" t="b" cm="1">
        <f t="array" ref="I1332">isDup(B1332,B1333, 0.7)</f>
        <v>0</v>
      </c>
    </row>
    <row r="1333" spans="1:9" ht="17" x14ac:dyDescent="0.2">
      <c r="A1333" t="s">
        <v>2557</v>
      </c>
      <c r="B1333" s="1" t="s">
        <v>2558</v>
      </c>
      <c r="C1333" t="s">
        <v>617</v>
      </c>
      <c r="D1333" s="1" t="s">
        <v>2</v>
      </c>
      <c r="E1333" t="b">
        <v>0</v>
      </c>
      <c r="F1333">
        <v>818</v>
      </c>
      <c r="G1333">
        <v>160</v>
      </c>
      <c r="H1333" t="s">
        <v>11</v>
      </c>
      <c r="I1333" t="b" cm="1">
        <f t="array" ref="I1333">isDup(B1333,B1334, 0.7)</f>
        <v>0</v>
      </c>
    </row>
    <row r="1334" spans="1:9" ht="17" x14ac:dyDescent="0.2">
      <c r="A1334" t="s">
        <v>812</v>
      </c>
      <c r="B1334" s="1" t="s">
        <v>813</v>
      </c>
      <c r="C1334" t="s">
        <v>814</v>
      </c>
      <c r="D1334" s="1" t="s">
        <v>2</v>
      </c>
      <c r="E1334" t="b">
        <v>0</v>
      </c>
      <c r="F1334">
        <v>49</v>
      </c>
      <c r="G1334">
        <v>172</v>
      </c>
      <c r="H1334" t="s">
        <v>11</v>
      </c>
      <c r="I1334" t="b" cm="1">
        <f t="array" ref="I1334">isDup(B1334,B1335, 0.7)</f>
        <v>0</v>
      </c>
    </row>
    <row r="1335" spans="1:9" ht="34" x14ac:dyDescent="0.2">
      <c r="A1335" t="s">
        <v>7145</v>
      </c>
      <c r="B1335" s="1" t="s">
        <v>7146</v>
      </c>
      <c r="C1335" t="s">
        <v>3425</v>
      </c>
      <c r="D1335" s="1" t="s">
        <v>7147</v>
      </c>
      <c r="E1335" t="b">
        <v>0</v>
      </c>
      <c r="F1335">
        <v>41350</v>
      </c>
      <c r="G1335">
        <v>974</v>
      </c>
      <c r="H1335" t="s">
        <v>11</v>
      </c>
      <c r="I1335" t="b" cm="1">
        <f t="array" ref="I1335">isDup(B1335,B1336, 0.7)</f>
        <v>0</v>
      </c>
    </row>
    <row r="1336" spans="1:9" ht="34" x14ac:dyDescent="0.2">
      <c r="A1336" t="s">
        <v>5288</v>
      </c>
      <c r="B1336" s="1" t="s">
        <v>5289</v>
      </c>
      <c r="C1336" t="s">
        <v>617</v>
      </c>
      <c r="D1336" s="1" t="s">
        <v>5248</v>
      </c>
      <c r="E1336" t="b">
        <v>0</v>
      </c>
      <c r="F1336">
        <v>329</v>
      </c>
      <c r="G1336">
        <v>294</v>
      </c>
      <c r="H1336" t="s">
        <v>110</v>
      </c>
      <c r="I1336" t="b" cm="1">
        <f t="array" ref="I1336">isDup(B1336,B1337, 0.7)</f>
        <v>0</v>
      </c>
    </row>
    <row r="1337" spans="1:9" ht="17" x14ac:dyDescent="0.2">
      <c r="A1337" t="s">
        <v>870</v>
      </c>
      <c r="B1337" s="1" t="s">
        <v>871</v>
      </c>
      <c r="C1337" t="s">
        <v>872</v>
      </c>
      <c r="D1337" s="1" t="s">
        <v>2</v>
      </c>
      <c r="E1337" t="b">
        <v>0</v>
      </c>
      <c r="F1337">
        <v>94</v>
      </c>
      <c r="G1337">
        <v>221</v>
      </c>
      <c r="H1337" t="s">
        <v>11</v>
      </c>
      <c r="I1337" t="b" cm="1">
        <f t="array" ref="I1337">isDup(B1337,B1338, 0.7)</f>
        <v>0</v>
      </c>
    </row>
    <row r="1338" spans="1:9" ht="34" x14ac:dyDescent="0.2">
      <c r="A1338" t="s">
        <v>4675</v>
      </c>
      <c r="B1338" s="1" t="s">
        <v>4676</v>
      </c>
      <c r="C1338" t="s">
        <v>181</v>
      </c>
      <c r="D1338" s="1" t="s">
        <v>4677</v>
      </c>
      <c r="E1338" t="b">
        <v>1</v>
      </c>
      <c r="F1338">
        <v>1809</v>
      </c>
      <c r="G1338">
        <v>1138</v>
      </c>
      <c r="H1338" t="s">
        <v>11</v>
      </c>
      <c r="I1338" t="b" cm="1">
        <f t="array" ref="I1338">isDup(B1338,B1339, 0.7)</f>
        <v>0</v>
      </c>
    </row>
    <row r="1339" spans="1:9" ht="17" x14ac:dyDescent="0.2">
      <c r="A1339" t="s">
        <v>6978</v>
      </c>
      <c r="B1339" s="1" t="s">
        <v>6979</v>
      </c>
      <c r="C1339" t="s">
        <v>6714</v>
      </c>
      <c r="D1339" s="1" t="s">
        <v>6980</v>
      </c>
      <c r="E1339" t="b">
        <v>0</v>
      </c>
      <c r="F1339">
        <v>585</v>
      </c>
      <c r="G1339">
        <v>468</v>
      </c>
      <c r="H1339" t="s">
        <v>11</v>
      </c>
      <c r="I1339" t="b" cm="1">
        <f t="array" ref="I1339">isDup(B1339,B1340, 0.7)</f>
        <v>0</v>
      </c>
    </row>
    <row r="1340" spans="1:9" ht="17" x14ac:dyDescent="0.2">
      <c r="A1340" t="s">
        <v>6254</v>
      </c>
      <c r="B1340" s="1" t="s">
        <v>6255</v>
      </c>
      <c r="C1340" t="s">
        <v>6256</v>
      </c>
      <c r="D1340" s="1" t="s">
        <v>6257</v>
      </c>
      <c r="E1340" t="b">
        <v>0</v>
      </c>
      <c r="F1340">
        <v>75</v>
      </c>
      <c r="G1340">
        <v>186</v>
      </c>
      <c r="H1340" t="s">
        <v>47</v>
      </c>
      <c r="I1340" t="b" cm="1">
        <f t="array" ref="I1340">isDup(B1340,B1341, 0.7)</f>
        <v>0</v>
      </c>
    </row>
    <row r="1341" spans="1:9" ht="34" x14ac:dyDescent="0.2">
      <c r="A1341" t="s">
        <v>589</v>
      </c>
      <c r="B1341" s="1" t="s">
        <v>590</v>
      </c>
      <c r="C1341" t="s">
        <v>591</v>
      </c>
      <c r="D1341" s="1" t="s">
        <v>2</v>
      </c>
      <c r="E1341" t="b">
        <v>0</v>
      </c>
      <c r="F1341">
        <v>327</v>
      </c>
      <c r="G1341">
        <v>372</v>
      </c>
      <c r="H1341" t="s">
        <v>11</v>
      </c>
      <c r="I1341" t="b" cm="1">
        <f t="array" ref="I1341">isDup(B1341,B1342, 0.7)</f>
        <v>0</v>
      </c>
    </row>
    <row r="1342" spans="1:9" ht="17" x14ac:dyDescent="0.2">
      <c r="A1342" t="s">
        <v>6559</v>
      </c>
      <c r="B1342" s="1" t="s">
        <v>6560</v>
      </c>
      <c r="C1342" t="s">
        <v>151</v>
      </c>
      <c r="D1342" s="1" t="s">
        <v>178</v>
      </c>
      <c r="E1342" t="b">
        <v>0</v>
      </c>
      <c r="F1342">
        <v>362</v>
      </c>
      <c r="G1342">
        <v>25</v>
      </c>
      <c r="H1342" t="s">
        <v>11</v>
      </c>
      <c r="I1342" t="b" cm="1">
        <f t="array" ref="I1342">isDup(B1342,B1343, 0.7)</f>
        <v>0</v>
      </c>
    </row>
    <row r="1343" spans="1:9" ht="17" x14ac:dyDescent="0.2">
      <c r="A1343" t="s">
        <v>6582</v>
      </c>
      <c r="B1343" s="1" t="s">
        <v>6583</v>
      </c>
      <c r="C1343" t="s">
        <v>151</v>
      </c>
      <c r="D1343" s="1" t="s">
        <v>178</v>
      </c>
      <c r="E1343" t="b">
        <v>0</v>
      </c>
      <c r="F1343">
        <v>362</v>
      </c>
      <c r="G1343">
        <v>25</v>
      </c>
      <c r="H1343" t="s">
        <v>11</v>
      </c>
      <c r="I1343" t="b" cm="1">
        <f t="array" ref="I1343">isDup(B1343,B1344, 0.7)</f>
        <v>0</v>
      </c>
    </row>
    <row r="1344" spans="1:9" ht="34" x14ac:dyDescent="0.2">
      <c r="A1344" t="s">
        <v>1895</v>
      </c>
      <c r="B1344" s="1" t="s">
        <v>1896</v>
      </c>
      <c r="C1344" t="s">
        <v>1324</v>
      </c>
      <c r="D1344" s="1" t="s">
        <v>1897</v>
      </c>
      <c r="E1344" t="b">
        <v>0</v>
      </c>
      <c r="F1344">
        <v>97</v>
      </c>
      <c r="G1344">
        <v>89</v>
      </c>
      <c r="H1344" t="s">
        <v>11</v>
      </c>
      <c r="I1344" t="b" cm="1">
        <f t="array" ref="I1344">isDup(B1344,B1345, 0.7)</f>
        <v>0</v>
      </c>
    </row>
    <row r="1345" spans="1:9" ht="17" x14ac:dyDescent="0.2">
      <c r="A1345" t="s">
        <v>2439</v>
      </c>
      <c r="B1345" s="1" t="s">
        <v>2440</v>
      </c>
      <c r="C1345" t="s">
        <v>1858</v>
      </c>
      <c r="D1345" s="1" t="s">
        <v>216</v>
      </c>
      <c r="E1345" t="b">
        <v>0</v>
      </c>
      <c r="F1345">
        <v>580</v>
      </c>
      <c r="G1345">
        <v>501</v>
      </c>
      <c r="H1345" t="s">
        <v>11</v>
      </c>
      <c r="I1345" t="b" cm="1">
        <f t="array" ref="I1345">isDup(B1345,B1346, 0.7)</f>
        <v>0</v>
      </c>
    </row>
    <row r="1346" spans="1:9" ht="17" x14ac:dyDescent="0.2">
      <c r="A1346" t="s">
        <v>1414</v>
      </c>
      <c r="B1346" s="1" t="s">
        <v>1415</v>
      </c>
      <c r="C1346" t="s">
        <v>1416</v>
      </c>
      <c r="D1346" s="1" t="s">
        <v>546</v>
      </c>
      <c r="E1346" t="b">
        <v>0</v>
      </c>
      <c r="F1346">
        <v>501</v>
      </c>
      <c r="G1346">
        <v>641</v>
      </c>
      <c r="H1346" t="s">
        <v>11</v>
      </c>
      <c r="I1346" t="b" cm="1">
        <f t="array" ref="I1346">isDup(B1346,B1347, 0.7)</f>
        <v>0</v>
      </c>
    </row>
    <row r="1347" spans="1:9" ht="34" x14ac:dyDescent="0.2">
      <c r="A1347" t="s">
        <v>1146</v>
      </c>
      <c r="B1347" s="1" t="s">
        <v>1147</v>
      </c>
      <c r="C1347" t="s">
        <v>1148</v>
      </c>
      <c r="D1347" s="1" t="s">
        <v>1149</v>
      </c>
      <c r="E1347" t="b">
        <v>0</v>
      </c>
      <c r="F1347">
        <v>413</v>
      </c>
      <c r="G1347">
        <v>784</v>
      </c>
      <c r="H1347" t="s">
        <v>11</v>
      </c>
      <c r="I1347" t="b" cm="1">
        <f t="array" ref="I1347">isDup(B1347,B1348, 0.7)</f>
        <v>0</v>
      </c>
    </row>
    <row r="1348" spans="1:9" ht="34" x14ac:dyDescent="0.2">
      <c r="A1348" t="s">
        <v>695</v>
      </c>
      <c r="B1348" s="1" t="s">
        <v>696</v>
      </c>
      <c r="C1348" t="s">
        <v>697</v>
      </c>
      <c r="D1348" s="1" t="s">
        <v>659</v>
      </c>
      <c r="E1348" t="b">
        <v>0</v>
      </c>
      <c r="F1348">
        <v>85</v>
      </c>
      <c r="G1348">
        <v>79</v>
      </c>
      <c r="H1348" t="s">
        <v>11</v>
      </c>
      <c r="I1348" t="b" cm="1">
        <f t="array" ref="I1348">isDup(B1348,B1349, 0.7)</f>
        <v>0</v>
      </c>
    </row>
    <row r="1349" spans="1:9" ht="17" x14ac:dyDescent="0.2">
      <c r="A1349" t="s">
        <v>3472</v>
      </c>
      <c r="B1349" s="1" t="s">
        <v>3473</v>
      </c>
      <c r="C1349" t="s">
        <v>3474</v>
      </c>
      <c r="D1349" s="1" t="s">
        <v>2</v>
      </c>
      <c r="E1349" t="b">
        <v>0</v>
      </c>
      <c r="F1349">
        <v>2</v>
      </c>
      <c r="G1349">
        <v>24</v>
      </c>
      <c r="H1349" t="s">
        <v>11</v>
      </c>
      <c r="I1349" t="b" cm="1">
        <f t="array" ref="I1349">isDup(B1349,B1350, 0.7)</f>
        <v>0</v>
      </c>
    </row>
    <row r="1350" spans="1:9" ht="17" x14ac:dyDescent="0.2">
      <c r="A1350" t="s">
        <v>3398</v>
      </c>
      <c r="B1350" s="1" t="s">
        <v>3399</v>
      </c>
      <c r="C1350" t="s">
        <v>3400</v>
      </c>
      <c r="D1350" s="1" t="s">
        <v>3401</v>
      </c>
      <c r="E1350" t="b">
        <v>0</v>
      </c>
      <c r="F1350">
        <v>474</v>
      </c>
      <c r="G1350">
        <v>748</v>
      </c>
      <c r="H1350" t="s">
        <v>11</v>
      </c>
      <c r="I1350" t="b" cm="1">
        <f t="array" ref="I1350">isDup(B1350,B1351, 0.7)</f>
        <v>0</v>
      </c>
    </row>
    <row r="1351" spans="1:9" ht="34" x14ac:dyDescent="0.2">
      <c r="A1351" t="s">
        <v>1308</v>
      </c>
      <c r="B1351" s="1" t="s">
        <v>1309</v>
      </c>
      <c r="C1351" t="s">
        <v>345</v>
      </c>
      <c r="D1351" s="1" t="s">
        <v>1310</v>
      </c>
      <c r="E1351" t="b">
        <v>0</v>
      </c>
      <c r="F1351">
        <v>785</v>
      </c>
      <c r="G1351">
        <v>682</v>
      </c>
      <c r="H1351" t="s">
        <v>11</v>
      </c>
      <c r="I1351" t="b" cm="1">
        <f t="array" ref="I1351">isDup(B1351,B1352, 0.7)</f>
        <v>0</v>
      </c>
    </row>
    <row r="1352" spans="1:9" ht="34" x14ac:dyDescent="0.2">
      <c r="A1352" t="s">
        <v>6330</v>
      </c>
      <c r="B1352" s="1" t="s">
        <v>6331</v>
      </c>
      <c r="C1352" t="s">
        <v>5101</v>
      </c>
      <c r="D1352" s="1" t="s">
        <v>6332</v>
      </c>
      <c r="E1352" t="b">
        <v>0</v>
      </c>
      <c r="F1352">
        <v>1414</v>
      </c>
      <c r="G1352">
        <v>413</v>
      </c>
      <c r="H1352" t="s">
        <v>11</v>
      </c>
      <c r="I1352" t="b" cm="1">
        <f t="array" ref="I1352">isDup(B1352,B1353, 0.7)</f>
        <v>0</v>
      </c>
    </row>
    <row r="1353" spans="1:9" ht="34" x14ac:dyDescent="0.2">
      <c r="A1353" t="s">
        <v>3632</v>
      </c>
      <c r="B1353" s="1" t="s">
        <v>3633</v>
      </c>
      <c r="C1353" t="s">
        <v>2595</v>
      </c>
      <c r="D1353" s="1" t="s">
        <v>2</v>
      </c>
      <c r="E1353" t="b">
        <v>0</v>
      </c>
      <c r="F1353">
        <v>502</v>
      </c>
      <c r="G1353">
        <v>1865</v>
      </c>
      <c r="H1353" t="s">
        <v>11</v>
      </c>
      <c r="I1353" t="b" cm="1">
        <f t="array" ref="I1353">isDup(B1353,B1354, 0.7)</f>
        <v>0</v>
      </c>
    </row>
    <row r="1354" spans="1:9" ht="17" x14ac:dyDescent="0.2">
      <c r="A1354" t="s">
        <v>4423</v>
      </c>
      <c r="B1354" s="1" t="s">
        <v>4424</v>
      </c>
      <c r="C1354" t="s">
        <v>4425</v>
      </c>
      <c r="D1354" s="1" t="s">
        <v>2276</v>
      </c>
      <c r="E1354" t="b">
        <v>0</v>
      </c>
      <c r="F1354">
        <v>512</v>
      </c>
      <c r="G1354">
        <v>786</v>
      </c>
      <c r="H1354" t="s">
        <v>11</v>
      </c>
      <c r="I1354" t="b" cm="1">
        <f t="array" ref="I1354">isDup(B1354,B1355, 0.7)</f>
        <v>0</v>
      </c>
    </row>
    <row r="1355" spans="1:9" ht="17" x14ac:dyDescent="0.2">
      <c r="A1355" t="s">
        <v>6521</v>
      </c>
      <c r="B1355" s="1" t="s">
        <v>6525</v>
      </c>
      <c r="C1355" t="s">
        <v>2300</v>
      </c>
      <c r="E1355" t="b">
        <v>0</v>
      </c>
      <c r="F1355">
        <v>548</v>
      </c>
      <c r="G1355">
        <v>932</v>
      </c>
      <c r="H1355" t="s">
        <v>31</v>
      </c>
      <c r="I1355" t="b" cm="1">
        <f t="array" ref="I1355">isDup(B1355,B1356, 0.7)</f>
        <v>0</v>
      </c>
    </row>
    <row r="1356" spans="1:9" ht="17" x14ac:dyDescent="0.2">
      <c r="A1356" t="s">
        <v>2786</v>
      </c>
      <c r="B1356" s="1" t="s">
        <v>2787</v>
      </c>
      <c r="C1356" t="s">
        <v>2151</v>
      </c>
      <c r="D1356" s="1" t="s">
        <v>1960</v>
      </c>
      <c r="E1356" t="b">
        <v>0</v>
      </c>
      <c r="F1356">
        <v>137</v>
      </c>
      <c r="G1356">
        <v>513</v>
      </c>
      <c r="H1356" t="s">
        <v>11</v>
      </c>
      <c r="I1356" t="b" cm="1">
        <f t="array" ref="I1356">isDup(B1356,B1357, 0.7)</f>
        <v>0</v>
      </c>
    </row>
    <row r="1357" spans="1:9" ht="34" x14ac:dyDescent="0.2">
      <c r="A1357" t="s">
        <v>4986</v>
      </c>
      <c r="B1357" s="1" t="s">
        <v>4987</v>
      </c>
      <c r="C1357" t="s">
        <v>4013</v>
      </c>
      <c r="D1357" s="1" t="s">
        <v>3601</v>
      </c>
      <c r="E1357" t="b">
        <v>0</v>
      </c>
      <c r="F1357">
        <v>1309</v>
      </c>
      <c r="G1357">
        <v>4954</v>
      </c>
      <c r="H1357" t="s">
        <v>11</v>
      </c>
      <c r="I1357" t="b" cm="1">
        <f t="array" ref="I1357">isDup(B1357,B1358, 0.7)</f>
        <v>0</v>
      </c>
    </row>
    <row r="1358" spans="1:9" ht="17" x14ac:dyDescent="0.2">
      <c r="A1358" t="s">
        <v>1466</v>
      </c>
      <c r="B1358" s="1" t="s">
        <v>1467</v>
      </c>
      <c r="C1358" t="s">
        <v>1468</v>
      </c>
      <c r="D1358" s="1" t="s">
        <v>1469</v>
      </c>
      <c r="E1358" t="b">
        <v>0</v>
      </c>
      <c r="F1358">
        <v>285</v>
      </c>
      <c r="G1358">
        <v>608</v>
      </c>
      <c r="H1358" t="s">
        <v>11</v>
      </c>
      <c r="I1358" t="b" cm="1">
        <f t="array" ref="I1358">isDup(B1358,B1359, 0.7)</f>
        <v>0</v>
      </c>
    </row>
    <row r="1359" spans="1:9" ht="17" x14ac:dyDescent="0.2">
      <c r="A1359" t="s">
        <v>5847</v>
      </c>
      <c r="B1359" s="1" t="s">
        <v>5848</v>
      </c>
      <c r="C1359" t="s">
        <v>1808</v>
      </c>
      <c r="D1359" s="1" t="s">
        <v>2</v>
      </c>
      <c r="E1359" t="b">
        <v>0</v>
      </c>
      <c r="F1359">
        <v>5</v>
      </c>
      <c r="G1359">
        <v>56</v>
      </c>
      <c r="H1359" t="s">
        <v>11</v>
      </c>
      <c r="I1359" t="b" cm="1">
        <f t="array" ref="I1359">isDup(B1359,B1360, 0.7)</f>
        <v>0</v>
      </c>
    </row>
    <row r="1360" spans="1:9" ht="17" x14ac:dyDescent="0.2">
      <c r="A1360" t="s">
        <v>1399</v>
      </c>
      <c r="B1360" s="1" t="s">
        <v>1400</v>
      </c>
      <c r="C1360" t="s">
        <v>1401</v>
      </c>
      <c r="D1360" s="1" t="s">
        <v>1402</v>
      </c>
      <c r="E1360" t="b">
        <v>0</v>
      </c>
      <c r="F1360">
        <v>243</v>
      </c>
      <c r="G1360">
        <v>307</v>
      </c>
      <c r="H1360" t="s">
        <v>11</v>
      </c>
      <c r="I1360" t="b" cm="1">
        <f t="array" ref="I1360">isDup(B1360,B1361, 0.7)</f>
        <v>0</v>
      </c>
    </row>
    <row r="1361" spans="1:9" ht="17" x14ac:dyDescent="0.2">
      <c r="A1361" t="s">
        <v>7162</v>
      </c>
      <c r="B1361" s="1" t="s">
        <v>7163</v>
      </c>
      <c r="C1361" t="s">
        <v>5296</v>
      </c>
      <c r="D1361" s="1" t="s">
        <v>5297</v>
      </c>
      <c r="E1361" t="b">
        <v>0</v>
      </c>
      <c r="F1361">
        <v>41</v>
      </c>
      <c r="G1361">
        <v>178</v>
      </c>
      <c r="H1361" t="s">
        <v>11</v>
      </c>
      <c r="I1361" t="b" cm="1">
        <f t="array" ref="I1361">isDup(B1361,B1362, 0.7)</f>
        <v>0</v>
      </c>
    </row>
    <row r="1362" spans="1:9" ht="17" x14ac:dyDescent="0.2">
      <c r="A1362" t="s">
        <v>794</v>
      </c>
      <c r="B1362" s="1" t="s">
        <v>795</v>
      </c>
      <c r="C1362" t="s">
        <v>796</v>
      </c>
      <c r="D1362" s="1" t="s">
        <v>797</v>
      </c>
      <c r="E1362" t="b">
        <v>0</v>
      </c>
      <c r="F1362">
        <v>147</v>
      </c>
      <c r="G1362">
        <v>946</v>
      </c>
      <c r="H1362" t="s">
        <v>11</v>
      </c>
      <c r="I1362" t="b" cm="1">
        <f t="array" ref="I1362">isDup(B1362,B1363, 0.7)</f>
        <v>0</v>
      </c>
    </row>
    <row r="1363" spans="1:9" ht="17" x14ac:dyDescent="0.2">
      <c r="A1363" t="s">
        <v>2037</v>
      </c>
      <c r="B1363" s="1" t="s">
        <v>2038</v>
      </c>
      <c r="C1363" t="s">
        <v>2039</v>
      </c>
      <c r="E1363" t="b">
        <v>0</v>
      </c>
      <c r="F1363">
        <v>4164</v>
      </c>
      <c r="G1363">
        <v>1594</v>
      </c>
      <c r="H1363" t="s">
        <v>11</v>
      </c>
      <c r="I1363" t="b" cm="1">
        <f t="array" ref="I1363">isDup(B1363,B1364, 0.7)</f>
        <v>0</v>
      </c>
    </row>
    <row r="1364" spans="1:9" ht="34" x14ac:dyDescent="0.2">
      <c r="A1364" t="s">
        <v>3946</v>
      </c>
      <c r="B1364" s="1" t="s">
        <v>3947</v>
      </c>
      <c r="C1364" t="s">
        <v>381</v>
      </c>
      <c r="D1364" s="1" t="s">
        <v>2</v>
      </c>
      <c r="E1364" t="b">
        <v>0</v>
      </c>
      <c r="F1364">
        <v>17</v>
      </c>
      <c r="G1364">
        <v>27</v>
      </c>
      <c r="H1364" t="s">
        <v>2180</v>
      </c>
      <c r="I1364" t="b" cm="1">
        <f t="array" ref="I1364">isDup(B1364,B1365, 0.7)</f>
        <v>0</v>
      </c>
    </row>
    <row r="1365" spans="1:9" ht="34" x14ac:dyDescent="0.2">
      <c r="A1365" t="s">
        <v>6024</v>
      </c>
      <c r="B1365" s="1" t="s">
        <v>6025</v>
      </c>
      <c r="C1365" t="s">
        <v>3081</v>
      </c>
      <c r="D1365" s="1" t="s">
        <v>68</v>
      </c>
      <c r="E1365" t="b">
        <v>0</v>
      </c>
      <c r="F1365">
        <v>212</v>
      </c>
      <c r="G1365">
        <v>87</v>
      </c>
      <c r="H1365" t="s">
        <v>11</v>
      </c>
      <c r="I1365" t="b" cm="1">
        <f t="array" ref="I1365">isDup(B1365,B1366, 0.7)</f>
        <v>0</v>
      </c>
    </row>
    <row r="1366" spans="1:9" ht="17" x14ac:dyDescent="0.2">
      <c r="A1366" t="s">
        <v>6552</v>
      </c>
      <c r="B1366" s="1" t="s">
        <v>6554</v>
      </c>
      <c r="C1366" t="s">
        <v>828</v>
      </c>
      <c r="D1366" s="1" t="s">
        <v>2</v>
      </c>
      <c r="E1366" t="b">
        <v>0</v>
      </c>
      <c r="F1366">
        <v>435</v>
      </c>
      <c r="G1366">
        <v>497</v>
      </c>
      <c r="H1366" t="s">
        <v>11</v>
      </c>
      <c r="I1366" t="b" cm="1">
        <f t="array" ref="I1366">isDup(B1366,B1367, 0.7)</f>
        <v>0</v>
      </c>
    </row>
    <row r="1367" spans="1:9" ht="34" x14ac:dyDescent="0.2">
      <c r="A1367" t="s">
        <v>3104</v>
      </c>
      <c r="B1367" s="1" t="s">
        <v>3106</v>
      </c>
      <c r="C1367" t="s">
        <v>575</v>
      </c>
      <c r="D1367" s="1" t="s">
        <v>3107</v>
      </c>
      <c r="E1367" t="b">
        <v>0</v>
      </c>
      <c r="F1367">
        <v>956</v>
      </c>
      <c r="G1367">
        <v>35</v>
      </c>
      <c r="H1367" t="s">
        <v>11</v>
      </c>
      <c r="I1367" t="b" cm="1">
        <f t="array" ref="I1367">isDup(B1367,B1368, 0.7)</f>
        <v>0</v>
      </c>
    </row>
    <row r="1368" spans="1:9" ht="17" x14ac:dyDescent="0.2">
      <c r="A1368" t="s">
        <v>3861</v>
      </c>
      <c r="B1368" s="1" t="s">
        <v>3862</v>
      </c>
      <c r="C1368" t="s">
        <v>3863</v>
      </c>
      <c r="D1368" s="1" t="s">
        <v>1079</v>
      </c>
      <c r="E1368" t="b">
        <v>0</v>
      </c>
      <c r="F1368">
        <v>1194</v>
      </c>
      <c r="G1368">
        <v>610</v>
      </c>
      <c r="H1368" t="s">
        <v>11</v>
      </c>
      <c r="I1368" t="b" cm="1">
        <f t="array" ref="I1368">isDup(B1368,B1369, 0.7)</f>
        <v>0</v>
      </c>
    </row>
    <row r="1369" spans="1:9" ht="34" x14ac:dyDescent="0.2">
      <c r="A1369" t="s">
        <v>6972</v>
      </c>
      <c r="B1369" s="1" t="s">
        <v>6973</v>
      </c>
      <c r="C1369" t="s">
        <v>3081</v>
      </c>
      <c r="D1369" s="1" t="s">
        <v>1435</v>
      </c>
      <c r="E1369" t="b">
        <v>0</v>
      </c>
      <c r="F1369">
        <v>123</v>
      </c>
      <c r="G1369">
        <v>426</v>
      </c>
      <c r="H1369" t="s">
        <v>11</v>
      </c>
      <c r="I1369" t="b" cm="1">
        <f t="array" ref="I1369">isDup(B1369,B1370, 0.7)</f>
        <v>0</v>
      </c>
    </row>
    <row r="1370" spans="1:9" ht="34" x14ac:dyDescent="0.2">
      <c r="A1370" t="s">
        <v>4867</v>
      </c>
      <c r="B1370" s="1" t="s">
        <v>4868</v>
      </c>
      <c r="C1370" t="s">
        <v>4869</v>
      </c>
      <c r="D1370" s="1" t="s">
        <v>2497</v>
      </c>
      <c r="E1370" t="b">
        <v>0</v>
      </c>
      <c r="F1370">
        <v>26</v>
      </c>
      <c r="G1370">
        <v>116</v>
      </c>
      <c r="H1370" t="s">
        <v>11</v>
      </c>
      <c r="I1370" t="b" cm="1">
        <f t="array" ref="I1370">isDup(B1370,B1371, 0.7)</f>
        <v>0</v>
      </c>
    </row>
    <row r="1371" spans="1:9" ht="17" x14ac:dyDescent="0.2">
      <c r="A1371" t="s">
        <v>6827</v>
      </c>
      <c r="B1371" s="1" t="s">
        <v>6828</v>
      </c>
      <c r="C1371" t="s">
        <v>4898</v>
      </c>
      <c r="D1371" s="1" t="s">
        <v>1238</v>
      </c>
      <c r="E1371" t="b">
        <v>0</v>
      </c>
      <c r="F1371">
        <v>240</v>
      </c>
      <c r="G1371">
        <v>171</v>
      </c>
      <c r="H1371" t="s">
        <v>11</v>
      </c>
      <c r="I1371" t="b" cm="1">
        <f t="array" ref="I1371">isDup(B1371,B1372, 0.7)</f>
        <v>0</v>
      </c>
    </row>
    <row r="1372" spans="1:9" ht="17" x14ac:dyDescent="0.2">
      <c r="A1372" t="s">
        <v>6868</v>
      </c>
      <c r="B1372" s="1" t="s">
        <v>6869</v>
      </c>
      <c r="C1372" t="s">
        <v>5877</v>
      </c>
      <c r="D1372" s="1" t="s">
        <v>6870</v>
      </c>
      <c r="E1372" t="b">
        <v>0</v>
      </c>
      <c r="F1372">
        <v>41</v>
      </c>
      <c r="G1372">
        <v>58</v>
      </c>
      <c r="H1372" t="s">
        <v>11</v>
      </c>
      <c r="I1372" t="b" cm="1">
        <f t="array" ref="I1372">isDup(B1372,B1373, 0.7)</f>
        <v>0</v>
      </c>
    </row>
    <row r="1373" spans="1:9" ht="17" x14ac:dyDescent="0.2">
      <c r="A1373" t="s">
        <v>6142</v>
      </c>
      <c r="B1373" s="1" t="s">
        <v>6143</v>
      </c>
      <c r="C1373" t="s">
        <v>545</v>
      </c>
      <c r="D1373" s="1" t="s">
        <v>2</v>
      </c>
      <c r="E1373" t="b">
        <v>0</v>
      </c>
      <c r="F1373">
        <v>52</v>
      </c>
      <c r="G1373">
        <v>74</v>
      </c>
      <c r="H1373" t="s">
        <v>11</v>
      </c>
      <c r="I1373" t="b" cm="1">
        <f t="array" ref="I1373">isDup(B1373,B1374, 0.7)</f>
        <v>0</v>
      </c>
    </row>
    <row r="1374" spans="1:9" ht="34" x14ac:dyDescent="0.2">
      <c r="A1374" t="s">
        <v>3573</v>
      </c>
      <c r="B1374" s="1" t="s">
        <v>3574</v>
      </c>
      <c r="C1374" t="s">
        <v>955</v>
      </c>
      <c r="D1374" s="1" t="s">
        <v>2</v>
      </c>
      <c r="E1374" t="b">
        <v>0</v>
      </c>
      <c r="F1374">
        <v>2191</v>
      </c>
      <c r="G1374">
        <v>151</v>
      </c>
      <c r="H1374" t="s">
        <v>11</v>
      </c>
      <c r="I1374" t="b" cm="1">
        <f t="array" ref="I1374">isDup(B1374,B1375, 0.7)</f>
        <v>0</v>
      </c>
    </row>
    <row r="1375" spans="1:9" ht="34" x14ac:dyDescent="0.2">
      <c r="A1375" t="s">
        <v>1306</v>
      </c>
      <c r="B1375" s="1" t="s">
        <v>1307</v>
      </c>
      <c r="C1375" t="s">
        <v>271</v>
      </c>
      <c r="D1375" s="1" t="s">
        <v>2</v>
      </c>
      <c r="E1375" t="b">
        <v>0</v>
      </c>
      <c r="F1375">
        <v>39</v>
      </c>
      <c r="G1375">
        <v>67</v>
      </c>
      <c r="H1375" t="s">
        <v>11</v>
      </c>
      <c r="I1375" t="b" cm="1">
        <f t="array" ref="I1375">isDup(B1375,B1376, 0.7)</f>
        <v>0</v>
      </c>
    </row>
    <row r="1376" spans="1:9" ht="17" x14ac:dyDescent="0.2">
      <c r="A1376" t="s">
        <v>1890</v>
      </c>
      <c r="B1376" s="1" t="s">
        <v>1891</v>
      </c>
      <c r="C1376" t="s">
        <v>1892</v>
      </c>
      <c r="D1376" s="1" t="s">
        <v>1813</v>
      </c>
      <c r="E1376" t="b">
        <v>0</v>
      </c>
      <c r="F1376">
        <v>6391</v>
      </c>
      <c r="G1376">
        <v>1185</v>
      </c>
      <c r="H1376" t="s">
        <v>11</v>
      </c>
      <c r="I1376" t="b" cm="1">
        <f t="array" ref="I1376">isDup(B1376,B1377, 0.7)</f>
        <v>0</v>
      </c>
    </row>
    <row r="1377" spans="1:9" ht="34" x14ac:dyDescent="0.2">
      <c r="A1377" t="s">
        <v>2326</v>
      </c>
      <c r="B1377" s="1" t="s">
        <v>2327</v>
      </c>
      <c r="C1377" t="s">
        <v>391</v>
      </c>
      <c r="D1377" s="1" t="s">
        <v>392</v>
      </c>
      <c r="E1377" t="b">
        <v>0</v>
      </c>
      <c r="F1377">
        <v>53</v>
      </c>
      <c r="G1377">
        <v>242</v>
      </c>
      <c r="H1377" t="s">
        <v>11</v>
      </c>
      <c r="I1377" t="b" cm="1">
        <f t="array" ref="I1377">isDup(B1377,B1378, 0.7)</f>
        <v>0</v>
      </c>
    </row>
    <row r="1378" spans="1:9" ht="34" x14ac:dyDescent="0.2">
      <c r="A1378" t="s">
        <v>2281</v>
      </c>
      <c r="B1378" s="1" t="s">
        <v>2282</v>
      </c>
      <c r="C1378" t="s">
        <v>2283</v>
      </c>
      <c r="D1378" s="1" t="s">
        <v>2284</v>
      </c>
      <c r="E1378" t="b">
        <v>0</v>
      </c>
      <c r="F1378">
        <v>8</v>
      </c>
      <c r="G1378">
        <v>20</v>
      </c>
      <c r="H1378" t="s">
        <v>338</v>
      </c>
      <c r="I1378" t="b" cm="1">
        <f t="array" ref="I1378">isDup(B1378,B1379, 0.7)</f>
        <v>0</v>
      </c>
    </row>
    <row r="1379" spans="1:9" ht="17" x14ac:dyDescent="0.2">
      <c r="A1379" t="s">
        <v>5558</v>
      </c>
      <c r="B1379" s="1" t="s">
        <v>5559</v>
      </c>
      <c r="C1379" t="s">
        <v>2061</v>
      </c>
      <c r="D1379" s="1" t="s">
        <v>2062</v>
      </c>
      <c r="E1379" t="b">
        <v>0</v>
      </c>
      <c r="F1379">
        <v>9756</v>
      </c>
      <c r="G1379">
        <v>399</v>
      </c>
      <c r="H1379" t="s">
        <v>11</v>
      </c>
      <c r="I1379" t="b" cm="1">
        <f t="array" ref="I1379">isDup(B1379,B1380, 0.7)</f>
        <v>0</v>
      </c>
    </row>
    <row r="1380" spans="1:9" ht="17" x14ac:dyDescent="0.2">
      <c r="A1380" t="s">
        <v>48</v>
      </c>
      <c r="B1380" s="1" t="s">
        <v>49</v>
      </c>
      <c r="C1380" t="s">
        <v>50</v>
      </c>
      <c r="D1380" s="1" t="s">
        <v>51</v>
      </c>
      <c r="E1380" t="b">
        <v>0</v>
      </c>
      <c r="F1380">
        <v>629</v>
      </c>
      <c r="G1380">
        <v>139</v>
      </c>
      <c r="H1380" t="s">
        <v>11</v>
      </c>
      <c r="I1380" t="b" cm="1">
        <f t="array" ref="I1380">isDup(B1380,B1381, 0.7)</f>
        <v>0</v>
      </c>
    </row>
    <row r="1381" spans="1:9" ht="17" x14ac:dyDescent="0.2">
      <c r="A1381" t="s">
        <v>1587</v>
      </c>
      <c r="B1381" s="1" t="s">
        <v>1588</v>
      </c>
      <c r="C1381" t="s">
        <v>754</v>
      </c>
      <c r="D1381" s="1" t="s">
        <v>1589</v>
      </c>
      <c r="E1381" t="b">
        <v>0</v>
      </c>
      <c r="F1381">
        <v>950</v>
      </c>
      <c r="G1381">
        <v>264</v>
      </c>
      <c r="H1381" t="s">
        <v>11</v>
      </c>
      <c r="I1381" t="b" cm="1">
        <f t="array" ref="I1381">isDup(B1381,B1382, 0.7)</f>
        <v>0</v>
      </c>
    </row>
    <row r="1382" spans="1:9" ht="34" x14ac:dyDescent="0.2">
      <c r="A1382" t="s">
        <v>1789</v>
      </c>
      <c r="B1382" s="1" t="s">
        <v>1790</v>
      </c>
      <c r="C1382" t="s">
        <v>1791</v>
      </c>
      <c r="D1382" s="1" t="s">
        <v>2</v>
      </c>
      <c r="E1382" t="b">
        <v>0</v>
      </c>
      <c r="F1382">
        <v>285</v>
      </c>
      <c r="G1382">
        <v>545</v>
      </c>
      <c r="H1382" t="s">
        <v>11</v>
      </c>
      <c r="I1382" t="b" cm="1">
        <f t="array" ref="I1382">isDup(B1382,B1383, 0.7)</f>
        <v>0</v>
      </c>
    </row>
    <row r="1383" spans="1:9" ht="34" x14ac:dyDescent="0.2">
      <c r="A1383" t="s">
        <v>6665</v>
      </c>
      <c r="B1383" s="1" t="s">
        <v>6666</v>
      </c>
      <c r="C1383" t="s">
        <v>2757</v>
      </c>
      <c r="D1383" s="1" t="s">
        <v>6667</v>
      </c>
      <c r="E1383" t="b">
        <v>0</v>
      </c>
      <c r="F1383">
        <v>1880</v>
      </c>
      <c r="G1383">
        <v>562</v>
      </c>
      <c r="H1383" t="s">
        <v>11</v>
      </c>
      <c r="I1383" t="b" cm="1">
        <f t="array" ref="I1383">isDup(B1383,B1384, 0.7)</f>
        <v>0</v>
      </c>
    </row>
    <row r="1384" spans="1:9" ht="17" x14ac:dyDescent="0.2">
      <c r="A1384" t="s">
        <v>3529</v>
      </c>
      <c r="B1384" s="1" t="s">
        <v>3530</v>
      </c>
      <c r="C1384" t="s">
        <v>2102</v>
      </c>
      <c r="D1384" s="1" t="s">
        <v>3531</v>
      </c>
      <c r="E1384" t="b">
        <v>0</v>
      </c>
      <c r="F1384">
        <v>33</v>
      </c>
      <c r="G1384">
        <v>293</v>
      </c>
      <c r="H1384" t="s">
        <v>11</v>
      </c>
      <c r="I1384" t="b" cm="1">
        <f t="array" ref="I1384">isDup(B1384,B1385, 0.7)</f>
        <v>0</v>
      </c>
    </row>
    <row r="1385" spans="1:9" ht="17" x14ac:dyDescent="0.2">
      <c r="A1385" t="s">
        <v>966</v>
      </c>
      <c r="B1385" s="1" t="s">
        <v>967</v>
      </c>
      <c r="C1385" t="s">
        <v>564</v>
      </c>
      <c r="D1385" s="1" t="s">
        <v>2</v>
      </c>
      <c r="E1385" t="b">
        <v>0</v>
      </c>
      <c r="F1385">
        <v>7</v>
      </c>
      <c r="G1385">
        <v>77</v>
      </c>
      <c r="H1385" t="s">
        <v>11</v>
      </c>
      <c r="I1385" t="b" cm="1">
        <f t="array" ref="I1385">isDup(B1385,B1386, 0.7)</f>
        <v>0</v>
      </c>
    </row>
    <row r="1386" spans="1:9" ht="34" x14ac:dyDescent="0.2">
      <c r="A1386" t="s">
        <v>7041</v>
      </c>
      <c r="B1386" s="1" t="s">
        <v>7042</v>
      </c>
      <c r="C1386" t="s">
        <v>7043</v>
      </c>
      <c r="D1386" s="1" t="s">
        <v>2</v>
      </c>
      <c r="E1386" t="b">
        <v>0</v>
      </c>
      <c r="F1386">
        <v>683</v>
      </c>
      <c r="G1386">
        <v>230</v>
      </c>
      <c r="H1386" t="s">
        <v>11</v>
      </c>
      <c r="I1386" t="b" cm="1">
        <f t="array" ref="I1386">isDup(B1386,B1387, 0.7)</f>
        <v>1</v>
      </c>
    </row>
    <row r="1387" spans="1:9" ht="34" x14ac:dyDescent="0.2">
      <c r="A1387" t="s">
        <v>7069</v>
      </c>
      <c r="B1387" s="1" t="s">
        <v>7070</v>
      </c>
      <c r="C1387" t="s">
        <v>7043</v>
      </c>
      <c r="D1387" s="1" t="s">
        <v>2</v>
      </c>
      <c r="E1387" t="b">
        <v>0</v>
      </c>
      <c r="F1387">
        <v>683</v>
      </c>
      <c r="G1387">
        <v>230</v>
      </c>
      <c r="H1387" t="s">
        <v>11</v>
      </c>
      <c r="I1387" t="b" cm="1">
        <f t="array" ref="I1387">isDup(B1387,B1388, 0.7)</f>
        <v>0</v>
      </c>
    </row>
    <row r="1388" spans="1:9" ht="17" x14ac:dyDescent="0.2">
      <c r="A1388" t="s">
        <v>7224</v>
      </c>
      <c r="B1388" s="1" t="s">
        <v>7225</v>
      </c>
      <c r="C1388" t="s">
        <v>2050</v>
      </c>
      <c r="D1388" s="1" t="s">
        <v>7226</v>
      </c>
      <c r="E1388" t="b">
        <v>0</v>
      </c>
      <c r="F1388">
        <v>175</v>
      </c>
      <c r="G1388">
        <v>261</v>
      </c>
      <c r="H1388" t="s">
        <v>11</v>
      </c>
      <c r="I1388" t="b" cm="1">
        <f t="array" ref="I1388">isDup(B1388,B1389, 0.7)</f>
        <v>0</v>
      </c>
    </row>
    <row r="1389" spans="1:9" ht="34" x14ac:dyDescent="0.2">
      <c r="A1389" t="s">
        <v>850</v>
      </c>
      <c r="B1389" s="1" t="s">
        <v>851</v>
      </c>
      <c r="C1389" t="s">
        <v>852</v>
      </c>
      <c r="D1389" s="1" t="s">
        <v>2</v>
      </c>
      <c r="E1389" t="b">
        <v>0</v>
      </c>
      <c r="F1389">
        <v>2902</v>
      </c>
      <c r="G1389">
        <v>434</v>
      </c>
      <c r="H1389" t="s">
        <v>11</v>
      </c>
      <c r="I1389" t="b" cm="1">
        <f t="array" ref="I1389">isDup(B1389,B1390, 0.7)</f>
        <v>0</v>
      </c>
    </row>
    <row r="1390" spans="1:9" ht="34" x14ac:dyDescent="0.2">
      <c r="A1390" t="s">
        <v>3747</v>
      </c>
      <c r="B1390" s="1" t="s">
        <v>3748</v>
      </c>
      <c r="C1390" t="s">
        <v>806</v>
      </c>
      <c r="D1390" s="1" t="s">
        <v>3749</v>
      </c>
      <c r="E1390" t="b">
        <v>0</v>
      </c>
      <c r="F1390">
        <v>37</v>
      </c>
      <c r="G1390">
        <v>92</v>
      </c>
      <c r="H1390" t="s">
        <v>11</v>
      </c>
      <c r="I1390" t="b" cm="1">
        <f t="array" ref="I1390">isDup(B1390,B1391, 0.7)</f>
        <v>0</v>
      </c>
    </row>
    <row r="1391" spans="1:9" ht="17" x14ac:dyDescent="0.2">
      <c r="A1391" t="s">
        <v>1497</v>
      </c>
      <c r="B1391" s="1" t="s">
        <v>1498</v>
      </c>
      <c r="C1391" t="s">
        <v>1499</v>
      </c>
      <c r="D1391" s="1" t="s">
        <v>1500</v>
      </c>
      <c r="E1391" t="b">
        <v>0</v>
      </c>
      <c r="F1391">
        <v>69</v>
      </c>
      <c r="G1391">
        <v>87</v>
      </c>
      <c r="H1391" t="s">
        <v>11</v>
      </c>
      <c r="I1391" t="b" cm="1">
        <f t="array" ref="I1391">isDup(B1391,B1392, 0.7)</f>
        <v>0</v>
      </c>
    </row>
    <row r="1392" spans="1:9" ht="17" x14ac:dyDescent="0.2">
      <c r="A1392" t="s">
        <v>1703</v>
      </c>
      <c r="B1392" s="1" t="s">
        <v>1704</v>
      </c>
      <c r="C1392" t="s">
        <v>1705</v>
      </c>
      <c r="D1392" s="1" t="s">
        <v>1706</v>
      </c>
      <c r="E1392" t="b">
        <v>0</v>
      </c>
      <c r="F1392">
        <v>1879</v>
      </c>
      <c r="G1392">
        <v>1636</v>
      </c>
      <c r="H1392" t="s">
        <v>11</v>
      </c>
      <c r="I1392" t="b" cm="1">
        <f t="array" ref="I1392">isDup(B1392,B1393, 0.7)</f>
        <v>0</v>
      </c>
    </row>
    <row r="1393" spans="1:9" ht="34" x14ac:dyDescent="0.2">
      <c r="A1393" t="s">
        <v>6919</v>
      </c>
      <c r="B1393" s="1" t="s">
        <v>6920</v>
      </c>
      <c r="C1393" t="s">
        <v>6921</v>
      </c>
      <c r="D1393" s="1" t="s">
        <v>61</v>
      </c>
      <c r="E1393" t="b">
        <v>0</v>
      </c>
      <c r="F1393">
        <v>64</v>
      </c>
      <c r="G1393">
        <v>223</v>
      </c>
      <c r="H1393" t="s">
        <v>11</v>
      </c>
      <c r="I1393" t="b" cm="1">
        <f t="array" ref="I1393">isDup(B1393,B1394, 0.7)</f>
        <v>0</v>
      </c>
    </row>
    <row r="1394" spans="1:9" ht="34" x14ac:dyDescent="0.2">
      <c r="A1394" t="s">
        <v>2495</v>
      </c>
      <c r="B1394" s="1" t="s">
        <v>2496</v>
      </c>
      <c r="C1394" t="s">
        <v>104</v>
      </c>
      <c r="D1394" s="1" t="s">
        <v>2497</v>
      </c>
      <c r="E1394" t="b">
        <v>0</v>
      </c>
      <c r="F1394">
        <v>25</v>
      </c>
      <c r="G1394">
        <v>73</v>
      </c>
      <c r="H1394" t="s">
        <v>11</v>
      </c>
      <c r="I1394" t="b" cm="1">
        <f t="array" ref="I1394">isDup(B1394,B1395, 0.7)</f>
        <v>0</v>
      </c>
    </row>
    <row r="1395" spans="1:9" ht="34" x14ac:dyDescent="0.2">
      <c r="A1395" t="s">
        <v>527</v>
      </c>
      <c r="B1395" s="1" t="s">
        <v>528</v>
      </c>
      <c r="C1395" t="s">
        <v>529</v>
      </c>
      <c r="D1395" s="1" t="s">
        <v>530</v>
      </c>
      <c r="E1395" t="b">
        <v>0</v>
      </c>
      <c r="F1395">
        <v>27</v>
      </c>
      <c r="G1395">
        <v>477</v>
      </c>
      <c r="H1395" t="s">
        <v>11</v>
      </c>
      <c r="I1395" t="b" cm="1">
        <f t="array" ref="I1395">isDup(B1395,B1396, 0.7)</f>
        <v>0</v>
      </c>
    </row>
    <row r="1396" spans="1:9" ht="34" x14ac:dyDescent="0.2">
      <c r="A1396" t="s">
        <v>6111</v>
      </c>
      <c r="B1396" s="1" t="s">
        <v>6112</v>
      </c>
      <c r="C1396" t="s">
        <v>5499</v>
      </c>
      <c r="D1396" s="1" t="s">
        <v>6113</v>
      </c>
      <c r="E1396" t="b">
        <v>0</v>
      </c>
      <c r="F1396">
        <v>1032</v>
      </c>
      <c r="G1396">
        <v>1810</v>
      </c>
      <c r="H1396" t="s">
        <v>11</v>
      </c>
      <c r="I1396" t="b" cm="1">
        <f t="array" ref="I1396">isDup(B1396,B1397, 0.7)</f>
        <v>0</v>
      </c>
    </row>
    <row r="1397" spans="1:9" ht="34" x14ac:dyDescent="0.2">
      <c r="A1397" t="s">
        <v>2555</v>
      </c>
      <c r="B1397" s="1" t="s">
        <v>2556</v>
      </c>
      <c r="C1397" t="s">
        <v>1510</v>
      </c>
      <c r="D1397" s="1" t="s">
        <v>2</v>
      </c>
      <c r="E1397" t="b">
        <v>0</v>
      </c>
      <c r="F1397">
        <v>1</v>
      </c>
      <c r="G1397">
        <v>24</v>
      </c>
      <c r="H1397" t="s">
        <v>11</v>
      </c>
      <c r="I1397" t="b" cm="1">
        <f t="array" ref="I1397">isDup(B1397,B1398, 0.7)</f>
        <v>0</v>
      </c>
    </row>
    <row r="1398" spans="1:9" ht="17" x14ac:dyDescent="0.2">
      <c r="A1398" t="s">
        <v>2088</v>
      </c>
      <c r="B1398" s="1" t="s">
        <v>2089</v>
      </c>
      <c r="C1398" t="s">
        <v>2090</v>
      </c>
      <c r="D1398" s="1" t="s">
        <v>2</v>
      </c>
      <c r="E1398" t="b">
        <v>0</v>
      </c>
      <c r="F1398">
        <v>3049</v>
      </c>
      <c r="G1398">
        <v>266</v>
      </c>
      <c r="H1398" t="s">
        <v>11</v>
      </c>
      <c r="I1398" t="b" cm="1">
        <f t="array" ref="I1398">isDup(B1398,B1399, 0.7)</f>
        <v>0</v>
      </c>
    </row>
    <row r="1399" spans="1:9" ht="34" x14ac:dyDescent="0.2">
      <c r="A1399" t="s">
        <v>6387</v>
      </c>
      <c r="B1399" s="1" t="s">
        <v>6388</v>
      </c>
      <c r="C1399" t="s">
        <v>6389</v>
      </c>
      <c r="D1399" s="1" t="s">
        <v>6390</v>
      </c>
      <c r="E1399" t="b">
        <v>0</v>
      </c>
      <c r="F1399">
        <v>78</v>
      </c>
      <c r="G1399">
        <v>396</v>
      </c>
      <c r="H1399" t="s">
        <v>11</v>
      </c>
      <c r="I1399" t="b" cm="1">
        <f t="array" ref="I1399">isDup(B1399,B1400, 0.7)</f>
        <v>0</v>
      </c>
    </row>
    <row r="1400" spans="1:9" ht="17" x14ac:dyDescent="0.2">
      <c r="A1400" t="s">
        <v>6763</v>
      </c>
      <c r="B1400" s="1" t="s">
        <v>6764</v>
      </c>
      <c r="C1400" t="s">
        <v>6765</v>
      </c>
      <c r="D1400" s="1" t="s">
        <v>6766</v>
      </c>
      <c r="E1400" t="b">
        <v>0</v>
      </c>
      <c r="F1400">
        <v>613</v>
      </c>
      <c r="G1400">
        <v>220</v>
      </c>
      <c r="H1400" t="s">
        <v>11</v>
      </c>
      <c r="I1400" t="b" cm="1">
        <f t="array" ref="I1400">isDup(B1400,B1401, 0.7)</f>
        <v>0</v>
      </c>
    </row>
    <row r="1401" spans="1:9" ht="34" x14ac:dyDescent="0.2">
      <c r="A1401" t="s">
        <v>4751</v>
      </c>
      <c r="B1401" s="1" t="s">
        <v>4752</v>
      </c>
      <c r="C1401" t="s">
        <v>3721</v>
      </c>
      <c r="D1401" s="1" t="s">
        <v>829</v>
      </c>
      <c r="E1401" t="b">
        <v>0</v>
      </c>
      <c r="F1401">
        <v>39</v>
      </c>
      <c r="G1401">
        <v>52</v>
      </c>
      <c r="H1401" t="s">
        <v>11</v>
      </c>
      <c r="I1401" t="b" cm="1">
        <f t="array" ref="I1401">isDup(B1401,B1402, 0.7)</f>
        <v>0</v>
      </c>
    </row>
    <row r="1402" spans="1:9" ht="17" x14ac:dyDescent="0.2">
      <c r="A1402" t="s">
        <v>404</v>
      </c>
      <c r="B1402" s="1" t="s">
        <v>405</v>
      </c>
      <c r="C1402" t="s">
        <v>406</v>
      </c>
      <c r="D1402" s="1" t="s">
        <v>407</v>
      </c>
      <c r="E1402" t="b">
        <v>0</v>
      </c>
      <c r="F1402">
        <v>281</v>
      </c>
      <c r="G1402">
        <v>267</v>
      </c>
      <c r="H1402" t="s">
        <v>11</v>
      </c>
      <c r="I1402" t="b" cm="1">
        <f t="array" ref="I1402">isDup(B1402,B1403, 0.7)</f>
        <v>0</v>
      </c>
    </row>
    <row r="1403" spans="1:9" ht="17" x14ac:dyDescent="0.2">
      <c r="A1403" t="s">
        <v>6638</v>
      </c>
      <c r="B1403" s="1" t="s">
        <v>6639</v>
      </c>
      <c r="C1403" t="s">
        <v>1065</v>
      </c>
      <c r="D1403" s="1" t="s">
        <v>1662</v>
      </c>
      <c r="E1403" t="b">
        <v>0</v>
      </c>
      <c r="F1403">
        <v>1227</v>
      </c>
      <c r="G1403">
        <v>99</v>
      </c>
      <c r="H1403" t="s">
        <v>11</v>
      </c>
      <c r="I1403" t="b" cm="1">
        <f t="array" ref="I1403">isDup(B1403,B1404, 0.7)</f>
        <v>0</v>
      </c>
    </row>
    <row r="1404" spans="1:9" ht="17" x14ac:dyDescent="0.2">
      <c r="A1404" t="s">
        <v>5080</v>
      </c>
      <c r="B1404" s="1" t="s">
        <v>5081</v>
      </c>
      <c r="C1404" t="s">
        <v>2619</v>
      </c>
      <c r="D1404" s="1" t="s">
        <v>2</v>
      </c>
      <c r="E1404" t="b">
        <v>0</v>
      </c>
      <c r="F1404">
        <v>954</v>
      </c>
      <c r="G1404">
        <v>475</v>
      </c>
      <c r="H1404" t="s">
        <v>11</v>
      </c>
      <c r="I1404" t="b" cm="1">
        <f t="array" ref="I1404">isDup(B1404,B1405, 0.7)</f>
        <v>0</v>
      </c>
    </row>
    <row r="1405" spans="1:9" ht="34" x14ac:dyDescent="0.2">
      <c r="A1405" t="s">
        <v>493</v>
      </c>
      <c r="B1405" s="1" t="s">
        <v>494</v>
      </c>
      <c r="C1405" t="s">
        <v>495</v>
      </c>
      <c r="D1405" s="1" t="s">
        <v>496</v>
      </c>
      <c r="E1405" t="b">
        <v>0</v>
      </c>
      <c r="F1405">
        <v>216</v>
      </c>
      <c r="G1405">
        <v>219</v>
      </c>
      <c r="H1405" t="s">
        <v>11</v>
      </c>
      <c r="I1405" t="b" cm="1">
        <f t="array" ref="I1405">isDup(B1405,B1406, 0.7)</f>
        <v>0</v>
      </c>
    </row>
    <row r="1406" spans="1:9" ht="34" x14ac:dyDescent="0.2">
      <c r="A1406" t="s">
        <v>5953</v>
      </c>
      <c r="B1406" s="1" t="s">
        <v>5954</v>
      </c>
      <c r="C1406" t="s">
        <v>1434</v>
      </c>
      <c r="D1406" s="1" t="s">
        <v>2</v>
      </c>
      <c r="E1406" t="b">
        <v>0</v>
      </c>
      <c r="F1406">
        <v>1645</v>
      </c>
      <c r="G1406">
        <v>1190</v>
      </c>
      <c r="H1406" t="s">
        <v>11</v>
      </c>
      <c r="I1406" t="b" cm="1">
        <f t="array" ref="I1406">isDup(B1406,B1407, 0.7)</f>
        <v>0</v>
      </c>
    </row>
    <row r="1407" spans="1:9" ht="34" x14ac:dyDescent="0.2">
      <c r="A1407" t="s">
        <v>6646</v>
      </c>
      <c r="B1407" s="1" t="s">
        <v>6647</v>
      </c>
      <c r="C1407" t="s">
        <v>1044</v>
      </c>
      <c r="D1407" s="1" t="s">
        <v>1023</v>
      </c>
      <c r="E1407" t="b">
        <v>0</v>
      </c>
      <c r="F1407">
        <v>393</v>
      </c>
      <c r="G1407">
        <v>781</v>
      </c>
      <c r="H1407" t="s">
        <v>11</v>
      </c>
      <c r="I1407" t="b" cm="1">
        <f t="array" ref="I1407">isDup(B1407,B1408, 0.7)</f>
        <v>0</v>
      </c>
    </row>
    <row r="1408" spans="1:9" ht="34" x14ac:dyDescent="0.2">
      <c r="A1408" t="s">
        <v>5678</v>
      </c>
      <c r="B1408" s="1" t="s">
        <v>5679</v>
      </c>
      <c r="C1408" t="s">
        <v>5680</v>
      </c>
      <c r="D1408" s="1" t="s">
        <v>730</v>
      </c>
      <c r="E1408" t="b">
        <v>0</v>
      </c>
      <c r="F1408">
        <v>492</v>
      </c>
      <c r="G1408">
        <v>576</v>
      </c>
      <c r="H1408" t="s">
        <v>11</v>
      </c>
      <c r="I1408" t="b" cm="1">
        <f t="array" ref="I1408">isDup(B1408,B1409, 0.7)</f>
        <v>0</v>
      </c>
    </row>
    <row r="1409" spans="1:9" ht="34" x14ac:dyDescent="0.2">
      <c r="A1409" t="s">
        <v>5094</v>
      </c>
      <c r="B1409" s="1" t="s">
        <v>5095</v>
      </c>
      <c r="C1409" t="s">
        <v>1065</v>
      </c>
      <c r="D1409" s="1" t="s">
        <v>2</v>
      </c>
      <c r="E1409" t="b">
        <v>0</v>
      </c>
      <c r="F1409">
        <v>946</v>
      </c>
      <c r="G1409">
        <v>459</v>
      </c>
      <c r="H1409" t="s">
        <v>11</v>
      </c>
      <c r="I1409" t="b" cm="1">
        <f t="array" ref="I1409">isDup(B1409,B1410, 0.7)</f>
        <v>0</v>
      </c>
    </row>
    <row r="1410" spans="1:9" ht="17" x14ac:dyDescent="0.2">
      <c r="A1410" t="s">
        <v>5560</v>
      </c>
      <c r="B1410" s="1" t="s">
        <v>5561</v>
      </c>
      <c r="C1410" t="s">
        <v>5562</v>
      </c>
      <c r="D1410" s="1" t="s">
        <v>2</v>
      </c>
      <c r="E1410" t="b">
        <v>0</v>
      </c>
      <c r="F1410">
        <v>339</v>
      </c>
      <c r="G1410">
        <v>324</v>
      </c>
      <c r="H1410" t="s">
        <v>11</v>
      </c>
      <c r="I1410" t="b" cm="1">
        <f t="array" ref="I1410">isDup(B1410,B1411, 0.7)</f>
        <v>0</v>
      </c>
    </row>
    <row r="1411" spans="1:9" ht="34" x14ac:dyDescent="0.2">
      <c r="A1411" t="s">
        <v>5737</v>
      </c>
      <c r="B1411" s="1" t="s">
        <v>5738</v>
      </c>
      <c r="C1411" t="s">
        <v>3608</v>
      </c>
      <c r="D1411" s="1" t="s">
        <v>980</v>
      </c>
      <c r="E1411" t="b">
        <v>0</v>
      </c>
      <c r="F1411">
        <v>572</v>
      </c>
      <c r="G1411">
        <v>961</v>
      </c>
      <c r="H1411" t="s">
        <v>11</v>
      </c>
      <c r="I1411" t="b" cm="1">
        <f t="array" ref="I1411">isDup(B1411,B1412, 0.7)</f>
        <v>0</v>
      </c>
    </row>
    <row r="1412" spans="1:9" ht="17" x14ac:dyDescent="0.2">
      <c r="A1412" t="s">
        <v>3079</v>
      </c>
      <c r="B1412" s="1" t="s">
        <v>3080</v>
      </c>
      <c r="C1412" t="s">
        <v>3081</v>
      </c>
      <c r="D1412" s="1" t="s">
        <v>2</v>
      </c>
      <c r="E1412" t="b">
        <v>0</v>
      </c>
      <c r="F1412">
        <v>1</v>
      </c>
      <c r="G1412">
        <v>45</v>
      </c>
      <c r="H1412" t="s">
        <v>11</v>
      </c>
      <c r="I1412" t="b" cm="1">
        <f t="array" ref="I1412">isDup(B1412,B1413, 0.7)</f>
        <v>0</v>
      </c>
    </row>
    <row r="1413" spans="1:9" ht="17" x14ac:dyDescent="0.2">
      <c r="A1413" t="s">
        <v>5394</v>
      </c>
      <c r="B1413" s="1" t="s">
        <v>5395</v>
      </c>
      <c r="C1413" t="s">
        <v>726</v>
      </c>
      <c r="D1413" s="1" t="s">
        <v>2</v>
      </c>
      <c r="E1413" t="b">
        <v>0</v>
      </c>
      <c r="F1413">
        <v>49</v>
      </c>
      <c r="G1413">
        <v>146</v>
      </c>
      <c r="H1413" t="s">
        <v>11</v>
      </c>
      <c r="I1413" t="b" cm="1">
        <f t="array" ref="I1413">isDup(B1413,B1414, 0.7)</f>
        <v>0</v>
      </c>
    </row>
    <row r="1414" spans="1:9" ht="17" x14ac:dyDescent="0.2">
      <c r="A1414" t="s">
        <v>2615</v>
      </c>
      <c r="B1414" s="1" t="s">
        <v>2616</v>
      </c>
      <c r="C1414" t="s">
        <v>100</v>
      </c>
      <c r="D1414" s="1" t="s">
        <v>2</v>
      </c>
      <c r="E1414" t="b">
        <v>0</v>
      </c>
      <c r="F1414">
        <v>0</v>
      </c>
      <c r="G1414">
        <v>0</v>
      </c>
      <c r="H1414" t="s">
        <v>359</v>
      </c>
      <c r="I1414" t="b" cm="1">
        <f t="array" ref="I1414">isDup(B1414,B1415, 0.7)</f>
        <v>0</v>
      </c>
    </row>
    <row r="1415" spans="1:9" ht="17" x14ac:dyDescent="0.2">
      <c r="A1415" t="s">
        <v>3126</v>
      </c>
      <c r="B1415" s="1" t="s">
        <v>3127</v>
      </c>
      <c r="C1415" t="s">
        <v>1342</v>
      </c>
      <c r="D1415" s="1" t="s">
        <v>1732</v>
      </c>
      <c r="E1415" t="b">
        <v>0</v>
      </c>
      <c r="F1415">
        <v>101</v>
      </c>
      <c r="G1415">
        <v>44</v>
      </c>
      <c r="H1415" t="s">
        <v>11</v>
      </c>
      <c r="I1415" t="b" cm="1">
        <f t="array" ref="I1415">isDup(B1415,B1416, 0.7)</f>
        <v>0</v>
      </c>
    </row>
    <row r="1416" spans="1:9" ht="17" x14ac:dyDescent="0.2">
      <c r="A1416" t="s">
        <v>3611</v>
      </c>
      <c r="B1416" s="1" t="s">
        <v>3612</v>
      </c>
      <c r="C1416" t="s">
        <v>3613</v>
      </c>
      <c r="D1416" s="1" t="s">
        <v>3614</v>
      </c>
      <c r="E1416" t="b">
        <v>0</v>
      </c>
      <c r="F1416">
        <v>595</v>
      </c>
      <c r="G1416">
        <v>531</v>
      </c>
      <c r="H1416" t="s">
        <v>11</v>
      </c>
      <c r="I1416" t="b" cm="1">
        <f t="array" ref="I1416">isDup(B1416,B1417, 0.7)</f>
        <v>0</v>
      </c>
    </row>
    <row r="1417" spans="1:9" ht="34" x14ac:dyDescent="0.2">
      <c r="A1417" t="s">
        <v>3669</v>
      </c>
      <c r="B1417" s="1" t="s">
        <v>3670</v>
      </c>
      <c r="C1417" t="s">
        <v>3671</v>
      </c>
      <c r="D1417" s="1" t="s">
        <v>418</v>
      </c>
      <c r="E1417" t="b">
        <v>0</v>
      </c>
      <c r="F1417">
        <v>100</v>
      </c>
      <c r="G1417">
        <v>258</v>
      </c>
      <c r="H1417" t="s">
        <v>11</v>
      </c>
      <c r="I1417" t="b" cm="1">
        <f t="array" ref="I1417">isDup(B1417,B1418, 0.7)</f>
        <v>0</v>
      </c>
    </row>
    <row r="1418" spans="1:9" ht="34" x14ac:dyDescent="0.2">
      <c r="A1418" t="s">
        <v>7086</v>
      </c>
      <c r="B1418" s="1" t="s">
        <v>7087</v>
      </c>
      <c r="C1418" t="s">
        <v>995</v>
      </c>
      <c r="D1418" s="1" t="s">
        <v>2</v>
      </c>
      <c r="E1418" t="b">
        <v>0</v>
      </c>
      <c r="F1418">
        <v>599</v>
      </c>
      <c r="G1418">
        <v>297</v>
      </c>
      <c r="H1418" t="s">
        <v>11</v>
      </c>
      <c r="I1418" t="b" cm="1">
        <f t="array" ref="I1418">isDup(B1418,B1419, 0.7)</f>
        <v>0</v>
      </c>
    </row>
    <row r="1419" spans="1:9" ht="17" x14ac:dyDescent="0.2">
      <c r="A1419" t="s">
        <v>1311</v>
      </c>
      <c r="B1419" s="1" t="s">
        <v>1312</v>
      </c>
      <c r="C1419" t="s">
        <v>1313</v>
      </c>
      <c r="D1419" s="1" t="s">
        <v>1314</v>
      </c>
      <c r="E1419" t="b">
        <v>0</v>
      </c>
      <c r="F1419">
        <v>833</v>
      </c>
      <c r="G1419">
        <v>495</v>
      </c>
      <c r="H1419" t="s">
        <v>11</v>
      </c>
      <c r="I1419" t="b" cm="1">
        <f t="array" ref="I1419">isDup(B1419,B1420, 0.7)</f>
        <v>0</v>
      </c>
    </row>
    <row r="1420" spans="1:9" ht="17" x14ac:dyDescent="0.2">
      <c r="A1420" t="s">
        <v>1903</v>
      </c>
      <c r="B1420" s="1" t="s">
        <v>1904</v>
      </c>
      <c r="C1420" t="s">
        <v>373</v>
      </c>
      <c r="D1420" s="1" t="s">
        <v>2</v>
      </c>
      <c r="E1420" t="b">
        <v>0</v>
      </c>
      <c r="F1420">
        <v>862</v>
      </c>
      <c r="G1420">
        <v>596</v>
      </c>
      <c r="H1420" t="s">
        <v>11</v>
      </c>
      <c r="I1420" t="b" cm="1">
        <f t="array" ref="I1420">isDup(B1420,B1421, 0.7)</f>
        <v>0</v>
      </c>
    </row>
    <row r="1421" spans="1:9" ht="17" x14ac:dyDescent="0.2">
      <c r="A1421" t="s">
        <v>3055</v>
      </c>
      <c r="B1421" s="1" t="s">
        <v>3056</v>
      </c>
      <c r="C1421" t="s">
        <v>898</v>
      </c>
      <c r="D1421" s="1" t="s">
        <v>2</v>
      </c>
      <c r="E1421" t="b">
        <v>0</v>
      </c>
      <c r="F1421">
        <v>200</v>
      </c>
      <c r="G1421">
        <v>150</v>
      </c>
      <c r="H1421" t="s">
        <v>11</v>
      </c>
      <c r="I1421" t="b" cm="1">
        <f t="array" ref="I1421">isDup(B1421,B1422, 0.7)</f>
        <v>0</v>
      </c>
    </row>
    <row r="1422" spans="1:9" ht="17" x14ac:dyDescent="0.2">
      <c r="A1422" t="s">
        <v>2396</v>
      </c>
      <c r="B1422" s="1" t="s">
        <v>2397</v>
      </c>
      <c r="C1422" t="s">
        <v>2398</v>
      </c>
      <c r="D1422" s="1" t="s">
        <v>2399</v>
      </c>
      <c r="E1422" t="b">
        <v>0</v>
      </c>
      <c r="F1422">
        <v>66</v>
      </c>
      <c r="G1422">
        <v>92</v>
      </c>
      <c r="H1422" t="s">
        <v>11</v>
      </c>
      <c r="I1422" t="b" cm="1">
        <f t="array" ref="I1422">isDup(B1422,B1423, 0.7)</f>
        <v>0</v>
      </c>
    </row>
    <row r="1423" spans="1:9" ht="17" x14ac:dyDescent="0.2">
      <c r="A1423" t="s">
        <v>2655</v>
      </c>
      <c r="B1423" s="1" t="s">
        <v>2656</v>
      </c>
      <c r="C1423" t="s">
        <v>2657</v>
      </c>
      <c r="D1423" s="1" t="s">
        <v>2658</v>
      </c>
      <c r="E1423" t="b">
        <v>0</v>
      </c>
      <c r="F1423">
        <v>2076</v>
      </c>
      <c r="G1423">
        <v>300</v>
      </c>
      <c r="H1423" t="s">
        <v>11</v>
      </c>
      <c r="I1423" t="b" cm="1">
        <f t="array" ref="I1423">isDup(B1423,B1424, 0.7)</f>
        <v>0</v>
      </c>
    </row>
    <row r="1424" spans="1:9" ht="34" x14ac:dyDescent="0.2">
      <c r="A1424" t="s">
        <v>3003</v>
      </c>
      <c r="B1424" s="1" t="s">
        <v>3004</v>
      </c>
      <c r="C1424" t="s">
        <v>2642</v>
      </c>
      <c r="D1424" s="1" t="s">
        <v>2256</v>
      </c>
      <c r="E1424" t="b">
        <v>0</v>
      </c>
      <c r="F1424">
        <v>107</v>
      </c>
      <c r="G1424">
        <v>67</v>
      </c>
      <c r="H1424" t="s">
        <v>11</v>
      </c>
      <c r="I1424" t="b" cm="1">
        <f t="array" ref="I1424">isDup(B1424,B1425, 0.7)</f>
        <v>0</v>
      </c>
    </row>
    <row r="1425" spans="1:9" ht="17" x14ac:dyDescent="0.2">
      <c r="A1425" t="s">
        <v>2378</v>
      </c>
      <c r="B1425" s="1" t="s">
        <v>2379</v>
      </c>
      <c r="C1425" t="s">
        <v>483</v>
      </c>
      <c r="D1425" s="1" t="s">
        <v>2</v>
      </c>
      <c r="E1425" t="b">
        <v>0</v>
      </c>
      <c r="F1425">
        <v>13924</v>
      </c>
      <c r="G1425">
        <v>598</v>
      </c>
      <c r="H1425" t="s">
        <v>11</v>
      </c>
      <c r="I1425" t="b" cm="1">
        <f t="array" ref="I1425">isDup(B1425,B1426, 0.7)</f>
        <v>0</v>
      </c>
    </row>
    <row r="1426" spans="1:9" ht="34" x14ac:dyDescent="0.2">
      <c r="A1426" t="s">
        <v>1006</v>
      </c>
      <c r="B1426" s="1" t="s">
        <v>1007</v>
      </c>
      <c r="C1426" t="s">
        <v>1008</v>
      </c>
      <c r="D1426" s="1" t="s">
        <v>1009</v>
      </c>
      <c r="E1426" t="b">
        <v>0</v>
      </c>
      <c r="F1426">
        <v>109</v>
      </c>
      <c r="G1426">
        <v>382</v>
      </c>
      <c r="H1426" t="s">
        <v>11</v>
      </c>
      <c r="I1426" t="b" cm="1">
        <f t="array" ref="I1426">isDup(B1426,B1427, 0.7)</f>
        <v>0</v>
      </c>
    </row>
    <row r="1427" spans="1:9" ht="34" x14ac:dyDescent="0.2">
      <c r="A1427" t="s">
        <v>6287</v>
      </c>
      <c r="B1427" s="1" t="s">
        <v>6288</v>
      </c>
      <c r="C1427" t="s">
        <v>944</v>
      </c>
      <c r="D1427" s="1" t="s">
        <v>2</v>
      </c>
      <c r="E1427" t="b">
        <v>0</v>
      </c>
      <c r="F1427">
        <v>147</v>
      </c>
      <c r="G1427">
        <v>142</v>
      </c>
      <c r="H1427" t="s">
        <v>47</v>
      </c>
      <c r="I1427" t="b" cm="1">
        <f t="array" ref="I1427">isDup(B1427,B1428, 0.7)</f>
        <v>0</v>
      </c>
    </row>
    <row r="1428" spans="1:9" ht="17" x14ac:dyDescent="0.2">
      <c r="A1428" t="s">
        <v>3482</v>
      </c>
      <c r="B1428" s="1" t="s">
        <v>3483</v>
      </c>
      <c r="C1428" t="s">
        <v>3484</v>
      </c>
      <c r="D1428" s="1" t="s">
        <v>3485</v>
      </c>
      <c r="E1428" t="b">
        <v>0</v>
      </c>
      <c r="F1428">
        <v>934</v>
      </c>
      <c r="G1428">
        <v>776</v>
      </c>
      <c r="H1428" t="s">
        <v>11</v>
      </c>
      <c r="I1428" t="b" cm="1">
        <f t="array" ref="I1428">isDup(B1428,B1429, 0.7)</f>
        <v>0</v>
      </c>
    </row>
    <row r="1429" spans="1:9" ht="17" x14ac:dyDescent="0.2">
      <c r="A1429" t="s">
        <v>3806</v>
      </c>
      <c r="B1429" s="1" t="s">
        <v>3807</v>
      </c>
      <c r="C1429" t="s">
        <v>3638</v>
      </c>
      <c r="D1429" s="1" t="s">
        <v>2331</v>
      </c>
      <c r="E1429" t="b">
        <v>0</v>
      </c>
      <c r="F1429">
        <v>798</v>
      </c>
      <c r="G1429">
        <v>1616</v>
      </c>
      <c r="H1429" t="s">
        <v>11</v>
      </c>
      <c r="I1429" t="b" cm="1">
        <f t="array" ref="I1429">isDup(B1429,B1430, 0.7)</f>
        <v>0</v>
      </c>
    </row>
    <row r="1430" spans="1:9" ht="34" x14ac:dyDescent="0.2">
      <c r="A1430" t="s">
        <v>7198</v>
      </c>
      <c r="B1430" s="1" t="s">
        <v>7199</v>
      </c>
      <c r="C1430" t="s">
        <v>736</v>
      </c>
      <c r="D1430" s="1" t="s">
        <v>2</v>
      </c>
      <c r="E1430" t="b">
        <v>0</v>
      </c>
      <c r="F1430">
        <v>17347</v>
      </c>
      <c r="G1430">
        <v>12516</v>
      </c>
      <c r="H1430" t="s">
        <v>11</v>
      </c>
      <c r="I1430" t="b" cm="1">
        <f t="array" ref="I1430">isDup(B1430,B1431, 0.7)</f>
        <v>0</v>
      </c>
    </row>
    <row r="1431" spans="1:9" ht="17" x14ac:dyDescent="0.2">
      <c r="A1431" t="s">
        <v>7061</v>
      </c>
      <c r="B1431" s="1" t="s">
        <v>7062</v>
      </c>
      <c r="C1431" t="s">
        <v>7063</v>
      </c>
      <c r="D1431" s="1" t="s">
        <v>7064</v>
      </c>
      <c r="E1431" t="b">
        <v>0</v>
      </c>
      <c r="F1431">
        <v>19</v>
      </c>
      <c r="G1431">
        <v>66</v>
      </c>
      <c r="H1431" t="s">
        <v>11</v>
      </c>
      <c r="I1431" t="b" cm="1">
        <f t="array" ref="I1431">isDup(B1431,B1432, 0.7)</f>
        <v>0</v>
      </c>
    </row>
    <row r="1432" spans="1:9" ht="34" x14ac:dyDescent="0.2">
      <c r="A1432" t="s">
        <v>6222</v>
      </c>
      <c r="B1432" s="1" t="s">
        <v>6223</v>
      </c>
      <c r="C1432" t="s">
        <v>2991</v>
      </c>
      <c r="D1432" s="1" t="s">
        <v>6224</v>
      </c>
      <c r="E1432" t="b">
        <v>0</v>
      </c>
      <c r="F1432">
        <v>49</v>
      </c>
      <c r="G1432">
        <v>472</v>
      </c>
      <c r="H1432" t="s">
        <v>11</v>
      </c>
      <c r="I1432" t="b" cm="1">
        <f t="array" ref="I1432">isDup(B1432,B1433, 0.7)</f>
        <v>0</v>
      </c>
    </row>
    <row r="1433" spans="1:9" ht="34" x14ac:dyDescent="0.2">
      <c r="A1433" t="s">
        <v>6342</v>
      </c>
      <c r="B1433" s="1" t="s">
        <v>6343</v>
      </c>
      <c r="C1433" t="s">
        <v>726</v>
      </c>
      <c r="D1433" s="1" t="s">
        <v>1453</v>
      </c>
      <c r="E1433" t="b">
        <v>0</v>
      </c>
      <c r="F1433">
        <v>48</v>
      </c>
      <c r="G1433">
        <v>62</v>
      </c>
      <c r="H1433" t="s">
        <v>11</v>
      </c>
      <c r="I1433" t="b" cm="1">
        <f t="array" ref="I1433">isDup(B1433,B1434, 0.7)</f>
        <v>0</v>
      </c>
    </row>
    <row r="1434" spans="1:9" ht="34" x14ac:dyDescent="0.2">
      <c r="A1434" t="s">
        <v>5820</v>
      </c>
      <c r="B1434" s="1" t="s">
        <v>5821</v>
      </c>
      <c r="C1434" t="s">
        <v>607</v>
      </c>
      <c r="D1434" s="1" t="s">
        <v>2986</v>
      </c>
      <c r="E1434" t="b">
        <v>0</v>
      </c>
      <c r="F1434">
        <v>138</v>
      </c>
      <c r="G1434">
        <v>148</v>
      </c>
      <c r="H1434" t="s">
        <v>11</v>
      </c>
      <c r="I1434" t="b" cm="1">
        <f t="array" ref="I1434">isDup(B1434,B1435, 0.7)</f>
        <v>0</v>
      </c>
    </row>
    <row r="1435" spans="1:9" ht="34" x14ac:dyDescent="0.2">
      <c r="A1435" t="s">
        <v>5294</v>
      </c>
      <c r="B1435" s="1" t="s">
        <v>5295</v>
      </c>
      <c r="C1435" t="s">
        <v>5296</v>
      </c>
      <c r="D1435" s="1" t="s">
        <v>5297</v>
      </c>
      <c r="E1435" t="b">
        <v>0</v>
      </c>
      <c r="F1435">
        <v>42</v>
      </c>
      <c r="G1435">
        <v>176</v>
      </c>
      <c r="H1435" t="s">
        <v>11</v>
      </c>
      <c r="I1435" t="b" cm="1">
        <f t="array" ref="I1435">isDup(B1435,B1436, 0.7)</f>
        <v>0</v>
      </c>
    </row>
    <row r="1436" spans="1:9" ht="34" x14ac:dyDescent="0.2">
      <c r="A1436" t="s">
        <v>5747</v>
      </c>
      <c r="B1436" s="1" t="s">
        <v>5748</v>
      </c>
      <c r="C1436" t="s">
        <v>5749</v>
      </c>
      <c r="D1436" s="1" t="s">
        <v>2</v>
      </c>
      <c r="E1436" t="b">
        <v>0</v>
      </c>
      <c r="F1436">
        <v>12</v>
      </c>
      <c r="G1436">
        <v>34</v>
      </c>
      <c r="H1436" t="s">
        <v>11</v>
      </c>
      <c r="I1436" t="b" cm="1">
        <f t="array" ref="I1436">isDup(B1436,B1437, 0.7)</f>
        <v>0</v>
      </c>
    </row>
    <row r="1437" spans="1:9" ht="17" x14ac:dyDescent="0.2">
      <c r="A1437" t="s">
        <v>3549</v>
      </c>
      <c r="B1437" s="1" t="s">
        <v>3550</v>
      </c>
      <c r="C1437" t="s">
        <v>2421</v>
      </c>
      <c r="D1437" s="1" t="s">
        <v>2</v>
      </c>
      <c r="E1437" t="b">
        <v>0</v>
      </c>
      <c r="F1437">
        <v>82</v>
      </c>
      <c r="G1437">
        <v>91</v>
      </c>
      <c r="H1437" t="s">
        <v>11</v>
      </c>
      <c r="I1437" t="b" cm="1">
        <f t="array" ref="I1437">isDup(B1437,B1438, 0.7)</f>
        <v>0</v>
      </c>
    </row>
    <row r="1438" spans="1:9" ht="34" x14ac:dyDescent="0.2">
      <c r="A1438" t="s">
        <v>3909</v>
      </c>
      <c r="B1438" s="1" t="s">
        <v>3910</v>
      </c>
      <c r="C1438" t="s">
        <v>1592</v>
      </c>
      <c r="D1438" s="1" t="s">
        <v>1593</v>
      </c>
      <c r="E1438" t="b">
        <v>0</v>
      </c>
      <c r="F1438">
        <v>4</v>
      </c>
      <c r="G1438">
        <v>0</v>
      </c>
      <c r="H1438" t="s">
        <v>11</v>
      </c>
      <c r="I1438" t="b" cm="1">
        <f t="array" ref="I1438">isDup(B1438,B1439, 0.7)</f>
        <v>0</v>
      </c>
    </row>
    <row r="1439" spans="1:9" ht="17" x14ac:dyDescent="0.2">
      <c r="A1439" t="s">
        <v>6968</v>
      </c>
      <c r="B1439" s="1" t="s">
        <v>6969</v>
      </c>
      <c r="C1439" t="s">
        <v>6970</v>
      </c>
      <c r="D1439" s="1" t="s">
        <v>6971</v>
      </c>
      <c r="E1439" t="b">
        <v>0</v>
      </c>
      <c r="F1439">
        <v>421</v>
      </c>
      <c r="G1439">
        <v>270</v>
      </c>
      <c r="H1439" t="s">
        <v>11</v>
      </c>
      <c r="I1439" t="b" cm="1">
        <f t="array" ref="I1439">isDup(B1439,B1440, 0.7)</f>
        <v>0</v>
      </c>
    </row>
    <row r="1440" spans="1:9" ht="17" x14ac:dyDescent="0.2">
      <c r="A1440" t="s">
        <v>3459</v>
      </c>
      <c r="B1440" s="1" t="s">
        <v>3460</v>
      </c>
      <c r="C1440" t="s">
        <v>3461</v>
      </c>
      <c r="D1440" s="1" t="s">
        <v>3462</v>
      </c>
      <c r="E1440" t="b">
        <v>0</v>
      </c>
      <c r="F1440">
        <v>157</v>
      </c>
      <c r="G1440">
        <v>234</v>
      </c>
      <c r="H1440" t="s">
        <v>11</v>
      </c>
      <c r="I1440" t="b" cm="1">
        <f t="array" ref="I1440">isDup(B1440,B1441, 0.7)</f>
        <v>0</v>
      </c>
    </row>
    <row r="1441" spans="1:9" ht="34" x14ac:dyDescent="0.2">
      <c r="A1441" t="s">
        <v>3676</v>
      </c>
      <c r="B1441" s="1" t="s">
        <v>3677</v>
      </c>
      <c r="C1441" t="s">
        <v>3678</v>
      </c>
      <c r="D1441" s="1" t="s">
        <v>3679</v>
      </c>
      <c r="E1441" t="b">
        <v>0</v>
      </c>
      <c r="F1441">
        <v>2771</v>
      </c>
      <c r="G1441">
        <v>457</v>
      </c>
      <c r="H1441" t="s">
        <v>11</v>
      </c>
      <c r="I1441" t="b" cm="1">
        <f t="array" ref="I1441">isDup(B1441,B1442, 0.7)</f>
        <v>0</v>
      </c>
    </row>
    <row r="1442" spans="1:9" ht="17" x14ac:dyDescent="0.2">
      <c r="A1442" t="s">
        <v>3532</v>
      </c>
      <c r="B1442" s="1" t="s">
        <v>3534</v>
      </c>
      <c r="C1442" t="s">
        <v>410</v>
      </c>
      <c r="D1442" s="1" t="s">
        <v>3454</v>
      </c>
      <c r="E1442" t="b">
        <v>0</v>
      </c>
      <c r="F1442">
        <v>813</v>
      </c>
      <c r="G1442">
        <v>789</v>
      </c>
      <c r="H1442" t="s">
        <v>11</v>
      </c>
      <c r="I1442" t="b" cm="1">
        <f t="array" ref="I1442">isDup(B1442,B1443, 0.7)</f>
        <v>0</v>
      </c>
    </row>
    <row r="1443" spans="1:9" ht="34" x14ac:dyDescent="0.2">
      <c r="A1443" t="s">
        <v>3590</v>
      </c>
      <c r="B1443" s="1" t="s">
        <v>3591</v>
      </c>
      <c r="C1443" t="s">
        <v>3592</v>
      </c>
      <c r="D1443" s="1" t="s">
        <v>2</v>
      </c>
      <c r="E1443" t="b">
        <v>0</v>
      </c>
      <c r="F1443">
        <v>365</v>
      </c>
      <c r="G1443">
        <v>454</v>
      </c>
      <c r="H1443" t="s">
        <v>11</v>
      </c>
      <c r="I1443" t="b" cm="1">
        <f t="array" ref="I1443">isDup(B1443,B1444, 0.7)</f>
        <v>0</v>
      </c>
    </row>
    <row r="1444" spans="1:9" ht="17" x14ac:dyDescent="0.2">
      <c r="A1444" t="s">
        <v>4785</v>
      </c>
      <c r="B1444" s="1" t="s">
        <v>4786</v>
      </c>
      <c r="C1444" t="s">
        <v>726</v>
      </c>
      <c r="D1444" s="1" t="s">
        <v>4787</v>
      </c>
      <c r="E1444" t="b">
        <v>0</v>
      </c>
      <c r="F1444">
        <v>613</v>
      </c>
      <c r="G1444">
        <v>255</v>
      </c>
      <c r="H1444" t="s">
        <v>11</v>
      </c>
      <c r="I1444" t="b" cm="1">
        <f t="array" ref="I1444">isDup(B1444,B1445, 0.7)</f>
        <v>0</v>
      </c>
    </row>
    <row r="1445" spans="1:9" ht="34" x14ac:dyDescent="0.2">
      <c r="A1445" t="s">
        <v>5695</v>
      </c>
      <c r="B1445" s="1" t="s">
        <v>5696</v>
      </c>
      <c r="C1445" t="s">
        <v>1342</v>
      </c>
      <c r="D1445" s="1" t="s">
        <v>2</v>
      </c>
      <c r="E1445" t="b">
        <v>0</v>
      </c>
      <c r="F1445">
        <v>298</v>
      </c>
      <c r="G1445">
        <v>311</v>
      </c>
      <c r="H1445" t="s">
        <v>11</v>
      </c>
      <c r="I1445" t="b" cm="1">
        <f t="array" ref="I1445">isDup(B1445,B1446, 0.7)</f>
        <v>0</v>
      </c>
    </row>
    <row r="1446" spans="1:9" ht="34" x14ac:dyDescent="0.2">
      <c r="A1446" t="s">
        <v>4900</v>
      </c>
      <c r="B1446" s="1" t="s">
        <v>4901</v>
      </c>
      <c r="C1446" t="s">
        <v>4902</v>
      </c>
      <c r="D1446" s="1" t="s">
        <v>4903</v>
      </c>
      <c r="E1446" t="b">
        <v>0</v>
      </c>
      <c r="F1446">
        <v>316</v>
      </c>
      <c r="G1446">
        <v>428</v>
      </c>
      <c r="H1446" t="s">
        <v>11</v>
      </c>
      <c r="I1446" t="b" cm="1">
        <f t="array" ref="I1446">isDup(B1446,B1447, 0.7)</f>
        <v>0</v>
      </c>
    </row>
    <row r="1447" spans="1:9" ht="17" x14ac:dyDescent="0.2">
      <c r="A1447" t="s">
        <v>4864</v>
      </c>
      <c r="B1447" s="1" t="s">
        <v>4865</v>
      </c>
      <c r="C1447" t="s">
        <v>4866</v>
      </c>
      <c r="D1447" s="1" t="s">
        <v>2</v>
      </c>
      <c r="E1447" t="b">
        <v>0</v>
      </c>
      <c r="F1447">
        <v>49</v>
      </c>
      <c r="G1447">
        <v>109</v>
      </c>
      <c r="H1447" t="s">
        <v>11</v>
      </c>
      <c r="I1447" t="b" cm="1">
        <f t="array" ref="I1447">isDup(B1447,B1448, 0.7)</f>
        <v>0</v>
      </c>
    </row>
    <row r="1448" spans="1:9" ht="34" x14ac:dyDescent="0.2">
      <c r="A1448" t="s">
        <v>6060</v>
      </c>
      <c r="B1448" s="1" t="s">
        <v>6061</v>
      </c>
      <c r="C1448" t="s">
        <v>6062</v>
      </c>
      <c r="D1448" s="1" t="s">
        <v>2</v>
      </c>
      <c r="E1448" t="b">
        <v>0</v>
      </c>
      <c r="F1448">
        <v>137</v>
      </c>
      <c r="G1448">
        <v>154</v>
      </c>
      <c r="H1448" t="s">
        <v>11</v>
      </c>
      <c r="I1448" t="b" cm="1">
        <f t="array" ref="I1448">isDup(B1448,B1449, 0.7)</f>
        <v>0</v>
      </c>
    </row>
    <row r="1449" spans="1:9" ht="17" x14ac:dyDescent="0.2">
      <c r="A1449" t="s">
        <v>4146</v>
      </c>
      <c r="B1449" s="1" t="s">
        <v>4147</v>
      </c>
      <c r="C1449" t="s">
        <v>995</v>
      </c>
      <c r="D1449" s="1" t="s">
        <v>2</v>
      </c>
      <c r="E1449" t="b">
        <v>0</v>
      </c>
      <c r="F1449">
        <v>20</v>
      </c>
      <c r="G1449">
        <v>145</v>
      </c>
      <c r="H1449" t="s">
        <v>3</v>
      </c>
      <c r="I1449" t="b" cm="1">
        <f t="array" ref="I1449">isDup(B1449,B1450, 0.7)</f>
        <v>0</v>
      </c>
    </row>
    <row r="1450" spans="1:9" ht="34" x14ac:dyDescent="0.2">
      <c r="A1450" t="s">
        <v>2984</v>
      </c>
      <c r="B1450" s="1" t="s">
        <v>2985</v>
      </c>
      <c r="C1450" t="s">
        <v>417</v>
      </c>
      <c r="D1450" s="1" t="s">
        <v>2986</v>
      </c>
      <c r="E1450" t="b">
        <v>0</v>
      </c>
      <c r="F1450">
        <v>2297</v>
      </c>
      <c r="G1450">
        <v>1522</v>
      </c>
      <c r="H1450" t="s">
        <v>11</v>
      </c>
      <c r="I1450" t="b" cm="1">
        <f t="array" ref="I1450">isDup(B1450,B1451, 0.7)</f>
        <v>0</v>
      </c>
    </row>
    <row r="1451" spans="1:9" ht="34" x14ac:dyDescent="0.2">
      <c r="A1451" t="s">
        <v>4155</v>
      </c>
      <c r="B1451" s="1" t="s">
        <v>4156</v>
      </c>
      <c r="C1451" t="s">
        <v>3793</v>
      </c>
      <c r="D1451" s="1" t="s">
        <v>2</v>
      </c>
      <c r="E1451" t="b">
        <v>0</v>
      </c>
      <c r="F1451">
        <v>5</v>
      </c>
      <c r="G1451">
        <v>55</v>
      </c>
      <c r="H1451" t="s">
        <v>370</v>
      </c>
      <c r="I1451" t="b" cm="1">
        <f t="array" ref="I1451">isDup(B1451,B1452, 0.7)</f>
        <v>0</v>
      </c>
    </row>
    <row r="1452" spans="1:9" ht="34" x14ac:dyDescent="0.2">
      <c r="A1452" t="s">
        <v>3585</v>
      </c>
      <c r="B1452" s="1" t="s">
        <v>3586</v>
      </c>
      <c r="C1452" t="s">
        <v>1005</v>
      </c>
      <c r="D1452" s="1" t="s">
        <v>2</v>
      </c>
      <c r="E1452" t="b">
        <v>0</v>
      </c>
      <c r="F1452">
        <v>594</v>
      </c>
      <c r="G1452">
        <v>236</v>
      </c>
      <c r="H1452" t="s">
        <v>11</v>
      </c>
      <c r="I1452" t="b" cm="1">
        <f t="array" ref="I1452">isDup(B1452,B1453, 0.7)</f>
        <v>0</v>
      </c>
    </row>
    <row r="1453" spans="1:9" ht="34" x14ac:dyDescent="0.2">
      <c r="A1453" t="s">
        <v>6604</v>
      </c>
      <c r="B1453" s="1" t="s">
        <v>6605</v>
      </c>
      <c r="C1453" t="s">
        <v>5912</v>
      </c>
      <c r="D1453" s="1" t="s">
        <v>6606</v>
      </c>
      <c r="E1453" t="b">
        <v>0</v>
      </c>
      <c r="F1453">
        <v>742</v>
      </c>
      <c r="G1453">
        <v>940</v>
      </c>
      <c r="H1453" t="s">
        <v>11</v>
      </c>
      <c r="I1453" t="b" cm="1">
        <f t="array" ref="I1453">isDup(B1453,B1454, 0.7)</f>
        <v>0</v>
      </c>
    </row>
    <row r="1454" spans="1:9" ht="17" x14ac:dyDescent="0.2">
      <c r="A1454" t="s">
        <v>6905</v>
      </c>
      <c r="B1454" s="1" t="s">
        <v>6906</v>
      </c>
      <c r="C1454" t="s">
        <v>6907</v>
      </c>
      <c r="D1454" s="1" t="s">
        <v>6908</v>
      </c>
      <c r="E1454" t="b">
        <v>0</v>
      </c>
      <c r="F1454">
        <v>32</v>
      </c>
      <c r="G1454">
        <v>91</v>
      </c>
      <c r="H1454" t="s">
        <v>11</v>
      </c>
      <c r="I1454" t="b" cm="1">
        <f t="array" ref="I1454">isDup(B1454,B1455, 0.7)</f>
        <v>0</v>
      </c>
    </row>
    <row r="1455" spans="1:9" ht="17" x14ac:dyDescent="0.2">
      <c r="A1455" t="s">
        <v>7194</v>
      </c>
      <c r="B1455" s="1" t="s">
        <v>7195</v>
      </c>
      <c r="C1455" t="s">
        <v>7187</v>
      </c>
      <c r="D1455" s="1" t="s">
        <v>2</v>
      </c>
      <c r="E1455" t="b">
        <v>0</v>
      </c>
      <c r="F1455">
        <v>1960</v>
      </c>
      <c r="G1455">
        <v>233</v>
      </c>
      <c r="H1455" t="s">
        <v>11</v>
      </c>
      <c r="I1455" t="b" cm="1">
        <f t="array" ref="I1455">isDup(B1455,B1456, 0.7)</f>
        <v>1</v>
      </c>
    </row>
    <row r="1456" spans="1:9" ht="17" x14ac:dyDescent="0.2">
      <c r="A1456" t="s">
        <v>7185</v>
      </c>
      <c r="B1456" s="1" t="s">
        <v>7186</v>
      </c>
      <c r="C1456" t="s">
        <v>7187</v>
      </c>
      <c r="D1456" s="1" t="s">
        <v>2</v>
      </c>
      <c r="E1456" t="b">
        <v>0</v>
      </c>
      <c r="F1456">
        <v>1960</v>
      </c>
      <c r="G1456">
        <v>233</v>
      </c>
      <c r="H1456" t="s">
        <v>11</v>
      </c>
      <c r="I1456" t="b" cm="1">
        <f t="array" ref="I1456">isDup(B1456,B1457, 0.7)</f>
        <v>0</v>
      </c>
    </row>
    <row r="1457" spans="1:9" ht="17" x14ac:dyDescent="0.2">
      <c r="A1457" t="s">
        <v>7175</v>
      </c>
      <c r="B1457" s="1" t="s">
        <v>7176</v>
      </c>
      <c r="C1457" t="s">
        <v>607</v>
      </c>
      <c r="D1457" s="1" t="s">
        <v>7177</v>
      </c>
      <c r="E1457" t="b">
        <v>0</v>
      </c>
      <c r="F1457">
        <v>112</v>
      </c>
      <c r="G1457">
        <v>379</v>
      </c>
      <c r="H1457" t="s">
        <v>11</v>
      </c>
      <c r="I1457" t="b" cm="1">
        <f t="array" ref="I1457">isDup(B1457,B1458, 0.7)</f>
        <v>0</v>
      </c>
    </row>
    <row r="1458" spans="1:9" ht="17" x14ac:dyDescent="0.2">
      <c r="A1458" t="s">
        <v>5924</v>
      </c>
      <c r="B1458" s="1" t="s">
        <v>5925</v>
      </c>
      <c r="C1458" t="s">
        <v>5926</v>
      </c>
      <c r="D1458" s="1" t="s">
        <v>5927</v>
      </c>
      <c r="E1458" t="b">
        <v>0</v>
      </c>
      <c r="F1458">
        <v>122</v>
      </c>
      <c r="G1458">
        <v>82</v>
      </c>
      <c r="H1458" t="s">
        <v>11</v>
      </c>
      <c r="I1458" t="b" cm="1">
        <f t="array" ref="I1458">isDup(B1458,B1459, 0.7)</f>
        <v>0</v>
      </c>
    </row>
    <row r="1459" spans="1:9" ht="17" x14ac:dyDescent="0.2">
      <c r="A1459" t="s">
        <v>5524</v>
      </c>
      <c r="B1459" s="1" t="s">
        <v>5526</v>
      </c>
      <c r="C1459" t="s">
        <v>3444</v>
      </c>
      <c r="D1459" s="1" t="s">
        <v>2</v>
      </c>
      <c r="E1459" t="b">
        <v>0</v>
      </c>
      <c r="F1459">
        <v>409</v>
      </c>
      <c r="G1459">
        <v>131</v>
      </c>
      <c r="H1459" t="s">
        <v>11</v>
      </c>
      <c r="I1459" t="b" cm="1">
        <f t="array" ref="I1459">isDup(B1459,B1460, 0.7)</f>
        <v>0</v>
      </c>
    </row>
    <row r="1460" spans="1:9" ht="34" x14ac:dyDescent="0.2">
      <c r="A1460" t="s">
        <v>6463</v>
      </c>
      <c r="B1460" s="1" t="s">
        <v>6464</v>
      </c>
      <c r="C1460" t="s">
        <v>700</v>
      </c>
      <c r="D1460" s="1" t="s">
        <v>2</v>
      </c>
      <c r="E1460" t="b">
        <v>0</v>
      </c>
      <c r="F1460">
        <v>13402</v>
      </c>
      <c r="G1460">
        <v>4249</v>
      </c>
      <c r="H1460" t="s">
        <v>11</v>
      </c>
      <c r="I1460" t="b" cm="1">
        <f t="array" ref="I1460">isDup(B1460,B1461, 0.7)</f>
        <v>0</v>
      </c>
    </row>
    <row r="1461" spans="1:9" ht="17" x14ac:dyDescent="0.2">
      <c r="A1461" t="s">
        <v>6321</v>
      </c>
      <c r="B1461" s="1" t="s">
        <v>6322</v>
      </c>
      <c r="C1461" t="s">
        <v>472</v>
      </c>
      <c r="D1461" s="1" t="s">
        <v>6323</v>
      </c>
      <c r="E1461" t="b">
        <v>0</v>
      </c>
      <c r="F1461">
        <v>10</v>
      </c>
      <c r="G1461">
        <v>29</v>
      </c>
      <c r="H1461" t="s">
        <v>11</v>
      </c>
      <c r="I1461" t="b" cm="1">
        <f t="array" ref="I1461">isDup(B1461,B1462, 0.7)</f>
        <v>0</v>
      </c>
    </row>
    <row r="1462" spans="1:9" ht="34" x14ac:dyDescent="0.2">
      <c r="A1462" t="s">
        <v>7140</v>
      </c>
      <c r="B1462" s="1" t="s">
        <v>7141</v>
      </c>
      <c r="C1462" t="s">
        <v>57</v>
      </c>
      <c r="D1462" s="1" t="s">
        <v>2</v>
      </c>
      <c r="E1462" t="b">
        <v>0</v>
      </c>
      <c r="F1462">
        <v>76</v>
      </c>
      <c r="G1462">
        <v>115</v>
      </c>
      <c r="H1462" t="s">
        <v>11</v>
      </c>
      <c r="I1462" t="b" cm="1">
        <f t="array" ref="I1462">isDup(B1462,B1463, 0.7)</f>
        <v>0</v>
      </c>
    </row>
    <row r="1463" spans="1:9" ht="34" x14ac:dyDescent="0.2">
      <c r="A1463" t="s">
        <v>4991</v>
      </c>
      <c r="B1463" s="1" t="s">
        <v>4992</v>
      </c>
      <c r="C1463" t="s">
        <v>4555</v>
      </c>
      <c r="D1463" s="1" t="s">
        <v>4556</v>
      </c>
      <c r="E1463" t="b">
        <v>0</v>
      </c>
      <c r="F1463">
        <v>2059</v>
      </c>
      <c r="G1463">
        <v>503</v>
      </c>
      <c r="H1463" t="s">
        <v>11</v>
      </c>
      <c r="I1463" t="b" cm="1">
        <f t="array" ref="I1463">isDup(B1463,B1464, 0.7)</f>
        <v>1</v>
      </c>
    </row>
    <row r="1464" spans="1:9" ht="34" x14ac:dyDescent="0.2">
      <c r="A1464" t="s">
        <v>4964</v>
      </c>
      <c r="B1464" s="1" t="s">
        <v>4965</v>
      </c>
      <c r="C1464" t="s">
        <v>4555</v>
      </c>
      <c r="D1464" s="1" t="s">
        <v>4556</v>
      </c>
      <c r="E1464" t="b">
        <v>0</v>
      </c>
      <c r="F1464">
        <v>2058</v>
      </c>
      <c r="G1464">
        <v>503</v>
      </c>
      <c r="H1464" t="s">
        <v>11</v>
      </c>
      <c r="I1464" t="b" cm="1">
        <f t="array" ref="I1464">isDup(B1464,B1465, 0.7)</f>
        <v>1</v>
      </c>
    </row>
    <row r="1465" spans="1:9" ht="34" x14ac:dyDescent="0.2">
      <c r="A1465" t="s">
        <v>5019</v>
      </c>
      <c r="B1465" s="1" t="s">
        <v>5020</v>
      </c>
      <c r="C1465" t="s">
        <v>4555</v>
      </c>
      <c r="D1465" s="1" t="s">
        <v>4556</v>
      </c>
      <c r="E1465" t="b">
        <v>0</v>
      </c>
      <c r="F1465">
        <v>2059</v>
      </c>
      <c r="G1465">
        <v>503</v>
      </c>
      <c r="H1465" t="s">
        <v>11</v>
      </c>
      <c r="I1465" t="b" cm="1">
        <f t="array" ref="I1465">isDup(B1465,B1466, 0.7)</f>
        <v>0</v>
      </c>
    </row>
    <row r="1466" spans="1:9" ht="17" x14ac:dyDescent="0.2">
      <c r="A1466" t="s">
        <v>1110</v>
      </c>
      <c r="B1466" s="1" t="s">
        <v>1111</v>
      </c>
      <c r="C1466" t="s">
        <v>1112</v>
      </c>
      <c r="D1466" s="1" t="s">
        <v>1113</v>
      </c>
      <c r="E1466" t="b">
        <v>0</v>
      </c>
      <c r="F1466">
        <v>3494</v>
      </c>
      <c r="G1466">
        <v>1203</v>
      </c>
      <c r="H1466" t="s">
        <v>11</v>
      </c>
      <c r="I1466" t="b" cm="1">
        <f t="array" ref="I1466">isDup(B1466,B1467, 0.7)</f>
        <v>0</v>
      </c>
    </row>
    <row r="1467" spans="1:9" ht="17" x14ac:dyDescent="0.2">
      <c r="A1467" t="s">
        <v>3815</v>
      </c>
      <c r="B1467" s="1" t="s">
        <v>3816</v>
      </c>
      <c r="C1467" t="s">
        <v>3817</v>
      </c>
      <c r="D1467" s="1" t="s">
        <v>1348</v>
      </c>
      <c r="E1467" t="b">
        <v>0</v>
      </c>
      <c r="F1467">
        <v>6648</v>
      </c>
      <c r="G1467">
        <v>7273</v>
      </c>
      <c r="H1467" t="s">
        <v>3</v>
      </c>
      <c r="I1467" t="b" cm="1">
        <f t="array" ref="I1467">isDup(B1467,B1468, 0.7)</f>
        <v>0</v>
      </c>
    </row>
    <row r="1468" spans="1:9" ht="17" x14ac:dyDescent="0.2">
      <c r="A1468" t="s">
        <v>2578</v>
      </c>
      <c r="B1468" s="1" t="s">
        <v>2579</v>
      </c>
      <c r="C1468" t="s">
        <v>935</v>
      </c>
      <c r="D1468" s="1" t="s">
        <v>2580</v>
      </c>
      <c r="E1468" t="b">
        <v>0</v>
      </c>
      <c r="F1468">
        <v>336</v>
      </c>
      <c r="G1468">
        <v>413</v>
      </c>
      <c r="H1468" t="s">
        <v>11</v>
      </c>
      <c r="I1468" t="b" cm="1">
        <f t="array" ref="I1468">isDup(B1468,B1469, 0.7)</f>
        <v>0</v>
      </c>
    </row>
    <row r="1469" spans="1:9" ht="17" x14ac:dyDescent="0.2">
      <c r="A1469" t="s">
        <v>6047</v>
      </c>
      <c r="B1469" s="1" t="s">
        <v>6048</v>
      </c>
      <c r="C1469" t="s">
        <v>3444</v>
      </c>
      <c r="D1469" s="1" t="s">
        <v>2</v>
      </c>
      <c r="E1469" t="b">
        <v>0</v>
      </c>
      <c r="F1469">
        <v>135</v>
      </c>
      <c r="G1469">
        <v>205</v>
      </c>
      <c r="H1469" t="s">
        <v>47</v>
      </c>
      <c r="I1469" t="b" cm="1">
        <f t="array" ref="I1469">isDup(B1469,B1470, 0.7)</f>
        <v>0</v>
      </c>
    </row>
    <row r="1470" spans="1:9" ht="34" x14ac:dyDescent="0.2">
      <c r="A1470" t="s">
        <v>5125</v>
      </c>
      <c r="B1470" s="1" t="s">
        <v>5126</v>
      </c>
      <c r="C1470" t="s">
        <v>736</v>
      </c>
      <c r="D1470" s="1" t="s">
        <v>2</v>
      </c>
      <c r="E1470" t="b">
        <v>0</v>
      </c>
      <c r="F1470">
        <v>17346</v>
      </c>
      <c r="G1470">
        <v>12512</v>
      </c>
      <c r="H1470" t="s">
        <v>11</v>
      </c>
      <c r="I1470" t="b" cm="1">
        <f t="array" ref="I1470">isDup(B1470,B1471, 0.7)</f>
        <v>0</v>
      </c>
    </row>
    <row r="1471" spans="1:9" ht="34" x14ac:dyDescent="0.2">
      <c r="A1471" t="s">
        <v>6943</v>
      </c>
      <c r="B1471" s="1" t="s">
        <v>6944</v>
      </c>
      <c r="C1471" t="s">
        <v>410</v>
      </c>
      <c r="D1471" s="1" t="s">
        <v>6945</v>
      </c>
      <c r="E1471" t="b">
        <v>0</v>
      </c>
      <c r="F1471">
        <v>190</v>
      </c>
      <c r="G1471">
        <v>209</v>
      </c>
      <c r="H1471" t="s">
        <v>11</v>
      </c>
      <c r="I1471" t="b" cm="1">
        <f t="array" ref="I1471">isDup(B1471,B1472, 0.7)</f>
        <v>0</v>
      </c>
    </row>
    <row r="1472" spans="1:9" ht="34" x14ac:dyDescent="0.2">
      <c r="A1472" t="s">
        <v>3981</v>
      </c>
      <c r="B1472" s="1" t="s">
        <v>3982</v>
      </c>
      <c r="C1472" t="s">
        <v>726</v>
      </c>
      <c r="D1472" s="1" t="s">
        <v>2</v>
      </c>
      <c r="E1472" t="b">
        <v>0</v>
      </c>
      <c r="F1472">
        <v>2030</v>
      </c>
      <c r="G1472">
        <v>3010</v>
      </c>
      <c r="H1472" t="s">
        <v>11</v>
      </c>
      <c r="I1472" t="b" cm="1">
        <f t="array" ref="I1472">isDup(B1472,B1473, 0.7)</f>
        <v>0</v>
      </c>
    </row>
    <row r="1473" spans="1:9" ht="34" x14ac:dyDescent="0.2">
      <c r="A1473" t="s">
        <v>4584</v>
      </c>
      <c r="B1473" s="1" t="s">
        <v>4585</v>
      </c>
      <c r="C1473" t="s">
        <v>3249</v>
      </c>
      <c r="D1473" s="1" t="s">
        <v>4586</v>
      </c>
      <c r="E1473" t="b">
        <v>0</v>
      </c>
      <c r="F1473">
        <v>18</v>
      </c>
      <c r="G1473">
        <v>350</v>
      </c>
      <c r="H1473" t="s">
        <v>11</v>
      </c>
      <c r="I1473" t="b" cm="1">
        <f t="array" ref="I1473">isDup(B1473,B1474, 0.7)</f>
        <v>0</v>
      </c>
    </row>
    <row r="1474" spans="1:9" ht="34" x14ac:dyDescent="0.2">
      <c r="A1474" t="s">
        <v>2492</v>
      </c>
      <c r="B1474" s="1" t="s">
        <v>2493</v>
      </c>
      <c r="C1474" t="s">
        <v>490</v>
      </c>
      <c r="D1474" s="1" t="s">
        <v>2494</v>
      </c>
      <c r="E1474" t="b">
        <v>0</v>
      </c>
      <c r="F1474">
        <v>1258</v>
      </c>
      <c r="G1474">
        <v>401</v>
      </c>
      <c r="H1474" t="s">
        <v>11</v>
      </c>
      <c r="I1474" t="b" cm="1">
        <f t="array" ref="I1474">isDup(B1474,B1475, 0.7)</f>
        <v>0</v>
      </c>
    </row>
    <row r="1475" spans="1:9" ht="34" x14ac:dyDescent="0.2">
      <c r="A1475" t="s">
        <v>6925</v>
      </c>
      <c r="B1475" s="1" t="s">
        <v>6926</v>
      </c>
      <c r="C1475" t="s">
        <v>6062</v>
      </c>
      <c r="D1475" s="1" t="s">
        <v>61</v>
      </c>
      <c r="E1475" t="b">
        <v>0</v>
      </c>
      <c r="F1475">
        <v>356</v>
      </c>
      <c r="G1475">
        <v>335</v>
      </c>
      <c r="H1475" t="s">
        <v>11</v>
      </c>
      <c r="I1475" t="b" cm="1">
        <f t="array" ref="I1475">isDup(B1475,B1476, 0.7)</f>
        <v>0</v>
      </c>
    </row>
    <row r="1476" spans="1:9" ht="34" x14ac:dyDescent="0.2">
      <c r="A1476" t="s">
        <v>6311</v>
      </c>
      <c r="B1476" s="1" t="s">
        <v>6312</v>
      </c>
      <c r="C1476" t="s">
        <v>6313</v>
      </c>
      <c r="D1476" s="1" t="s">
        <v>1288</v>
      </c>
      <c r="E1476" t="b">
        <v>0</v>
      </c>
      <c r="F1476">
        <v>726</v>
      </c>
      <c r="G1476">
        <v>1258</v>
      </c>
      <c r="H1476" t="s">
        <v>11</v>
      </c>
      <c r="I1476" t="b" cm="1">
        <f t="array" ref="I1476">isDup(B1476,B1477, 0.7)</f>
        <v>0</v>
      </c>
    </row>
    <row r="1477" spans="1:9" ht="17" x14ac:dyDescent="0.2">
      <c r="A1477" t="s">
        <v>6206</v>
      </c>
      <c r="B1477" s="1" t="s">
        <v>6207</v>
      </c>
      <c r="C1477" t="s">
        <v>584</v>
      </c>
      <c r="D1477" s="1" t="s">
        <v>418</v>
      </c>
      <c r="E1477" t="b">
        <v>0</v>
      </c>
      <c r="F1477">
        <v>341</v>
      </c>
      <c r="G1477">
        <v>360</v>
      </c>
      <c r="H1477" t="s">
        <v>11</v>
      </c>
      <c r="I1477" t="b" cm="1">
        <f t="array" ref="I1477">isDup(B1477,B1478, 0.7)</f>
        <v>0</v>
      </c>
    </row>
    <row r="1478" spans="1:9" ht="34" x14ac:dyDescent="0.2">
      <c r="A1478" t="s">
        <v>4822</v>
      </c>
      <c r="B1478" s="1" t="s">
        <v>4823</v>
      </c>
      <c r="C1478" t="s">
        <v>898</v>
      </c>
      <c r="D1478" s="1" t="s">
        <v>2</v>
      </c>
      <c r="E1478" t="b">
        <v>0</v>
      </c>
      <c r="F1478">
        <v>19</v>
      </c>
      <c r="G1478">
        <v>181</v>
      </c>
      <c r="H1478" t="s">
        <v>11</v>
      </c>
      <c r="I1478" t="b" cm="1">
        <f t="array" ref="I1478">isDup(B1478,B1479, 0.7)</f>
        <v>0</v>
      </c>
    </row>
    <row r="1479" spans="1:9" ht="34" x14ac:dyDescent="0.2">
      <c r="A1479" t="s">
        <v>5854</v>
      </c>
      <c r="B1479" s="1" t="s">
        <v>5855</v>
      </c>
      <c r="C1479" t="s">
        <v>5856</v>
      </c>
      <c r="D1479" s="1" t="s">
        <v>5857</v>
      </c>
      <c r="E1479" t="b">
        <v>0</v>
      </c>
      <c r="F1479">
        <v>47</v>
      </c>
      <c r="G1479">
        <v>85</v>
      </c>
      <c r="H1479" t="s">
        <v>11</v>
      </c>
      <c r="I1479" t="b" cm="1">
        <f t="array" ref="I1479">isDup(B1479,B1480, 0.7)</f>
        <v>0</v>
      </c>
    </row>
    <row r="1480" spans="1:9" ht="17" x14ac:dyDescent="0.2">
      <c r="A1480" t="s">
        <v>3432</v>
      </c>
      <c r="B1480" s="1" t="s">
        <v>3433</v>
      </c>
      <c r="C1480" t="s">
        <v>2486</v>
      </c>
      <c r="D1480" s="1" t="s">
        <v>3434</v>
      </c>
      <c r="E1480" t="b">
        <v>0</v>
      </c>
      <c r="F1480">
        <v>188</v>
      </c>
      <c r="G1480">
        <v>109</v>
      </c>
      <c r="H1480" t="s">
        <v>11</v>
      </c>
      <c r="I1480" t="b" cm="1">
        <f t="array" ref="I1480">isDup(B1480,B1481, 0.7)</f>
        <v>0</v>
      </c>
    </row>
    <row r="1481" spans="1:9" ht="34" x14ac:dyDescent="0.2">
      <c r="A1481" t="s">
        <v>3943</v>
      </c>
      <c r="B1481" s="1" t="s">
        <v>3944</v>
      </c>
      <c r="C1481" t="s">
        <v>226</v>
      </c>
      <c r="D1481" s="1" t="s">
        <v>3945</v>
      </c>
      <c r="E1481" t="b">
        <v>1</v>
      </c>
      <c r="F1481">
        <v>99379</v>
      </c>
      <c r="G1481">
        <v>4518</v>
      </c>
      <c r="H1481" t="s">
        <v>11</v>
      </c>
      <c r="I1481" t="b" cm="1">
        <f t="array" ref="I1481">isDup(B1481,B1482, 0.7)</f>
        <v>0</v>
      </c>
    </row>
    <row r="1482" spans="1:9" ht="34" x14ac:dyDescent="0.2">
      <c r="A1482" t="s">
        <v>1982</v>
      </c>
      <c r="B1482" s="1" t="s">
        <v>1983</v>
      </c>
      <c r="C1482" t="s">
        <v>193</v>
      </c>
      <c r="D1482" s="1" t="s">
        <v>1984</v>
      </c>
      <c r="E1482" t="b">
        <v>0</v>
      </c>
      <c r="F1482">
        <v>70</v>
      </c>
      <c r="G1482">
        <v>249</v>
      </c>
      <c r="H1482" t="s">
        <v>11</v>
      </c>
      <c r="I1482" t="b" cm="1">
        <f t="array" ref="I1482">isDup(B1482,B1483, 0.7)</f>
        <v>0</v>
      </c>
    </row>
    <row r="1483" spans="1:9" ht="34" x14ac:dyDescent="0.2">
      <c r="A1483" t="s">
        <v>1800</v>
      </c>
      <c r="B1483" s="1" t="s">
        <v>1801</v>
      </c>
      <c r="C1483" t="s">
        <v>1648</v>
      </c>
      <c r="D1483" s="1" t="s">
        <v>1802</v>
      </c>
      <c r="E1483" t="b">
        <v>0</v>
      </c>
      <c r="F1483">
        <v>1688</v>
      </c>
      <c r="G1483">
        <v>2246</v>
      </c>
      <c r="H1483" t="s">
        <v>11</v>
      </c>
      <c r="I1483" t="b" cm="1">
        <f t="array" ref="I1483">isDup(B1483,B1484, 0.7)</f>
        <v>0</v>
      </c>
    </row>
    <row r="1484" spans="1:9" ht="17" x14ac:dyDescent="0.2">
      <c r="A1484" t="s">
        <v>5913</v>
      </c>
      <c r="B1484" s="1" t="s">
        <v>5914</v>
      </c>
      <c r="C1484" t="s">
        <v>564</v>
      </c>
      <c r="D1484" s="1" t="s">
        <v>5915</v>
      </c>
      <c r="E1484" t="b">
        <v>0</v>
      </c>
      <c r="F1484">
        <v>13</v>
      </c>
      <c r="G1484">
        <v>53</v>
      </c>
      <c r="H1484" t="s">
        <v>11</v>
      </c>
      <c r="I1484" t="b" cm="1">
        <f t="array" ref="I1484">isDup(B1484,B1485, 0.7)</f>
        <v>0</v>
      </c>
    </row>
    <row r="1485" spans="1:9" ht="17" x14ac:dyDescent="0.2">
      <c r="A1485" t="s">
        <v>2459</v>
      </c>
      <c r="B1485" s="1" t="s">
        <v>2460</v>
      </c>
      <c r="C1485" t="s">
        <v>554</v>
      </c>
      <c r="D1485" s="1" t="s">
        <v>2461</v>
      </c>
      <c r="E1485" t="b">
        <v>0</v>
      </c>
      <c r="F1485">
        <v>15</v>
      </c>
      <c r="G1485">
        <v>55</v>
      </c>
      <c r="H1485" t="s">
        <v>11</v>
      </c>
      <c r="I1485" t="b" cm="1">
        <f t="array" ref="I1485">isDup(B1485,B1486, 0.7)</f>
        <v>0</v>
      </c>
    </row>
    <row r="1486" spans="1:9" ht="17" x14ac:dyDescent="0.2">
      <c r="A1486" t="s">
        <v>3284</v>
      </c>
      <c r="B1486" s="1" t="s">
        <v>3285</v>
      </c>
      <c r="C1486" t="s">
        <v>958</v>
      </c>
      <c r="D1486" s="1" t="s">
        <v>2</v>
      </c>
      <c r="E1486" t="b">
        <v>0</v>
      </c>
      <c r="F1486">
        <v>280</v>
      </c>
      <c r="G1486">
        <v>685</v>
      </c>
      <c r="H1486" t="s">
        <v>11</v>
      </c>
      <c r="I1486" t="b" cm="1">
        <f t="array" ref="I1486">isDup(B1486,B1487, 0.7)</f>
        <v>0</v>
      </c>
    </row>
    <row r="1487" spans="1:9" ht="17" x14ac:dyDescent="0.2">
      <c r="A1487" t="s">
        <v>5553</v>
      </c>
      <c r="B1487" s="1" t="s">
        <v>5554</v>
      </c>
      <c r="C1487" t="s">
        <v>439</v>
      </c>
      <c r="D1487" s="1" t="s">
        <v>2</v>
      </c>
      <c r="E1487" t="b">
        <v>0</v>
      </c>
      <c r="F1487">
        <v>155</v>
      </c>
      <c r="G1487">
        <v>570</v>
      </c>
      <c r="H1487" t="s">
        <v>11</v>
      </c>
      <c r="I1487" t="b" cm="1">
        <f t="array" ref="I1487">isDup(B1487,B1488, 0.7)</f>
        <v>0</v>
      </c>
    </row>
    <row r="1488" spans="1:9" ht="34" x14ac:dyDescent="0.2">
      <c r="A1488" t="s">
        <v>6440</v>
      </c>
      <c r="B1488" s="1" t="s">
        <v>6441</v>
      </c>
      <c r="C1488" t="s">
        <v>1371</v>
      </c>
      <c r="D1488" s="1" t="s">
        <v>6442</v>
      </c>
      <c r="E1488" t="b">
        <v>0</v>
      </c>
      <c r="F1488">
        <v>422</v>
      </c>
      <c r="G1488">
        <v>399</v>
      </c>
      <c r="H1488" t="s">
        <v>11</v>
      </c>
      <c r="I1488" t="b" cm="1">
        <f t="array" ref="I1488">isDup(B1488,B1489, 0.7)</f>
        <v>0</v>
      </c>
    </row>
    <row r="1489" spans="1:9" ht="34" x14ac:dyDescent="0.2">
      <c r="A1489" t="s">
        <v>2063</v>
      </c>
      <c r="B1489" s="1" t="s">
        <v>2064</v>
      </c>
      <c r="C1489" t="s">
        <v>736</v>
      </c>
      <c r="D1489" s="1" t="s">
        <v>2</v>
      </c>
      <c r="E1489" t="b">
        <v>0</v>
      </c>
      <c r="F1489">
        <v>17347</v>
      </c>
      <c r="G1489">
        <v>12513</v>
      </c>
      <c r="H1489" t="s">
        <v>11</v>
      </c>
      <c r="I1489" t="b" cm="1">
        <f t="array" ref="I1489">isDup(B1489,B1490, 0.7)</f>
        <v>0</v>
      </c>
    </row>
    <row r="1490" spans="1:9" ht="17" x14ac:dyDescent="0.2">
      <c r="A1490" t="s">
        <v>2433</v>
      </c>
      <c r="B1490" s="1" t="s">
        <v>2434</v>
      </c>
      <c r="C1490" t="s">
        <v>319</v>
      </c>
      <c r="D1490" s="1" t="s">
        <v>2435</v>
      </c>
      <c r="E1490" t="b">
        <v>0</v>
      </c>
      <c r="F1490">
        <v>753</v>
      </c>
      <c r="G1490">
        <v>98</v>
      </c>
      <c r="H1490" t="s">
        <v>641</v>
      </c>
      <c r="I1490" t="b" cm="1">
        <f t="array" ref="I1490">isDup(B1490,B1491, 0.7)</f>
        <v>0</v>
      </c>
    </row>
    <row r="1491" spans="1:9" ht="34" x14ac:dyDescent="0.2">
      <c r="A1491" t="s">
        <v>5273</v>
      </c>
      <c r="B1491" s="1" t="s">
        <v>5274</v>
      </c>
      <c r="C1491" t="s">
        <v>989</v>
      </c>
      <c r="D1491" s="1" t="s">
        <v>2</v>
      </c>
      <c r="E1491" t="b">
        <v>0</v>
      </c>
      <c r="F1491">
        <v>110</v>
      </c>
      <c r="G1491">
        <v>45</v>
      </c>
      <c r="H1491" t="s">
        <v>11</v>
      </c>
      <c r="I1491" t="b" cm="1">
        <f t="array" ref="I1491">isDup(B1491,B1492, 0.7)</f>
        <v>0</v>
      </c>
    </row>
    <row r="1492" spans="1:9" ht="17" x14ac:dyDescent="0.2">
      <c r="A1492" t="s">
        <v>6631</v>
      </c>
      <c r="B1492" s="1" t="s">
        <v>6632</v>
      </c>
      <c r="C1492" t="s">
        <v>6633</v>
      </c>
      <c r="D1492" s="1" t="s">
        <v>2</v>
      </c>
      <c r="E1492" t="b">
        <v>0</v>
      </c>
      <c r="F1492">
        <v>357</v>
      </c>
      <c r="G1492">
        <v>559</v>
      </c>
      <c r="H1492" t="s">
        <v>11</v>
      </c>
      <c r="I1492" t="b" cm="1">
        <f t="array" ref="I1492">isDup(B1492,B1493, 0.7)</f>
        <v>0</v>
      </c>
    </row>
    <row r="1493" spans="1:9" ht="17" x14ac:dyDescent="0.2">
      <c r="A1493" t="s">
        <v>6612</v>
      </c>
      <c r="B1493" s="1" t="s">
        <v>6613</v>
      </c>
      <c r="C1493" t="s">
        <v>627</v>
      </c>
      <c r="D1493" s="1" t="s">
        <v>6614</v>
      </c>
      <c r="E1493" t="b">
        <v>0</v>
      </c>
      <c r="F1493">
        <v>812</v>
      </c>
      <c r="G1493">
        <v>325</v>
      </c>
      <c r="H1493" t="s">
        <v>11</v>
      </c>
      <c r="I1493" t="b" cm="1">
        <f t="array" ref="I1493">isDup(B1493,B1494, 0.7)</f>
        <v>0</v>
      </c>
    </row>
    <row r="1494" spans="1:9" ht="34" x14ac:dyDescent="0.2">
      <c r="A1494" t="s">
        <v>5367</v>
      </c>
      <c r="B1494" s="1" t="s">
        <v>5368</v>
      </c>
      <c r="C1494" t="s">
        <v>5369</v>
      </c>
      <c r="D1494" s="1" t="s">
        <v>2</v>
      </c>
      <c r="E1494" t="b">
        <v>0</v>
      </c>
      <c r="F1494">
        <v>3691</v>
      </c>
      <c r="G1494">
        <v>600</v>
      </c>
      <c r="H1494" t="s">
        <v>3</v>
      </c>
      <c r="I1494" t="b" cm="1">
        <f t="array" ref="I1494">isDup(B1494,B1495, 0.7)</f>
        <v>0</v>
      </c>
    </row>
    <row r="1495" spans="1:9" ht="17" x14ac:dyDescent="0.2">
      <c r="A1495" t="s">
        <v>1118</v>
      </c>
      <c r="B1495" s="1" t="s">
        <v>1119</v>
      </c>
      <c r="C1495" t="s">
        <v>1120</v>
      </c>
      <c r="D1495" s="1" t="s">
        <v>1121</v>
      </c>
      <c r="E1495" t="b">
        <v>0</v>
      </c>
      <c r="F1495">
        <v>1064</v>
      </c>
      <c r="G1495">
        <v>444</v>
      </c>
      <c r="H1495" t="s">
        <v>11</v>
      </c>
      <c r="I1495" t="b" cm="1">
        <f t="array" ref="I1495">isDup(B1495,B1496, 0.7)</f>
        <v>0</v>
      </c>
    </row>
    <row r="1496" spans="1:9" ht="17" x14ac:dyDescent="0.2">
      <c r="A1496" t="s">
        <v>3723</v>
      </c>
      <c r="B1496" s="1" t="s">
        <v>3724</v>
      </c>
      <c r="C1496" t="s">
        <v>3725</v>
      </c>
      <c r="D1496" s="1" t="s">
        <v>3726</v>
      </c>
      <c r="E1496" t="b">
        <v>0</v>
      </c>
      <c r="F1496">
        <v>126820</v>
      </c>
      <c r="G1496">
        <v>638</v>
      </c>
      <c r="H1496" t="s">
        <v>11</v>
      </c>
      <c r="I1496" t="b" cm="1">
        <f t="array" ref="I1496">isDup(B1496,B1497, 0.7)</f>
        <v>0</v>
      </c>
    </row>
    <row r="1497" spans="1:9" ht="17" x14ac:dyDescent="0.2">
      <c r="A1497" t="s">
        <v>3527</v>
      </c>
      <c r="B1497" s="1" t="s">
        <v>3528</v>
      </c>
      <c r="C1497" t="s">
        <v>406</v>
      </c>
      <c r="D1497" s="1" t="s">
        <v>2</v>
      </c>
      <c r="E1497" t="b">
        <v>0</v>
      </c>
      <c r="F1497">
        <v>246</v>
      </c>
      <c r="G1497">
        <v>71</v>
      </c>
      <c r="H1497" t="s">
        <v>11</v>
      </c>
      <c r="I1497" t="b" cm="1">
        <f t="array" ref="I1497">isDup(B1497,B1498, 0.7)</f>
        <v>0</v>
      </c>
    </row>
    <row r="1498" spans="1:9" ht="17" x14ac:dyDescent="0.2">
      <c r="A1498" t="s">
        <v>5318</v>
      </c>
      <c r="B1498" s="1" t="s">
        <v>5319</v>
      </c>
      <c r="C1498" t="s">
        <v>161</v>
      </c>
      <c r="D1498" s="1" t="s">
        <v>5320</v>
      </c>
      <c r="E1498" t="b">
        <v>0</v>
      </c>
      <c r="F1498">
        <v>1443</v>
      </c>
      <c r="G1498">
        <v>1514</v>
      </c>
      <c r="H1498" t="s">
        <v>11</v>
      </c>
      <c r="I1498" t="b" cm="1">
        <f t="array" ref="I1498">isDup(B1498,B1499, 0.7)</f>
        <v>0</v>
      </c>
    </row>
    <row r="1499" spans="1:9" ht="34" x14ac:dyDescent="0.2">
      <c r="A1499" t="s">
        <v>3349</v>
      </c>
      <c r="B1499" s="1" t="s">
        <v>3350</v>
      </c>
      <c r="C1499" t="s">
        <v>79</v>
      </c>
      <c r="D1499" s="1" t="s">
        <v>3351</v>
      </c>
      <c r="E1499" t="b">
        <v>0</v>
      </c>
      <c r="F1499">
        <v>598</v>
      </c>
      <c r="G1499">
        <v>2901</v>
      </c>
      <c r="H1499" t="s">
        <v>11</v>
      </c>
      <c r="I1499" t="b" cm="1">
        <f t="array" ref="I1499">isDup(B1499,B1500, 0.7)</f>
        <v>0</v>
      </c>
    </row>
    <row r="1500" spans="1:9" ht="17" x14ac:dyDescent="0.2">
      <c r="A1500" t="s">
        <v>5270</v>
      </c>
      <c r="B1500" s="1" t="s">
        <v>5271</v>
      </c>
      <c r="C1500" t="s">
        <v>5272</v>
      </c>
      <c r="D1500" s="1" t="s">
        <v>61</v>
      </c>
      <c r="E1500" t="b">
        <v>0</v>
      </c>
      <c r="F1500">
        <v>785</v>
      </c>
      <c r="G1500">
        <v>934</v>
      </c>
      <c r="H1500" t="s">
        <v>11</v>
      </c>
      <c r="I1500" t="b" cm="1">
        <f t="array" ref="I1500">isDup(B1500,B1501, 0.7)</f>
        <v>0</v>
      </c>
    </row>
    <row r="1501" spans="1:9" ht="34" x14ac:dyDescent="0.2">
      <c r="A1501" t="s">
        <v>1867</v>
      </c>
      <c r="B1501" s="1" t="s">
        <v>1868</v>
      </c>
      <c r="C1501" t="s">
        <v>1869</v>
      </c>
      <c r="D1501" s="1" t="s">
        <v>1870</v>
      </c>
      <c r="E1501" t="b">
        <v>0</v>
      </c>
      <c r="F1501">
        <v>382</v>
      </c>
      <c r="G1501">
        <v>1026</v>
      </c>
      <c r="H1501" t="s">
        <v>47</v>
      </c>
      <c r="I1501" t="b" cm="1">
        <f t="array" ref="I1501">isDup(B1501,B1502, 0.7)</f>
        <v>0</v>
      </c>
    </row>
    <row r="1502" spans="1:9" ht="34" x14ac:dyDescent="0.2">
      <c r="A1502" t="s">
        <v>876</v>
      </c>
      <c r="B1502" s="1" t="s">
        <v>877</v>
      </c>
      <c r="C1502" t="s">
        <v>782</v>
      </c>
      <c r="D1502" s="1" t="s">
        <v>2</v>
      </c>
      <c r="E1502" t="b">
        <v>0</v>
      </c>
      <c r="F1502">
        <v>14920</v>
      </c>
      <c r="G1502">
        <v>8377</v>
      </c>
      <c r="H1502" t="s">
        <v>11</v>
      </c>
      <c r="I1502" t="b" cm="1">
        <f t="array" ref="I1502">isDup(B1502,B1503, 0.7)</f>
        <v>0</v>
      </c>
    </row>
    <row r="1503" spans="1:9" ht="17" x14ac:dyDescent="0.2">
      <c r="A1503" t="s">
        <v>2446</v>
      </c>
      <c r="B1503" s="1" t="s">
        <v>2447</v>
      </c>
      <c r="C1503" t="s">
        <v>1091</v>
      </c>
      <c r="D1503" s="1" t="s">
        <v>928</v>
      </c>
      <c r="E1503" t="b">
        <v>0</v>
      </c>
      <c r="F1503">
        <v>26</v>
      </c>
      <c r="G1503">
        <v>162</v>
      </c>
      <c r="H1503" t="s">
        <v>47</v>
      </c>
      <c r="I1503" t="b" cm="1">
        <f t="array" ref="I1503">isDup(B1503,B1504, 0.7)</f>
        <v>0</v>
      </c>
    </row>
    <row r="1504" spans="1:9" ht="17" x14ac:dyDescent="0.2">
      <c r="A1504" t="s">
        <v>6001</v>
      </c>
      <c r="B1504" s="1" t="s">
        <v>6002</v>
      </c>
      <c r="C1504" t="s">
        <v>5975</v>
      </c>
      <c r="D1504" s="1" t="s">
        <v>5976</v>
      </c>
      <c r="E1504" t="b">
        <v>0</v>
      </c>
      <c r="F1504">
        <v>490</v>
      </c>
      <c r="G1504">
        <v>649</v>
      </c>
      <c r="H1504" t="s">
        <v>370</v>
      </c>
      <c r="I1504" t="b" cm="1">
        <f t="array" ref="I1504">isDup(B1504,B1505, 0.7)</f>
        <v>0</v>
      </c>
    </row>
    <row r="1505" spans="1:9" ht="34" x14ac:dyDescent="0.2">
      <c r="A1505" t="s">
        <v>3141</v>
      </c>
      <c r="B1505" s="1" t="s">
        <v>3142</v>
      </c>
      <c r="C1505" t="s">
        <v>100</v>
      </c>
      <c r="D1505" s="1" t="s">
        <v>2</v>
      </c>
      <c r="E1505" t="b">
        <v>0</v>
      </c>
      <c r="F1505">
        <v>3</v>
      </c>
      <c r="G1505">
        <v>0</v>
      </c>
      <c r="H1505" t="s">
        <v>359</v>
      </c>
      <c r="I1505" t="b" cm="1">
        <f t="array" ref="I1505">isDup(B1505,B1506, 0.7)</f>
        <v>0</v>
      </c>
    </row>
    <row r="1506" spans="1:9" ht="17" x14ac:dyDescent="0.2">
      <c r="A1506" t="s">
        <v>6563</v>
      </c>
      <c r="B1506" s="1" t="s">
        <v>6564</v>
      </c>
      <c r="C1506" t="s">
        <v>2226</v>
      </c>
      <c r="D1506" s="1" t="s">
        <v>1207</v>
      </c>
      <c r="E1506" t="b">
        <v>0</v>
      </c>
      <c r="F1506">
        <v>1419</v>
      </c>
      <c r="G1506">
        <v>373</v>
      </c>
      <c r="H1506" t="s">
        <v>11</v>
      </c>
      <c r="I1506" t="b" cm="1">
        <f t="array" ref="I1506">isDup(B1506,B1507, 0.7)</f>
        <v>0</v>
      </c>
    </row>
    <row r="1507" spans="1:9" ht="34" x14ac:dyDescent="0.2">
      <c r="A1507" t="s">
        <v>3517</v>
      </c>
      <c r="B1507" s="1" t="s">
        <v>3518</v>
      </c>
      <c r="C1507" t="s">
        <v>439</v>
      </c>
      <c r="D1507" s="1" t="s">
        <v>961</v>
      </c>
      <c r="E1507" t="b">
        <v>0</v>
      </c>
      <c r="F1507">
        <v>563</v>
      </c>
      <c r="G1507">
        <v>486</v>
      </c>
      <c r="H1507" t="s">
        <v>11</v>
      </c>
      <c r="I1507" t="b" cm="1">
        <f t="array" ref="I1507">isDup(B1507,B1508, 0.7)</f>
        <v>0</v>
      </c>
    </row>
    <row r="1508" spans="1:9" ht="34" x14ac:dyDescent="0.2">
      <c r="A1508" t="s">
        <v>2298</v>
      </c>
      <c r="B1508" s="1" t="s">
        <v>2299</v>
      </c>
      <c r="C1508" t="s">
        <v>2300</v>
      </c>
      <c r="D1508" s="1" t="s">
        <v>2301</v>
      </c>
      <c r="E1508" t="b">
        <v>0</v>
      </c>
      <c r="F1508">
        <v>253</v>
      </c>
      <c r="G1508">
        <v>542</v>
      </c>
      <c r="H1508" t="s">
        <v>11</v>
      </c>
      <c r="I1508" t="b" cm="1">
        <f t="array" ref="I1508">isDup(B1508,B1509, 0.7)</f>
        <v>0</v>
      </c>
    </row>
    <row r="1509" spans="1:9" ht="17" x14ac:dyDescent="0.2">
      <c r="A1509" t="s">
        <v>1570</v>
      </c>
      <c r="B1509" s="1" t="s">
        <v>1571</v>
      </c>
      <c r="C1509" t="s">
        <v>1572</v>
      </c>
      <c r="D1509" s="1" t="s">
        <v>1573</v>
      </c>
      <c r="E1509" t="b">
        <v>0</v>
      </c>
      <c r="F1509">
        <v>3197</v>
      </c>
      <c r="G1509">
        <v>3321</v>
      </c>
      <c r="H1509" t="s">
        <v>11</v>
      </c>
      <c r="I1509" t="b" cm="1">
        <f t="array" ref="I1509">isDup(B1509,B1510, 0.7)</f>
        <v>0</v>
      </c>
    </row>
    <row r="1510" spans="1:9" ht="34" x14ac:dyDescent="0.2">
      <c r="A1510" t="s">
        <v>4229</v>
      </c>
      <c r="B1510" s="1" t="s">
        <v>4230</v>
      </c>
      <c r="C1510" t="s">
        <v>4231</v>
      </c>
      <c r="D1510" s="1" t="s">
        <v>1062</v>
      </c>
      <c r="E1510" t="b">
        <v>0</v>
      </c>
      <c r="F1510">
        <v>118</v>
      </c>
      <c r="G1510">
        <v>199</v>
      </c>
      <c r="H1510" t="s">
        <v>11</v>
      </c>
      <c r="I1510" t="b" cm="1">
        <f t="array" ref="I1510">isDup(B1510,B1511, 0.7)</f>
        <v>0</v>
      </c>
    </row>
    <row r="1511" spans="1:9" ht="17" x14ac:dyDescent="0.2">
      <c r="A1511" t="s">
        <v>1201</v>
      </c>
      <c r="B1511" s="1" t="s">
        <v>1202</v>
      </c>
      <c r="C1511" t="s">
        <v>476</v>
      </c>
      <c r="D1511" s="1" t="s">
        <v>1203</v>
      </c>
      <c r="E1511" t="b">
        <v>0</v>
      </c>
      <c r="F1511">
        <v>298</v>
      </c>
      <c r="G1511">
        <v>604</v>
      </c>
      <c r="H1511" t="s">
        <v>11</v>
      </c>
      <c r="I1511" t="b" cm="1">
        <f t="array" ref="I1511">isDup(B1511,B1512, 0.7)</f>
        <v>0</v>
      </c>
    </row>
    <row r="1512" spans="1:9" ht="34" x14ac:dyDescent="0.2">
      <c r="A1512" t="s">
        <v>5485</v>
      </c>
      <c r="B1512" s="1" t="s">
        <v>5486</v>
      </c>
      <c r="C1512" t="s">
        <v>100</v>
      </c>
      <c r="D1512" s="1" t="s">
        <v>2</v>
      </c>
      <c r="E1512" t="b">
        <v>0</v>
      </c>
      <c r="F1512">
        <v>7</v>
      </c>
      <c r="G1512">
        <v>7</v>
      </c>
      <c r="H1512" t="s">
        <v>359</v>
      </c>
      <c r="I1512" t="b" cm="1">
        <f t="array" ref="I1512">isDup(B1512,B1513, 0.7)</f>
        <v>0</v>
      </c>
    </row>
    <row r="1513" spans="1:9" ht="17" x14ac:dyDescent="0.2">
      <c r="A1513" t="s">
        <v>4648</v>
      </c>
      <c r="B1513" s="1" t="s">
        <v>4649</v>
      </c>
      <c r="C1513" t="s">
        <v>4650</v>
      </c>
      <c r="D1513" s="1" t="s">
        <v>2</v>
      </c>
      <c r="E1513" t="b">
        <v>0</v>
      </c>
      <c r="F1513">
        <v>81</v>
      </c>
      <c r="G1513">
        <v>62</v>
      </c>
      <c r="H1513" t="s">
        <v>11</v>
      </c>
      <c r="I1513" t="b" cm="1">
        <f t="array" ref="I1513">isDup(B1513,B1514, 0.7)</f>
        <v>0</v>
      </c>
    </row>
    <row r="1514" spans="1:9" ht="34" x14ac:dyDescent="0.2">
      <c r="A1514" t="s">
        <v>5520</v>
      </c>
      <c r="B1514" s="1" t="s">
        <v>5521</v>
      </c>
      <c r="C1514" t="s">
        <v>1834</v>
      </c>
      <c r="D1514" s="1" t="s">
        <v>2</v>
      </c>
      <c r="E1514" t="b">
        <v>0</v>
      </c>
      <c r="F1514">
        <v>7322</v>
      </c>
      <c r="G1514">
        <v>497</v>
      </c>
      <c r="H1514" t="s">
        <v>11</v>
      </c>
      <c r="I1514" t="b" cm="1">
        <f t="array" ref="I1514">isDup(B1514,B1515, 0.7)</f>
        <v>0</v>
      </c>
    </row>
    <row r="1515" spans="1:9" ht="34" x14ac:dyDescent="0.2">
      <c r="A1515" t="s">
        <v>1114</v>
      </c>
      <c r="B1515" s="1" t="s">
        <v>1115</v>
      </c>
      <c r="C1515" t="s">
        <v>167</v>
      </c>
      <c r="D1515" s="1" t="s">
        <v>2</v>
      </c>
      <c r="E1515" t="b">
        <v>0</v>
      </c>
      <c r="F1515">
        <v>20</v>
      </c>
      <c r="G1515">
        <v>47</v>
      </c>
      <c r="H1515" t="s">
        <v>11</v>
      </c>
      <c r="I1515" t="b" cm="1">
        <f t="array" ref="I1515">isDup(B1515,B1516, 0.7)</f>
        <v>0</v>
      </c>
    </row>
    <row r="1516" spans="1:9" ht="17" x14ac:dyDescent="0.2">
      <c r="A1516" t="s">
        <v>4250</v>
      </c>
      <c r="B1516" s="1" t="s">
        <v>4252</v>
      </c>
      <c r="C1516" t="s">
        <v>1419</v>
      </c>
      <c r="D1516" s="1" t="s">
        <v>4253</v>
      </c>
      <c r="E1516" t="b">
        <v>0</v>
      </c>
      <c r="F1516">
        <v>384</v>
      </c>
      <c r="G1516">
        <v>7</v>
      </c>
      <c r="H1516" t="s">
        <v>11</v>
      </c>
      <c r="I1516" t="b" cm="1">
        <f t="array" ref="I1516">isDup(B1516,B1517, 0.7)</f>
        <v>0</v>
      </c>
    </row>
    <row r="1517" spans="1:9" ht="34" x14ac:dyDescent="0.2">
      <c r="A1517" t="s">
        <v>1629</v>
      </c>
      <c r="B1517" s="1" t="s">
        <v>1630</v>
      </c>
      <c r="C1517" t="s">
        <v>1631</v>
      </c>
      <c r="D1517" s="1" t="s">
        <v>1632</v>
      </c>
      <c r="E1517" t="b">
        <v>0</v>
      </c>
      <c r="F1517">
        <v>177</v>
      </c>
      <c r="G1517">
        <v>174</v>
      </c>
      <c r="H1517" t="s">
        <v>11</v>
      </c>
      <c r="I1517" t="b" cm="1">
        <f t="array" ref="I1517">isDup(B1517,B1518, 0.7)</f>
        <v>0</v>
      </c>
    </row>
    <row r="1518" spans="1:9" ht="17" x14ac:dyDescent="0.2">
      <c r="A1518" t="s">
        <v>2887</v>
      </c>
      <c r="B1518" s="1" t="s">
        <v>2888</v>
      </c>
      <c r="C1518" t="s">
        <v>2889</v>
      </c>
      <c r="D1518" s="1" t="s">
        <v>2890</v>
      </c>
      <c r="E1518" t="b">
        <v>0</v>
      </c>
      <c r="F1518">
        <v>164</v>
      </c>
      <c r="G1518">
        <v>201</v>
      </c>
      <c r="H1518" t="s">
        <v>11</v>
      </c>
      <c r="I1518" t="b" cm="1">
        <f t="array" ref="I1518">isDup(B1518,B1519, 0.7)</f>
        <v>0</v>
      </c>
    </row>
    <row r="1519" spans="1:9" ht="34" x14ac:dyDescent="0.2">
      <c r="A1519" t="s">
        <v>7178</v>
      </c>
      <c r="B1519" s="1" t="s">
        <v>7179</v>
      </c>
      <c r="C1519" t="s">
        <v>944</v>
      </c>
      <c r="D1519" s="1" t="s">
        <v>6600</v>
      </c>
      <c r="E1519" t="b">
        <v>0</v>
      </c>
      <c r="F1519">
        <v>777</v>
      </c>
      <c r="G1519">
        <v>616</v>
      </c>
      <c r="H1519" t="s">
        <v>11</v>
      </c>
      <c r="I1519" t="b" cm="1">
        <f t="array" ref="I1519">isDup(B1519,B1520, 0.7)</f>
        <v>1</v>
      </c>
    </row>
    <row r="1520" spans="1:9" ht="34" x14ac:dyDescent="0.2">
      <c r="A1520" t="s">
        <v>7151</v>
      </c>
      <c r="B1520" s="1" t="s">
        <v>7152</v>
      </c>
      <c r="C1520" t="s">
        <v>944</v>
      </c>
      <c r="D1520" s="1" t="s">
        <v>6600</v>
      </c>
      <c r="E1520" t="b">
        <v>0</v>
      </c>
      <c r="F1520">
        <v>777</v>
      </c>
      <c r="G1520">
        <v>616</v>
      </c>
      <c r="H1520" t="s">
        <v>11</v>
      </c>
      <c r="I1520" t="b" cm="1">
        <f t="array" ref="I1520">isDup(B1520,B1521, 0.7)</f>
        <v>0</v>
      </c>
    </row>
    <row r="1521" spans="1:9" ht="17" x14ac:dyDescent="0.2">
      <c r="A1521" t="s">
        <v>631</v>
      </c>
      <c r="B1521" s="1" t="s">
        <v>632</v>
      </c>
      <c r="C1521" t="s">
        <v>208</v>
      </c>
      <c r="D1521" s="1" t="s">
        <v>633</v>
      </c>
      <c r="E1521" t="b">
        <v>0</v>
      </c>
      <c r="F1521">
        <v>213</v>
      </c>
      <c r="G1521">
        <v>98</v>
      </c>
      <c r="H1521" t="s">
        <v>11</v>
      </c>
      <c r="I1521" t="b" cm="1">
        <f t="array" ref="I1521">isDup(B1521,B1522, 0.7)</f>
        <v>0</v>
      </c>
    </row>
    <row r="1522" spans="1:9" ht="34" x14ac:dyDescent="0.2">
      <c r="A1522" t="s">
        <v>3841</v>
      </c>
      <c r="B1522" s="1" t="s">
        <v>3842</v>
      </c>
      <c r="C1522" t="s">
        <v>186</v>
      </c>
      <c r="D1522" s="1" t="s">
        <v>3843</v>
      </c>
      <c r="E1522" t="b">
        <v>0</v>
      </c>
      <c r="F1522">
        <v>6</v>
      </c>
      <c r="G1522">
        <v>29</v>
      </c>
      <c r="H1522" t="s">
        <v>11</v>
      </c>
      <c r="I1522" t="b" cm="1">
        <f t="array" ref="I1522">isDup(B1522,B1523, 0.7)</f>
        <v>0</v>
      </c>
    </row>
    <row r="1523" spans="1:9" ht="34" x14ac:dyDescent="0.2">
      <c r="A1523" t="s">
        <v>6349</v>
      </c>
      <c r="B1523" s="1" t="s">
        <v>6350</v>
      </c>
      <c r="C1523" t="s">
        <v>6351</v>
      </c>
      <c r="D1523" s="1" t="s">
        <v>1348</v>
      </c>
      <c r="E1523" t="b">
        <v>0</v>
      </c>
      <c r="F1523">
        <v>24</v>
      </c>
      <c r="G1523">
        <v>45</v>
      </c>
      <c r="H1523" t="s">
        <v>11</v>
      </c>
      <c r="I1523" t="b" cm="1">
        <f t="array" ref="I1523">isDup(B1523,B1524, 0.7)</f>
        <v>0</v>
      </c>
    </row>
    <row r="1524" spans="1:9" ht="34" x14ac:dyDescent="0.2">
      <c r="A1524" t="s">
        <v>5448</v>
      </c>
      <c r="B1524" s="1" t="s">
        <v>5449</v>
      </c>
      <c r="C1524" t="s">
        <v>2364</v>
      </c>
      <c r="D1524" s="1" t="s">
        <v>980</v>
      </c>
      <c r="E1524" t="b">
        <v>0</v>
      </c>
      <c r="F1524">
        <v>940</v>
      </c>
      <c r="G1524">
        <v>718</v>
      </c>
      <c r="H1524" t="s">
        <v>11</v>
      </c>
      <c r="I1524" t="b" cm="1">
        <f t="array" ref="I1524">isDup(B1524,B1525, 0.7)</f>
        <v>0</v>
      </c>
    </row>
    <row r="1525" spans="1:9" ht="34" x14ac:dyDescent="0.2">
      <c r="A1525" t="s">
        <v>4796</v>
      </c>
      <c r="B1525" s="1" t="s">
        <v>4797</v>
      </c>
      <c r="C1525" t="s">
        <v>2533</v>
      </c>
      <c r="D1525" s="1" t="s">
        <v>4798</v>
      </c>
      <c r="E1525" t="b">
        <v>0</v>
      </c>
      <c r="F1525">
        <v>3</v>
      </c>
      <c r="G1525">
        <v>5</v>
      </c>
      <c r="H1525" t="s">
        <v>11</v>
      </c>
      <c r="I1525" t="b" cm="1">
        <f t="array" ref="I1525">isDup(B1525,B1526, 0.7)</f>
        <v>0</v>
      </c>
    </row>
    <row r="1526" spans="1:9" ht="17" x14ac:dyDescent="0.2">
      <c r="A1526" t="s">
        <v>2859</v>
      </c>
      <c r="B1526" s="1" t="s">
        <v>2860</v>
      </c>
      <c r="C1526" t="s">
        <v>2861</v>
      </c>
      <c r="D1526" s="1" t="s">
        <v>2</v>
      </c>
      <c r="E1526" t="b">
        <v>0</v>
      </c>
      <c r="F1526">
        <v>10</v>
      </c>
      <c r="G1526">
        <v>111</v>
      </c>
      <c r="H1526" t="s">
        <v>110</v>
      </c>
      <c r="I1526" t="b" cm="1">
        <f t="array" ref="I1526">isDup(B1526,B1527, 0.7)</f>
        <v>0</v>
      </c>
    </row>
    <row r="1527" spans="1:9" ht="34" x14ac:dyDescent="0.2">
      <c r="A1527" t="s">
        <v>2174</v>
      </c>
      <c r="B1527" s="1" t="s">
        <v>2175</v>
      </c>
      <c r="C1527" t="s">
        <v>1568</v>
      </c>
      <c r="D1527" s="1" t="s">
        <v>109</v>
      </c>
      <c r="E1527" t="b">
        <v>0</v>
      </c>
      <c r="F1527">
        <v>232</v>
      </c>
      <c r="G1527">
        <v>842</v>
      </c>
      <c r="H1527" t="s">
        <v>11</v>
      </c>
      <c r="I1527" t="b" cm="1">
        <f t="array" ref="I1527">isDup(B1527,B1528, 0.7)</f>
        <v>0</v>
      </c>
    </row>
    <row r="1528" spans="1:9" ht="17" x14ac:dyDescent="0.2">
      <c r="A1528" t="s">
        <v>3760</v>
      </c>
      <c r="B1528" s="1" t="s">
        <v>3761</v>
      </c>
      <c r="C1528" t="s">
        <v>3365</v>
      </c>
      <c r="D1528" s="1" t="s">
        <v>3762</v>
      </c>
      <c r="E1528" t="b">
        <v>0</v>
      </c>
      <c r="F1528">
        <v>178</v>
      </c>
      <c r="G1528">
        <v>399</v>
      </c>
      <c r="H1528" t="s">
        <v>11</v>
      </c>
      <c r="I1528" t="b" cm="1">
        <f t="array" ref="I1528">isDup(B1528,B1529, 0.7)</f>
        <v>0</v>
      </c>
    </row>
    <row r="1529" spans="1:9" ht="17" x14ac:dyDescent="0.2">
      <c r="A1529" t="s">
        <v>1625</v>
      </c>
      <c r="B1529" s="1" t="s">
        <v>1626</v>
      </c>
      <c r="C1529" t="s">
        <v>1621</v>
      </c>
      <c r="D1529" s="1" t="s">
        <v>1622</v>
      </c>
      <c r="E1529" t="b">
        <v>0</v>
      </c>
      <c r="F1529">
        <v>255</v>
      </c>
      <c r="G1529">
        <v>777</v>
      </c>
      <c r="H1529" t="s">
        <v>11</v>
      </c>
      <c r="I1529" t="b" cm="1">
        <f t="array" ref="I1529">isDup(B1529,B1530, 0.7)</f>
        <v>0</v>
      </c>
    </row>
    <row r="1530" spans="1:9" ht="17" x14ac:dyDescent="0.2">
      <c r="A1530" t="s">
        <v>3657</v>
      </c>
      <c r="B1530" s="1" t="s">
        <v>3658</v>
      </c>
      <c r="C1530" t="s">
        <v>3659</v>
      </c>
      <c r="D1530" s="1" t="s">
        <v>2</v>
      </c>
      <c r="E1530" t="b">
        <v>0</v>
      </c>
      <c r="F1530">
        <v>652</v>
      </c>
      <c r="G1530">
        <v>270</v>
      </c>
      <c r="H1530" t="s">
        <v>11</v>
      </c>
      <c r="I1530" t="b" cm="1">
        <f t="array" ref="I1530">isDup(B1530,B1531, 0.7)</f>
        <v>0</v>
      </c>
    </row>
    <row r="1531" spans="1:9" ht="17" x14ac:dyDescent="0.2">
      <c r="A1531" t="s">
        <v>4729</v>
      </c>
      <c r="B1531" s="1" t="s">
        <v>4730</v>
      </c>
      <c r="C1531" t="s">
        <v>4731</v>
      </c>
      <c r="D1531" s="1" t="s">
        <v>4732</v>
      </c>
      <c r="E1531" t="b">
        <v>0</v>
      </c>
      <c r="F1531">
        <v>94</v>
      </c>
      <c r="G1531">
        <v>160</v>
      </c>
      <c r="H1531" t="s">
        <v>47</v>
      </c>
      <c r="I1531" t="b" cm="1">
        <f t="array" ref="I1531">isDup(B1531,B1532, 0.7)</f>
        <v>0</v>
      </c>
    </row>
    <row r="1532" spans="1:9" ht="17" x14ac:dyDescent="0.2">
      <c r="A1532" t="s">
        <v>3210</v>
      </c>
      <c r="B1532" s="1" t="s">
        <v>3211</v>
      </c>
      <c r="C1532" t="s">
        <v>3212</v>
      </c>
      <c r="D1532" s="1" t="s">
        <v>3213</v>
      </c>
      <c r="E1532" t="b">
        <v>0</v>
      </c>
      <c r="F1532">
        <v>12144</v>
      </c>
      <c r="G1532">
        <v>375</v>
      </c>
      <c r="H1532" t="s">
        <v>11</v>
      </c>
      <c r="I1532" t="b" cm="1">
        <f t="array" ref="I1532">isDup(B1532,B1533, 0.7)</f>
        <v>0</v>
      </c>
    </row>
    <row r="1533" spans="1:9" ht="17" x14ac:dyDescent="0.2">
      <c r="A1533" t="s">
        <v>478</v>
      </c>
      <c r="B1533" s="1" t="s">
        <v>479</v>
      </c>
      <c r="C1533" t="s">
        <v>480</v>
      </c>
      <c r="D1533" s="1" t="s">
        <v>61</v>
      </c>
      <c r="E1533" t="b">
        <v>0</v>
      </c>
      <c r="F1533">
        <v>79</v>
      </c>
      <c r="G1533">
        <v>607</v>
      </c>
      <c r="H1533" t="s">
        <v>11</v>
      </c>
      <c r="I1533" t="b" cm="1">
        <f t="array" ref="I1533">isDup(B1533,B1534, 0.7)</f>
        <v>0</v>
      </c>
    </row>
    <row r="1534" spans="1:9" ht="17" x14ac:dyDescent="0.2">
      <c r="A1534" t="s">
        <v>5050</v>
      </c>
      <c r="B1534" s="1" t="s">
        <v>5051</v>
      </c>
      <c r="C1534" t="s">
        <v>5052</v>
      </c>
      <c r="D1534" s="1" t="s">
        <v>5053</v>
      </c>
      <c r="E1534" t="b">
        <v>0</v>
      </c>
      <c r="F1534">
        <v>122</v>
      </c>
      <c r="G1534">
        <v>569</v>
      </c>
      <c r="H1534" t="s">
        <v>11</v>
      </c>
      <c r="I1534" t="b" cm="1">
        <f t="array" ref="I1534">isDup(B1534,B1535, 0.7)</f>
        <v>0</v>
      </c>
    </row>
    <row r="1535" spans="1:9" ht="17" x14ac:dyDescent="0.2">
      <c r="A1535" t="s">
        <v>5500</v>
      </c>
      <c r="B1535" s="1" t="s">
        <v>5501</v>
      </c>
      <c r="C1535" t="s">
        <v>279</v>
      </c>
      <c r="D1535" s="1" t="s">
        <v>5502</v>
      </c>
      <c r="E1535" t="b">
        <v>0</v>
      </c>
      <c r="F1535">
        <v>257</v>
      </c>
      <c r="G1535">
        <v>396</v>
      </c>
      <c r="H1535" t="s">
        <v>11</v>
      </c>
      <c r="I1535" t="b" cm="1">
        <f t="array" ref="I1535">isDup(B1535,B1536, 0.7)</f>
        <v>0</v>
      </c>
    </row>
    <row r="1536" spans="1:9" ht="17" x14ac:dyDescent="0.2">
      <c r="A1536" t="s">
        <v>5106</v>
      </c>
      <c r="B1536" s="1" t="s">
        <v>5108</v>
      </c>
      <c r="C1536" t="s">
        <v>1506</v>
      </c>
      <c r="D1536" s="1" t="s">
        <v>2</v>
      </c>
      <c r="E1536" t="b">
        <v>0</v>
      </c>
      <c r="F1536">
        <v>40</v>
      </c>
      <c r="G1536">
        <v>195</v>
      </c>
      <c r="H1536" t="s">
        <v>11</v>
      </c>
      <c r="I1536" t="b" cm="1">
        <f t="array" ref="I1536">isDup(B1536,B1537, 0.7)</f>
        <v>0</v>
      </c>
    </row>
    <row r="1537" spans="1:9" ht="17" x14ac:dyDescent="0.2">
      <c r="A1537" t="s">
        <v>2096</v>
      </c>
      <c r="B1537" s="1" t="s">
        <v>2097</v>
      </c>
      <c r="C1537" t="s">
        <v>2098</v>
      </c>
      <c r="D1537" s="1" t="s">
        <v>2099</v>
      </c>
      <c r="E1537" t="b">
        <v>0</v>
      </c>
      <c r="F1537">
        <v>1283</v>
      </c>
      <c r="G1537">
        <v>1789</v>
      </c>
      <c r="H1537" t="s">
        <v>338</v>
      </c>
      <c r="I1537" t="b" cm="1">
        <f t="array" ref="I1537">isDup(B1537,B1538, 0.7)</f>
        <v>0</v>
      </c>
    </row>
    <row r="1538" spans="1:9" ht="17" x14ac:dyDescent="0.2">
      <c r="A1538" t="s">
        <v>785</v>
      </c>
      <c r="B1538" s="1" t="s">
        <v>786</v>
      </c>
      <c r="C1538" t="s">
        <v>787</v>
      </c>
      <c r="D1538" s="1" t="s">
        <v>95</v>
      </c>
      <c r="E1538" t="b">
        <v>0</v>
      </c>
      <c r="F1538">
        <v>288</v>
      </c>
      <c r="G1538">
        <v>880</v>
      </c>
      <c r="H1538" t="s">
        <v>11</v>
      </c>
      <c r="I1538" t="b" cm="1">
        <f t="array" ref="I1538">isDup(B1538,B1539, 0.7)</f>
        <v>0</v>
      </c>
    </row>
    <row r="1539" spans="1:9" ht="17" x14ac:dyDescent="0.2">
      <c r="A1539" t="s">
        <v>6010</v>
      </c>
      <c r="B1539" s="1" t="s">
        <v>6012</v>
      </c>
      <c r="C1539" t="s">
        <v>3072</v>
      </c>
      <c r="D1539" s="1" t="s">
        <v>506</v>
      </c>
      <c r="E1539" t="b">
        <v>0</v>
      </c>
      <c r="F1539">
        <v>8</v>
      </c>
      <c r="G1539">
        <v>36</v>
      </c>
      <c r="H1539" t="s">
        <v>11</v>
      </c>
      <c r="I1539" t="b" cm="1">
        <f t="array" ref="I1539">isDup(B1539,B1540, 0.7)</f>
        <v>0</v>
      </c>
    </row>
    <row r="1540" spans="1:9" ht="34" x14ac:dyDescent="0.2">
      <c r="A1540" t="s">
        <v>6897</v>
      </c>
      <c r="B1540" s="1" t="s">
        <v>6898</v>
      </c>
      <c r="C1540" t="s">
        <v>564</v>
      </c>
      <c r="D1540" s="1" t="s">
        <v>6899</v>
      </c>
      <c r="E1540" t="b">
        <v>0</v>
      </c>
      <c r="F1540">
        <v>489</v>
      </c>
      <c r="G1540">
        <v>1080</v>
      </c>
      <c r="H1540" t="s">
        <v>11</v>
      </c>
      <c r="I1540" t="b" cm="1">
        <f t="array" ref="I1540">isDup(B1540,B1541, 0.7)</f>
        <v>0</v>
      </c>
    </row>
    <row r="1541" spans="1:9" ht="34" x14ac:dyDescent="0.2">
      <c r="A1541" t="s">
        <v>499</v>
      </c>
      <c r="B1541" s="1" t="s">
        <v>500</v>
      </c>
      <c r="C1541" t="s">
        <v>501</v>
      </c>
      <c r="D1541" s="1" t="s">
        <v>502</v>
      </c>
      <c r="E1541" t="b">
        <v>0</v>
      </c>
      <c r="F1541">
        <v>325</v>
      </c>
      <c r="G1541">
        <v>1007</v>
      </c>
      <c r="H1541" t="s">
        <v>11</v>
      </c>
      <c r="I1541" t="b" cm="1">
        <f t="array" ref="I1541">isDup(B1541,B1542, 0.7)</f>
        <v>0</v>
      </c>
    </row>
    <row r="1542" spans="1:9" ht="17" x14ac:dyDescent="0.2">
      <c r="A1542" t="s">
        <v>5789</v>
      </c>
      <c r="B1542" s="1" t="s">
        <v>5790</v>
      </c>
      <c r="C1542" t="s">
        <v>1031</v>
      </c>
      <c r="D1542" s="1" t="s">
        <v>5791</v>
      </c>
      <c r="E1542" t="b">
        <v>0</v>
      </c>
      <c r="F1542">
        <v>2814</v>
      </c>
      <c r="G1542">
        <v>442</v>
      </c>
      <c r="H1542" t="s">
        <v>11</v>
      </c>
      <c r="I1542" t="b" cm="1">
        <f t="array" ref="I1542">isDup(B1542,B1543, 0.7)</f>
        <v>0</v>
      </c>
    </row>
    <row r="1543" spans="1:9" ht="17" x14ac:dyDescent="0.2">
      <c r="A1543" t="s">
        <v>6780</v>
      </c>
      <c r="B1543" s="1" t="s">
        <v>6781</v>
      </c>
      <c r="C1543" t="s">
        <v>6782</v>
      </c>
      <c r="D1543" s="1" t="s">
        <v>6783</v>
      </c>
      <c r="E1543" t="b">
        <v>0</v>
      </c>
      <c r="F1543">
        <v>88165</v>
      </c>
      <c r="G1543">
        <v>85370</v>
      </c>
      <c r="H1543" t="s">
        <v>11</v>
      </c>
      <c r="I1543" t="b" cm="1">
        <f t="array" ref="I1543">isDup(B1543,B1544, 0.7)</f>
        <v>0</v>
      </c>
    </row>
    <row r="1544" spans="1:9" ht="34" x14ac:dyDescent="0.2">
      <c r="A1544" t="s">
        <v>1357</v>
      </c>
      <c r="B1544" s="1" t="s">
        <v>1358</v>
      </c>
      <c r="C1544" t="s">
        <v>468</v>
      </c>
      <c r="D1544" s="1" t="s">
        <v>1359</v>
      </c>
      <c r="E1544" t="b">
        <v>0</v>
      </c>
      <c r="F1544">
        <v>1607</v>
      </c>
      <c r="G1544">
        <v>1711</v>
      </c>
      <c r="H1544" t="s">
        <v>11</v>
      </c>
      <c r="I1544" t="b" cm="1">
        <f t="array" ref="I1544">isDup(B1544,B1545, 0.7)</f>
        <v>0</v>
      </c>
    </row>
    <row r="1545" spans="1:9" ht="17" x14ac:dyDescent="0.2">
      <c r="A1545" t="s">
        <v>2477</v>
      </c>
      <c r="B1545" s="1" t="s">
        <v>2478</v>
      </c>
      <c r="C1545" t="s">
        <v>2479</v>
      </c>
      <c r="D1545" s="1" t="s">
        <v>2480</v>
      </c>
      <c r="E1545" t="b">
        <v>0</v>
      </c>
      <c r="F1545">
        <v>427</v>
      </c>
      <c r="G1545">
        <v>426</v>
      </c>
      <c r="H1545" t="s">
        <v>11</v>
      </c>
      <c r="I1545" t="b" cm="1">
        <f t="array" ref="I1545">isDup(B1545,B1546, 0.7)</f>
        <v>0</v>
      </c>
    </row>
    <row r="1546" spans="1:9" ht="17" x14ac:dyDescent="0.2">
      <c r="A1546" t="s">
        <v>634</v>
      </c>
      <c r="B1546" s="1" t="s">
        <v>635</v>
      </c>
      <c r="C1546" t="s">
        <v>636</v>
      </c>
      <c r="D1546" s="1" t="s">
        <v>637</v>
      </c>
      <c r="E1546" t="b">
        <v>0</v>
      </c>
      <c r="F1546">
        <v>36</v>
      </c>
      <c r="G1546">
        <v>41</v>
      </c>
      <c r="H1546" t="s">
        <v>11</v>
      </c>
      <c r="I1546" t="b" cm="1">
        <f t="array" ref="I1546">isDup(B1546,B1547, 0.7)</f>
        <v>0</v>
      </c>
    </row>
    <row r="1547" spans="1:9" ht="17" x14ac:dyDescent="0.2">
      <c r="A1547" t="s">
        <v>3218</v>
      </c>
      <c r="B1547" s="1" t="s">
        <v>3219</v>
      </c>
      <c r="C1547" t="s">
        <v>3220</v>
      </c>
      <c r="D1547" s="1" t="s">
        <v>2</v>
      </c>
      <c r="E1547" t="b">
        <v>0</v>
      </c>
      <c r="F1547">
        <v>14</v>
      </c>
      <c r="G1547">
        <v>31</v>
      </c>
      <c r="H1547" t="s">
        <v>11</v>
      </c>
      <c r="I1547" t="b" cm="1">
        <f t="array" ref="I1547">isDup(B1547,B1548, 0.7)</f>
        <v>0</v>
      </c>
    </row>
    <row r="1548" spans="1:9" ht="17" x14ac:dyDescent="0.2">
      <c r="A1548" t="s">
        <v>2821</v>
      </c>
      <c r="B1548" s="1" t="s">
        <v>2822</v>
      </c>
      <c r="C1548" t="s">
        <v>1521</v>
      </c>
      <c r="D1548" s="1" t="s">
        <v>2</v>
      </c>
      <c r="E1548" t="b">
        <v>0</v>
      </c>
      <c r="F1548">
        <v>9632</v>
      </c>
      <c r="G1548">
        <v>27</v>
      </c>
      <c r="H1548" t="s">
        <v>11</v>
      </c>
      <c r="I1548" t="b" cm="1">
        <f t="array" ref="I1548">isDup(B1548,B1549, 0.7)</f>
        <v>0</v>
      </c>
    </row>
    <row r="1549" spans="1:9" ht="34" x14ac:dyDescent="0.2">
      <c r="A1549" t="s">
        <v>3901</v>
      </c>
      <c r="B1549" s="1" t="s">
        <v>3902</v>
      </c>
      <c r="C1549" t="s">
        <v>3903</v>
      </c>
      <c r="D1549" s="1" t="s">
        <v>2</v>
      </c>
      <c r="E1549" t="b">
        <v>0</v>
      </c>
      <c r="F1549">
        <v>254</v>
      </c>
      <c r="G1549">
        <v>188</v>
      </c>
      <c r="H1549" t="s">
        <v>11</v>
      </c>
      <c r="I1549" t="b" cm="1">
        <f t="array" ref="I1549">isDup(B1549,B1550, 0.7)</f>
        <v>0</v>
      </c>
    </row>
    <row r="1550" spans="1:9" ht="34" x14ac:dyDescent="0.2">
      <c r="A1550" t="s">
        <v>2344</v>
      </c>
      <c r="B1550" s="1" t="s">
        <v>2345</v>
      </c>
      <c r="C1550" t="s">
        <v>2061</v>
      </c>
      <c r="D1550" s="1" t="s">
        <v>2</v>
      </c>
      <c r="E1550" t="b">
        <v>0</v>
      </c>
      <c r="F1550">
        <v>18</v>
      </c>
      <c r="G1550">
        <v>166</v>
      </c>
      <c r="H1550" t="s">
        <v>11</v>
      </c>
      <c r="I1550" t="b" cm="1">
        <f t="array" ref="I1550">isDup(B1550,B1551, 0.7)</f>
        <v>0</v>
      </c>
    </row>
    <row r="1551" spans="1:9" ht="17" x14ac:dyDescent="0.2">
      <c r="A1551" t="s">
        <v>2192</v>
      </c>
      <c r="B1551" s="1" t="s">
        <v>2193</v>
      </c>
      <c r="C1551" t="s">
        <v>1448</v>
      </c>
      <c r="D1551" s="1" t="s">
        <v>2</v>
      </c>
      <c r="E1551" t="b">
        <v>0</v>
      </c>
      <c r="F1551">
        <v>81</v>
      </c>
      <c r="G1551">
        <v>284</v>
      </c>
      <c r="H1551" t="s">
        <v>11</v>
      </c>
      <c r="I1551" t="b" cm="1">
        <f t="array" ref="I1551">isDup(B1551,B1552, 0.7)</f>
        <v>0</v>
      </c>
    </row>
    <row r="1552" spans="1:9" ht="17" x14ac:dyDescent="0.2">
      <c r="A1552" t="s">
        <v>6889</v>
      </c>
      <c r="B1552" s="1" t="s">
        <v>6890</v>
      </c>
      <c r="C1552" t="s">
        <v>6891</v>
      </c>
      <c r="D1552" s="1" t="s">
        <v>6892</v>
      </c>
      <c r="E1552" t="b">
        <v>0</v>
      </c>
      <c r="F1552">
        <v>303</v>
      </c>
      <c r="G1552">
        <v>1485</v>
      </c>
      <c r="H1552" t="s">
        <v>11</v>
      </c>
      <c r="I1552" t="b" cm="1">
        <f t="array" ref="I1552">isDup(B1552,B1553, 0.7)</f>
        <v>0</v>
      </c>
    </row>
    <row r="1553" spans="1:9" ht="17" x14ac:dyDescent="0.2">
      <c r="A1553" t="s">
        <v>7110</v>
      </c>
      <c r="B1553" s="1" t="s">
        <v>7111</v>
      </c>
      <c r="C1553" t="s">
        <v>7112</v>
      </c>
      <c r="D1553" s="1" t="s">
        <v>1960</v>
      </c>
      <c r="E1553" t="b">
        <v>0</v>
      </c>
      <c r="F1553">
        <v>183</v>
      </c>
      <c r="G1553">
        <v>0</v>
      </c>
      <c r="H1553" t="s">
        <v>11</v>
      </c>
      <c r="I1553" t="b" cm="1">
        <f t="array" ref="I1553">isDup(B1553,B1554, 0.7)</f>
        <v>0</v>
      </c>
    </row>
    <row r="1554" spans="1:9" ht="34" x14ac:dyDescent="0.2">
      <c r="A1554" t="s">
        <v>456</v>
      </c>
      <c r="B1554" s="1" t="s">
        <v>457</v>
      </c>
      <c r="C1554" t="s">
        <v>458</v>
      </c>
      <c r="D1554" s="1" t="s">
        <v>2</v>
      </c>
      <c r="E1554" t="b">
        <v>0</v>
      </c>
      <c r="F1554">
        <v>54</v>
      </c>
      <c r="G1554">
        <v>96</v>
      </c>
      <c r="H1554" t="s">
        <v>11</v>
      </c>
      <c r="I1554" t="b" cm="1">
        <f t="array" ref="I1554">isDup(B1554,B1555, 0.7)</f>
        <v>0</v>
      </c>
    </row>
    <row r="1555" spans="1:9" ht="17" x14ac:dyDescent="0.2">
      <c r="A1555" t="s">
        <v>4687</v>
      </c>
      <c r="B1555" s="1" t="s">
        <v>4688</v>
      </c>
      <c r="C1555" t="s">
        <v>4689</v>
      </c>
      <c r="D1555" s="1" t="s">
        <v>4690</v>
      </c>
      <c r="E1555" t="b">
        <v>0</v>
      </c>
      <c r="F1555">
        <v>538</v>
      </c>
      <c r="G1555">
        <v>1390</v>
      </c>
      <c r="H1555" t="s">
        <v>11</v>
      </c>
      <c r="I1555" t="b" cm="1">
        <f t="array" ref="I1555">isDup(B1555,B1556, 0.7)</f>
        <v>0</v>
      </c>
    </row>
    <row r="1556" spans="1:9" ht="17" x14ac:dyDescent="0.2">
      <c r="A1556" t="s">
        <v>6182</v>
      </c>
      <c r="B1556" s="1" t="s">
        <v>6183</v>
      </c>
      <c r="C1556" t="s">
        <v>769</v>
      </c>
      <c r="D1556" s="1" t="s">
        <v>333</v>
      </c>
      <c r="E1556" t="b">
        <v>0</v>
      </c>
      <c r="F1556">
        <v>17</v>
      </c>
      <c r="G1556">
        <v>94</v>
      </c>
      <c r="H1556" t="s">
        <v>11</v>
      </c>
      <c r="I1556" t="b" cm="1">
        <f t="array" ref="I1556">isDup(B1556,B1557, 0.7)</f>
        <v>0</v>
      </c>
    </row>
    <row r="1557" spans="1:9" ht="17" x14ac:dyDescent="0.2">
      <c r="A1557" t="s">
        <v>4811</v>
      </c>
      <c r="B1557" s="1" t="s">
        <v>4812</v>
      </c>
      <c r="C1557" t="s">
        <v>406</v>
      </c>
      <c r="D1557" s="1" t="s">
        <v>4813</v>
      </c>
      <c r="E1557" t="b">
        <v>0</v>
      </c>
      <c r="F1557">
        <v>5476</v>
      </c>
      <c r="G1557">
        <v>98</v>
      </c>
      <c r="H1557" t="s">
        <v>11</v>
      </c>
      <c r="I1557" t="b" cm="1">
        <f t="array" ref="I1557">isDup(B1557,B1558, 0.7)</f>
        <v>0</v>
      </c>
    </row>
    <row r="1558" spans="1:9" ht="17" x14ac:dyDescent="0.2">
      <c r="A1558" t="s">
        <v>6217</v>
      </c>
      <c r="B1558" s="1" t="s">
        <v>6218</v>
      </c>
      <c r="C1558" t="s">
        <v>575</v>
      </c>
      <c r="D1558" s="1" t="s">
        <v>2</v>
      </c>
      <c r="E1558" t="b">
        <v>0</v>
      </c>
      <c r="F1558">
        <v>24</v>
      </c>
      <c r="G1558">
        <v>41</v>
      </c>
      <c r="H1558" t="s">
        <v>11</v>
      </c>
      <c r="I1558" t="b" cm="1">
        <f t="array" ref="I1558">isDup(B1558,B1559, 0.7)</f>
        <v>0</v>
      </c>
    </row>
    <row r="1559" spans="1:9" ht="34" x14ac:dyDescent="0.2">
      <c r="A1559" t="s">
        <v>5288</v>
      </c>
      <c r="B1559" s="1" t="s">
        <v>5290</v>
      </c>
      <c r="C1559" t="s">
        <v>5291</v>
      </c>
      <c r="D1559" s="1" t="s">
        <v>2</v>
      </c>
      <c r="E1559" t="b">
        <v>0</v>
      </c>
      <c r="F1559">
        <v>122</v>
      </c>
      <c r="G1559">
        <v>82</v>
      </c>
      <c r="H1559" t="s">
        <v>11</v>
      </c>
      <c r="I1559" t="b" cm="1">
        <f t="array" ref="I1559">isDup(B1559,B1560, 0.7)</f>
        <v>0</v>
      </c>
    </row>
    <row r="1560" spans="1:9" ht="17" x14ac:dyDescent="0.2">
      <c r="A1560" t="s">
        <v>155</v>
      </c>
      <c r="B1560" s="1" t="s">
        <v>156</v>
      </c>
      <c r="C1560" t="s">
        <v>157</v>
      </c>
      <c r="D1560" s="1" t="s">
        <v>158</v>
      </c>
      <c r="E1560" t="b">
        <v>0</v>
      </c>
      <c r="F1560">
        <v>134</v>
      </c>
      <c r="G1560">
        <v>57</v>
      </c>
      <c r="H1560" t="s">
        <v>11</v>
      </c>
      <c r="I1560" t="b" cm="1">
        <f t="array" ref="I1560">isDup(B1560,B1561, 0.7)</f>
        <v>0</v>
      </c>
    </row>
    <row r="1561" spans="1:9" ht="17" x14ac:dyDescent="0.2">
      <c r="A1561" t="s">
        <v>3311</v>
      </c>
      <c r="B1561" s="1" t="s">
        <v>3312</v>
      </c>
      <c r="C1561" t="s">
        <v>222</v>
      </c>
      <c r="D1561" s="1" t="s">
        <v>223</v>
      </c>
      <c r="E1561" t="b">
        <v>0</v>
      </c>
      <c r="F1561">
        <v>9225</v>
      </c>
      <c r="G1561">
        <v>7170</v>
      </c>
      <c r="H1561" t="s">
        <v>11</v>
      </c>
      <c r="I1561" t="b" cm="1">
        <f t="array" ref="I1561">isDup(B1561,B1562, 0.7)</f>
        <v>1</v>
      </c>
    </row>
    <row r="1562" spans="1:9" ht="17" x14ac:dyDescent="0.2">
      <c r="A1562" t="s">
        <v>6272</v>
      </c>
      <c r="B1562" s="1" t="s">
        <v>6273</v>
      </c>
      <c r="C1562" t="s">
        <v>222</v>
      </c>
      <c r="D1562" s="1" t="s">
        <v>223</v>
      </c>
      <c r="E1562" t="b">
        <v>0</v>
      </c>
      <c r="F1562">
        <v>9228</v>
      </c>
      <c r="G1562">
        <v>7170</v>
      </c>
      <c r="H1562" t="s">
        <v>11</v>
      </c>
      <c r="I1562" t="b" cm="1">
        <f t="array" ref="I1562">isDup(B1562,B1563, 0.7)</f>
        <v>0</v>
      </c>
    </row>
    <row r="1563" spans="1:9" ht="34" x14ac:dyDescent="0.2">
      <c r="A1563" t="s">
        <v>3636</v>
      </c>
      <c r="B1563" s="1" t="s">
        <v>3637</v>
      </c>
      <c r="C1563" t="s">
        <v>3638</v>
      </c>
      <c r="D1563" s="1" t="s">
        <v>2331</v>
      </c>
      <c r="E1563" t="b">
        <v>0</v>
      </c>
      <c r="F1563">
        <v>797</v>
      </c>
      <c r="G1563">
        <v>1614</v>
      </c>
      <c r="H1563" t="s">
        <v>11</v>
      </c>
      <c r="I1563" t="b" cm="1">
        <f t="array" ref="I1563">isDup(B1563,B1564, 0.7)</f>
        <v>0</v>
      </c>
    </row>
    <row r="1564" spans="1:9" ht="17" x14ac:dyDescent="0.2">
      <c r="A1564" t="s">
        <v>2776</v>
      </c>
      <c r="B1564" s="1" t="s">
        <v>2777</v>
      </c>
      <c r="C1564" t="s">
        <v>237</v>
      </c>
      <c r="D1564" s="1" t="s">
        <v>928</v>
      </c>
      <c r="E1564" t="b">
        <v>0</v>
      </c>
      <c r="F1564">
        <v>805</v>
      </c>
      <c r="G1564">
        <v>577</v>
      </c>
      <c r="H1564" t="s">
        <v>11</v>
      </c>
      <c r="I1564" t="b" cm="1">
        <f t="array" ref="I1564">isDup(B1564,B1565, 0.7)</f>
        <v>0</v>
      </c>
    </row>
    <row r="1565" spans="1:9" ht="17" x14ac:dyDescent="0.2">
      <c r="A1565" t="s">
        <v>3693</v>
      </c>
      <c r="B1565" s="1" t="s">
        <v>3694</v>
      </c>
      <c r="C1565" t="s">
        <v>2950</v>
      </c>
      <c r="D1565" s="1" t="s">
        <v>1809</v>
      </c>
      <c r="E1565" t="b">
        <v>0</v>
      </c>
      <c r="F1565">
        <v>379</v>
      </c>
      <c r="G1565">
        <v>1030</v>
      </c>
      <c r="H1565" t="s">
        <v>11</v>
      </c>
      <c r="I1565" t="b" cm="1">
        <f t="array" ref="I1565">isDup(B1565,B1566, 0.7)</f>
        <v>0</v>
      </c>
    </row>
    <row r="1566" spans="1:9" ht="34" x14ac:dyDescent="0.2">
      <c r="A1566" t="s">
        <v>3352</v>
      </c>
      <c r="B1566" s="1" t="s">
        <v>3353</v>
      </c>
      <c r="C1566" t="s">
        <v>3354</v>
      </c>
      <c r="D1566" s="1" t="s">
        <v>2</v>
      </c>
      <c r="E1566" t="b">
        <v>0</v>
      </c>
      <c r="F1566">
        <v>759</v>
      </c>
      <c r="G1566">
        <v>167</v>
      </c>
      <c r="H1566" t="s">
        <v>11</v>
      </c>
      <c r="I1566" t="b" cm="1">
        <f t="array" ref="I1566">isDup(B1566,B1567, 0.7)</f>
        <v>0</v>
      </c>
    </row>
    <row r="1567" spans="1:9" ht="34" x14ac:dyDescent="0.2">
      <c r="A1567" t="s">
        <v>2602</v>
      </c>
      <c r="B1567" s="1" t="s">
        <v>2603</v>
      </c>
      <c r="C1567" t="s">
        <v>2604</v>
      </c>
      <c r="D1567" s="1" t="s">
        <v>1368</v>
      </c>
      <c r="E1567" t="b">
        <v>0</v>
      </c>
      <c r="F1567">
        <v>207</v>
      </c>
      <c r="G1567">
        <v>468</v>
      </c>
      <c r="H1567" t="s">
        <v>11</v>
      </c>
      <c r="I1567" t="b" cm="1">
        <f t="array" ref="I1567">isDup(B1567,B1568, 0.7)</f>
        <v>0</v>
      </c>
    </row>
    <row r="1568" spans="1:9" ht="17" x14ac:dyDescent="0.2">
      <c r="A1568" t="s">
        <v>1380</v>
      </c>
      <c r="B1568" s="1" t="s">
        <v>1381</v>
      </c>
      <c r="C1568" t="s">
        <v>1382</v>
      </c>
      <c r="D1568" s="1" t="s">
        <v>1383</v>
      </c>
      <c r="E1568" t="b">
        <v>0</v>
      </c>
      <c r="F1568">
        <v>1825</v>
      </c>
      <c r="G1568">
        <v>276</v>
      </c>
      <c r="H1568" t="s">
        <v>11</v>
      </c>
      <c r="I1568" t="b" cm="1">
        <f t="array" ref="I1568">isDup(B1568,B1569, 0.7)</f>
        <v>0</v>
      </c>
    </row>
    <row r="1569" spans="1:9" ht="17" x14ac:dyDescent="0.2">
      <c r="A1569" t="s">
        <v>710</v>
      </c>
      <c r="B1569" s="1" t="s">
        <v>711</v>
      </c>
      <c r="C1569" t="s">
        <v>712</v>
      </c>
      <c r="D1569" s="1" t="s">
        <v>713</v>
      </c>
      <c r="E1569" t="b">
        <v>0</v>
      </c>
      <c r="F1569">
        <v>8962</v>
      </c>
      <c r="G1569">
        <v>1047</v>
      </c>
      <c r="H1569" t="s">
        <v>11</v>
      </c>
      <c r="I1569" t="b" cm="1">
        <f t="array" ref="I1569">isDup(B1569,B1570, 0.7)</f>
        <v>0</v>
      </c>
    </row>
    <row r="1570" spans="1:9" ht="17" x14ac:dyDescent="0.2">
      <c r="A1570" t="s">
        <v>2730</v>
      </c>
      <c r="B1570" s="1" t="s">
        <v>2731</v>
      </c>
      <c r="C1570" t="s">
        <v>575</v>
      </c>
      <c r="D1570" s="1" t="s">
        <v>2</v>
      </c>
      <c r="E1570" t="b">
        <v>0</v>
      </c>
      <c r="F1570">
        <v>16</v>
      </c>
      <c r="G1570">
        <v>153</v>
      </c>
      <c r="H1570" t="s">
        <v>11</v>
      </c>
      <c r="I1570" t="b" cm="1">
        <f t="array" ref="I1570">isDup(B1570,B1571, 0.7)</f>
        <v>0</v>
      </c>
    </row>
    <row r="1571" spans="1:9" ht="34" x14ac:dyDescent="0.2">
      <c r="A1571" t="s">
        <v>1642</v>
      </c>
      <c r="B1571" s="1" t="s">
        <v>1643</v>
      </c>
      <c r="C1571" t="s">
        <v>1644</v>
      </c>
      <c r="D1571" s="1" t="s">
        <v>1645</v>
      </c>
      <c r="E1571" t="b">
        <v>0</v>
      </c>
      <c r="F1571">
        <v>1014</v>
      </c>
      <c r="G1571">
        <v>670</v>
      </c>
      <c r="H1571" t="s">
        <v>11</v>
      </c>
      <c r="I1571" t="b" cm="1">
        <f t="array" ref="I1571">isDup(B1571,B1572, 0.7)</f>
        <v>0</v>
      </c>
    </row>
    <row r="1572" spans="1:9" ht="17" x14ac:dyDescent="0.2">
      <c r="A1572" t="s">
        <v>6702</v>
      </c>
      <c r="B1572" s="1" t="s">
        <v>6703</v>
      </c>
      <c r="C1572" t="s">
        <v>2044</v>
      </c>
      <c r="D1572" s="1" t="s">
        <v>1435</v>
      </c>
      <c r="E1572" t="b">
        <v>0</v>
      </c>
      <c r="F1572">
        <v>28332</v>
      </c>
      <c r="G1572">
        <v>38</v>
      </c>
      <c r="H1572" t="s">
        <v>11</v>
      </c>
      <c r="I1572" t="b" cm="1">
        <f t="array" ref="I1572">isDup(B1572,B1573, 0.7)</f>
        <v>0</v>
      </c>
    </row>
    <row r="1573" spans="1:9" ht="34" x14ac:dyDescent="0.2">
      <c r="A1573" t="s">
        <v>4697</v>
      </c>
      <c r="B1573" s="1" t="s">
        <v>4698</v>
      </c>
      <c r="C1573" t="s">
        <v>4106</v>
      </c>
      <c r="D1573" s="1" t="s">
        <v>4699</v>
      </c>
      <c r="E1573" t="b">
        <v>0</v>
      </c>
      <c r="F1573">
        <v>1066</v>
      </c>
      <c r="G1573">
        <v>1715</v>
      </c>
      <c r="H1573" t="s">
        <v>11</v>
      </c>
      <c r="I1573" t="b" cm="1">
        <f t="array" ref="I1573">isDup(B1573,B1574, 0.7)</f>
        <v>0</v>
      </c>
    </row>
    <row r="1574" spans="1:9" ht="34" x14ac:dyDescent="0.2">
      <c r="A1574" t="s">
        <v>5981</v>
      </c>
      <c r="B1574" s="1" t="s">
        <v>5982</v>
      </c>
      <c r="C1574" t="s">
        <v>5557</v>
      </c>
      <c r="D1574" s="1" t="s">
        <v>5983</v>
      </c>
      <c r="E1574" t="b">
        <v>0</v>
      </c>
      <c r="F1574">
        <v>16</v>
      </c>
      <c r="G1574">
        <v>224</v>
      </c>
      <c r="H1574" t="s">
        <v>11</v>
      </c>
      <c r="I1574" t="b" cm="1">
        <f t="array" ref="I1574">isDup(B1574,B1575, 0.7)</f>
        <v>0</v>
      </c>
    </row>
    <row r="1575" spans="1:9" ht="34" x14ac:dyDescent="0.2">
      <c r="A1575" t="s">
        <v>7014</v>
      </c>
      <c r="B1575" s="1" t="s">
        <v>7015</v>
      </c>
      <c r="C1575" t="s">
        <v>7016</v>
      </c>
      <c r="D1575" s="1" t="s">
        <v>1368</v>
      </c>
      <c r="E1575" t="b">
        <v>0</v>
      </c>
      <c r="F1575">
        <v>224</v>
      </c>
      <c r="G1575">
        <v>200</v>
      </c>
      <c r="H1575" t="s">
        <v>11</v>
      </c>
      <c r="I1575" t="b" cm="1">
        <f t="array" ref="I1575">isDup(B1575,B1576, 0.7)</f>
        <v>0</v>
      </c>
    </row>
    <row r="1576" spans="1:9" ht="17" x14ac:dyDescent="0.2">
      <c r="A1576" t="s">
        <v>1619</v>
      </c>
      <c r="B1576" s="1" t="s">
        <v>1620</v>
      </c>
      <c r="C1576" t="s">
        <v>1621</v>
      </c>
      <c r="D1576" s="1" t="s">
        <v>1622</v>
      </c>
      <c r="E1576" t="b">
        <v>0</v>
      </c>
      <c r="F1576">
        <v>255</v>
      </c>
      <c r="G1576">
        <v>777</v>
      </c>
      <c r="H1576" t="s">
        <v>11</v>
      </c>
      <c r="I1576" t="b" cm="1">
        <f t="array" ref="I1576">isDup(B1576,B1577, 0.7)</f>
        <v>0</v>
      </c>
    </row>
    <row r="1577" spans="1:9" ht="17" x14ac:dyDescent="0.2">
      <c r="A1577" t="s">
        <v>5772</v>
      </c>
      <c r="B1577" s="1" t="s">
        <v>5773</v>
      </c>
      <c r="C1577" t="s">
        <v>319</v>
      </c>
      <c r="D1577" s="1" t="s">
        <v>2</v>
      </c>
      <c r="E1577" t="b">
        <v>0</v>
      </c>
      <c r="F1577">
        <v>41</v>
      </c>
      <c r="G1577">
        <v>59</v>
      </c>
      <c r="H1577" t="s">
        <v>11</v>
      </c>
      <c r="I1577" t="b" cm="1">
        <f t="array" ref="I1577">isDup(B1577,B1578, 0.7)</f>
        <v>0</v>
      </c>
    </row>
    <row r="1578" spans="1:9" ht="34" x14ac:dyDescent="0.2">
      <c r="A1578" t="s">
        <v>389</v>
      </c>
      <c r="B1578" s="1" t="s">
        <v>390</v>
      </c>
      <c r="C1578" t="s">
        <v>391</v>
      </c>
      <c r="D1578" s="1" t="s">
        <v>392</v>
      </c>
      <c r="E1578" t="b">
        <v>0</v>
      </c>
      <c r="F1578">
        <v>48</v>
      </c>
      <c r="G1578">
        <v>230</v>
      </c>
      <c r="H1578" t="s">
        <v>11</v>
      </c>
      <c r="I1578" t="b" cm="1">
        <f t="array" ref="I1578">isDup(B1578,B1579, 0.7)</f>
        <v>0</v>
      </c>
    </row>
    <row r="1579" spans="1:9" ht="34" x14ac:dyDescent="0.2">
      <c r="A1579" t="s">
        <v>3997</v>
      </c>
      <c r="B1579" s="1" t="s">
        <v>3998</v>
      </c>
      <c r="C1579" t="s">
        <v>3999</v>
      </c>
      <c r="D1579" s="1" t="s">
        <v>4000</v>
      </c>
      <c r="E1579" t="b">
        <v>0</v>
      </c>
      <c r="F1579">
        <v>2396</v>
      </c>
      <c r="G1579">
        <v>500</v>
      </c>
      <c r="H1579" t="s">
        <v>11</v>
      </c>
      <c r="I1579" t="b" cm="1">
        <f t="array" ref="I1579">isDup(B1579,B1580, 0.7)</f>
        <v>0</v>
      </c>
    </row>
    <row r="1580" spans="1:9" ht="17" x14ac:dyDescent="0.2">
      <c r="A1580" t="s">
        <v>3524</v>
      </c>
      <c r="B1580" s="1" t="s">
        <v>3525</v>
      </c>
      <c r="C1580" t="s">
        <v>2226</v>
      </c>
      <c r="D1580" s="1" t="s">
        <v>3526</v>
      </c>
      <c r="E1580" t="b">
        <v>0</v>
      </c>
      <c r="F1580">
        <v>62</v>
      </c>
      <c r="G1580">
        <v>108</v>
      </c>
      <c r="H1580" t="s">
        <v>11</v>
      </c>
      <c r="I1580" t="b" cm="1">
        <f t="array" ref="I1580">isDup(B1580,B1581, 0.7)</f>
        <v>0</v>
      </c>
    </row>
    <row r="1581" spans="1:9" ht="34" x14ac:dyDescent="0.2">
      <c r="A1581" t="s">
        <v>4953</v>
      </c>
      <c r="B1581" s="1" t="s">
        <v>4954</v>
      </c>
      <c r="C1581" t="s">
        <v>1405</v>
      </c>
      <c r="D1581" s="1" t="s">
        <v>2</v>
      </c>
      <c r="E1581" t="b">
        <v>0</v>
      </c>
      <c r="F1581">
        <v>22</v>
      </c>
      <c r="G1581">
        <v>192</v>
      </c>
      <c r="H1581" t="s">
        <v>641</v>
      </c>
      <c r="I1581" t="b" cm="1">
        <f t="array" ref="I1581">isDup(B1581,B1582, 0.7)</f>
        <v>0</v>
      </c>
    </row>
    <row r="1582" spans="1:9" ht="34" x14ac:dyDescent="0.2">
      <c r="A1582" t="s">
        <v>1542</v>
      </c>
      <c r="B1582" s="1" t="s">
        <v>1543</v>
      </c>
      <c r="C1582" t="s">
        <v>1544</v>
      </c>
      <c r="D1582" s="1" t="s">
        <v>1545</v>
      </c>
      <c r="E1582" t="b">
        <v>0</v>
      </c>
      <c r="F1582">
        <v>38</v>
      </c>
      <c r="G1582">
        <v>122</v>
      </c>
      <c r="H1582" t="s">
        <v>11</v>
      </c>
      <c r="I1582" t="b" cm="1">
        <f t="array" ref="I1582">isDup(B1582,B1583, 0.7)</f>
        <v>0</v>
      </c>
    </row>
    <row r="1583" spans="1:9" ht="34" x14ac:dyDescent="0.2">
      <c r="A1583" t="s">
        <v>4300</v>
      </c>
      <c r="B1583" s="1" t="s">
        <v>4301</v>
      </c>
      <c r="C1583" t="s">
        <v>94</v>
      </c>
      <c r="D1583" s="1" t="s">
        <v>1184</v>
      </c>
      <c r="E1583" t="b">
        <v>0</v>
      </c>
      <c r="F1583">
        <v>206</v>
      </c>
      <c r="G1583">
        <v>114</v>
      </c>
      <c r="H1583" t="s">
        <v>11</v>
      </c>
      <c r="I1583" t="b" cm="1">
        <f t="array" ref="I1583">isDup(B1583,B1584, 0.7)</f>
        <v>0</v>
      </c>
    </row>
    <row r="1584" spans="1:9" ht="17" x14ac:dyDescent="0.2">
      <c r="A1584" t="s">
        <v>6987</v>
      </c>
      <c r="B1584" s="1" t="s">
        <v>6988</v>
      </c>
      <c r="C1584" t="s">
        <v>379</v>
      </c>
      <c r="D1584" s="1" t="s">
        <v>109</v>
      </c>
      <c r="E1584" t="b">
        <v>0</v>
      </c>
      <c r="F1584">
        <v>2067</v>
      </c>
      <c r="G1584">
        <v>852</v>
      </c>
      <c r="H1584" t="s">
        <v>11</v>
      </c>
      <c r="I1584" t="b" cm="1">
        <f t="array" ref="I1584">isDup(B1584,B1585, 0.7)</f>
        <v>0</v>
      </c>
    </row>
    <row r="1585" spans="1:9" ht="17" x14ac:dyDescent="0.2">
      <c r="A1585" t="s">
        <v>602</v>
      </c>
      <c r="B1585" s="1" t="s">
        <v>603</v>
      </c>
      <c r="C1585" t="s">
        <v>604</v>
      </c>
      <c r="D1585" s="1" t="s">
        <v>2</v>
      </c>
      <c r="E1585" t="b">
        <v>0</v>
      </c>
      <c r="F1585">
        <v>4994</v>
      </c>
      <c r="G1585">
        <v>5323</v>
      </c>
      <c r="H1585" t="s">
        <v>73</v>
      </c>
      <c r="I1585" t="b" cm="1">
        <f t="array" ref="I1585">isDup(B1585,B1586, 0.7)</f>
        <v>0</v>
      </c>
    </row>
    <row r="1586" spans="1:9" ht="17" x14ac:dyDescent="0.2">
      <c r="A1586" t="s">
        <v>5157</v>
      </c>
      <c r="B1586" s="1" t="s">
        <v>5158</v>
      </c>
      <c r="C1586" t="s">
        <v>2200</v>
      </c>
      <c r="D1586" s="1" t="s">
        <v>487</v>
      </c>
      <c r="E1586" t="b">
        <v>0</v>
      </c>
      <c r="F1586">
        <v>297</v>
      </c>
      <c r="G1586">
        <v>520</v>
      </c>
      <c r="H1586" t="s">
        <v>11</v>
      </c>
      <c r="I1586" t="b" cm="1">
        <f t="array" ref="I1586">isDup(B1586,B1587, 0.7)</f>
        <v>0</v>
      </c>
    </row>
    <row r="1587" spans="1:9" ht="34" x14ac:dyDescent="0.2">
      <c r="A1587" t="s">
        <v>3389</v>
      </c>
      <c r="B1587" s="1" t="s">
        <v>3390</v>
      </c>
      <c r="C1587" t="s">
        <v>1148</v>
      </c>
      <c r="D1587" s="1" t="s">
        <v>2953</v>
      </c>
      <c r="E1587" t="b">
        <v>0</v>
      </c>
      <c r="F1587">
        <v>1438</v>
      </c>
      <c r="G1587">
        <v>580</v>
      </c>
      <c r="H1587" t="s">
        <v>11</v>
      </c>
      <c r="I1587" t="b" cm="1">
        <f t="array" ref="I1587">isDup(B1587,B1588, 0.7)</f>
        <v>0</v>
      </c>
    </row>
    <row r="1588" spans="1:9" ht="34" x14ac:dyDescent="0.2">
      <c r="A1588" t="s">
        <v>4828</v>
      </c>
      <c r="B1588" s="1" t="s">
        <v>4829</v>
      </c>
      <c r="C1588" t="s">
        <v>4106</v>
      </c>
      <c r="D1588" s="1" t="s">
        <v>4699</v>
      </c>
      <c r="E1588" t="b">
        <v>0</v>
      </c>
      <c r="F1588">
        <v>1066</v>
      </c>
      <c r="G1588">
        <v>1715</v>
      </c>
      <c r="H1588" t="s">
        <v>11</v>
      </c>
      <c r="I1588" t="b" cm="1">
        <f t="array" ref="I1588">isDup(B1588,B1589, 0.7)</f>
        <v>0</v>
      </c>
    </row>
    <row r="1589" spans="1:9" ht="17" x14ac:dyDescent="0.2">
      <c r="A1589" t="s">
        <v>1219</v>
      </c>
      <c r="B1589" s="1" t="s">
        <v>1220</v>
      </c>
      <c r="C1589" t="s">
        <v>1221</v>
      </c>
      <c r="D1589" s="1" t="s">
        <v>61</v>
      </c>
      <c r="E1589" t="b">
        <v>0</v>
      </c>
      <c r="F1589">
        <v>266</v>
      </c>
      <c r="G1589">
        <v>211</v>
      </c>
      <c r="H1589" t="s">
        <v>11</v>
      </c>
      <c r="I1589" t="b" cm="1">
        <f t="array" ref="I1589">isDup(B1589,B1590, 0.7)</f>
        <v>0</v>
      </c>
    </row>
    <row r="1590" spans="1:9" ht="34" x14ac:dyDescent="0.2">
      <c r="A1590" t="s">
        <v>6294</v>
      </c>
      <c r="B1590" s="1" t="s">
        <v>6295</v>
      </c>
      <c r="C1590" t="s">
        <v>6239</v>
      </c>
      <c r="D1590" s="1" t="s">
        <v>6240</v>
      </c>
      <c r="E1590" t="b">
        <v>0</v>
      </c>
      <c r="F1590">
        <v>362</v>
      </c>
      <c r="G1590">
        <v>131</v>
      </c>
      <c r="H1590" t="s">
        <v>11</v>
      </c>
      <c r="I1590" t="b" cm="1">
        <f t="array" ref="I1590">isDup(B1590,B1591, 0.7)</f>
        <v>0</v>
      </c>
    </row>
    <row r="1591" spans="1:9" ht="34" x14ac:dyDescent="0.2">
      <c r="A1591" t="s">
        <v>2637</v>
      </c>
      <c r="B1591" s="1" t="s">
        <v>2638</v>
      </c>
      <c r="C1591" t="s">
        <v>2639</v>
      </c>
      <c r="D1591" s="1" t="s">
        <v>2</v>
      </c>
      <c r="E1591" t="b">
        <v>0</v>
      </c>
      <c r="F1591">
        <v>180</v>
      </c>
      <c r="G1591">
        <v>366</v>
      </c>
      <c r="H1591" t="s">
        <v>11</v>
      </c>
      <c r="I1591" t="b" cm="1">
        <f t="array" ref="I1591">isDup(B1591,B1592, 0.7)</f>
        <v>0</v>
      </c>
    </row>
    <row r="1592" spans="1:9" ht="17" x14ac:dyDescent="0.2">
      <c r="A1592" t="s">
        <v>683</v>
      </c>
      <c r="B1592" s="1" t="s">
        <v>684</v>
      </c>
      <c r="C1592" t="s">
        <v>685</v>
      </c>
      <c r="D1592" s="1" t="s">
        <v>2</v>
      </c>
      <c r="E1592" t="b">
        <v>0</v>
      </c>
      <c r="F1592">
        <v>81</v>
      </c>
      <c r="G1592">
        <v>328</v>
      </c>
      <c r="H1592" t="s">
        <v>83</v>
      </c>
      <c r="I1592" t="b" cm="1">
        <f t="array" ref="I1592">isDup(B1592,B1593, 0.7)</f>
        <v>0</v>
      </c>
    </row>
    <row r="1593" spans="1:9" ht="17" x14ac:dyDescent="0.2">
      <c r="A1593" t="s">
        <v>6447</v>
      </c>
      <c r="B1593" s="1" t="s">
        <v>6448</v>
      </c>
      <c r="C1593" t="s">
        <v>6449</v>
      </c>
      <c r="D1593" s="1" t="s">
        <v>6450</v>
      </c>
      <c r="E1593" t="b">
        <v>0</v>
      </c>
      <c r="F1593">
        <v>61</v>
      </c>
      <c r="G1593">
        <v>127</v>
      </c>
      <c r="H1593" t="s">
        <v>11</v>
      </c>
      <c r="I1593" t="b" cm="1">
        <f t="array" ref="I1593">isDup(B1593,B1594, 0.7)</f>
        <v>0</v>
      </c>
    </row>
    <row r="1594" spans="1:9" ht="17" x14ac:dyDescent="0.2">
      <c r="A1594" t="s">
        <v>5437</v>
      </c>
      <c r="B1594" s="1" t="s">
        <v>5438</v>
      </c>
      <c r="C1594" t="s">
        <v>5439</v>
      </c>
      <c r="D1594" s="1" t="s">
        <v>2</v>
      </c>
      <c r="E1594" t="b">
        <v>0</v>
      </c>
      <c r="F1594">
        <v>329</v>
      </c>
      <c r="G1594">
        <v>307</v>
      </c>
      <c r="H1594" t="s">
        <v>11</v>
      </c>
      <c r="I1594" t="b" cm="1">
        <f t="array" ref="I1594">isDup(B1594,B1595, 0.7)</f>
        <v>0</v>
      </c>
    </row>
    <row r="1595" spans="1:9" ht="17" x14ac:dyDescent="0.2">
      <c r="A1595" t="s">
        <v>3265</v>
      </c>
      <c r="B1595" s="1" t="s">
        <v>3266</v>
      </c>
      <c r="C1595" t="s">
        <v>3267</v>
      </c>
      <c r="D1595" s="1" t="s">
        <v>2</v>
      </c>
      <c r="E1595" t="b">
        <v>0</v>
      </c>
      <c r="F1595">
        <v>23</v>
      </c>
      <c r="G1595">
        <v>262</v>
      </c>
      <c r="H1595" t="s">
        <v>11</v>
      </c>
      <c r="I1595" t="b" cm="1">
        <f t="array" ref="I1595">isDup(B1595,B1596, 0.7)</f>
        <v>0</v>
      </c>
    </row>
    <row r="1596" spans="1:9" ht="17" x14ac:dyDescent="0.2">
      <c r="A1596" t="s">
        <v>5970</v>
      </c>
      <c r="B1596" s="1" t="s">
        <v>5971</v>
      </c>
      <c r="C1596" t="s">
        <v>5972</v>
      </c>
      <c r="D1596" s="1" t="s">
        <v>61</v>
      </c>
      <c r="E1596" t="b">
        <v>0</v>
      </c>
      <c r="F1596">
        <v>309</v>
      </c>
      <c r="G1596">
        <v>1058</v>
      </c>
      <c r="H1596" t="s">
        <v>11</v>
      </c>
      <c r="I1596" t="b" cm="1">
        <f t="array" ref="I1596">isDup(B1596,B1597, 0.7)</f>
        <v>0</v>
      </c>
    </row>
    <row r="1597" spans="1:9" ht="17" x14ac:dyDescent="0.2">
      <c r="A1597" t="s">
        <v>4420</v>
      </c>
      <c r="B1597" s="1" t="s">
        <v>4421</v>
      </c>
      <c r="C1597" t="s">
        <v>410</v>
      </c>
      <c r="D1597" s="1" t="s">
        <v>4422</v>
      </c>
      <c r="E1597" t="b">
        <v>0</v>
      </c>
      <c r="F1597">
        <v>2325</v>
      </c>
      <c r="G1597">
        <v>517</v>
      </c>
      <c r="H1597" t="s">
        <v>11</v>
      </c>
      <c r="I1597" t="b" cm="1">
        <f t="array" ref="I1597">isDup(B1597,B1598, 0.7)</f>
        <v>0</v>
      </c>
    </row>
    <row r="1598" spans="1:9" ht="17" x14ac:dyDescent="0.2">
      <c r="A1598" t="s">
        <v>4596</v>
      </c>
      <c r="B1598" s="1" t="s">
        <v>4597</v>
      </c>
      <c r="C1598" t="s">
        <v>4598</v>
      </c>
      <c r="D1598" s="1" t="s">
        <v>996</v>
      </c>
      <c r="E1598" t="b">
        <v>0</v>
      </c>
      <c r="F1598">
        <v>1124</v>
      </c>
      <c r="G1598">
        <v>676</v>
      </c>
      <c r="H1598" t="s">
        <v>11</v>
      </c>
      <c r="I1598" t="b" cm="1">
        <f t="array" ref="I1598">isDup(B1598,B1599, 0.7)</f>
        <v>0</v>
      </c>
    </row>
    <row r="1599" spans="1:9" ht="34" x14ac:dyDescent="0.2">
      <c r="A1599" t="s">
        <v>195</v>
      </c>
      <c r="B1599" s="1" t="s">
        <v>196</v>
      </c>
      <c r="C1599" t="s">
        <v>197</v>
      </c>
      <c r="D1599" s="1" t="s">
        <v>95</v>
      </c>
      <c r="E1599" t="b">
        <v>0</v>
      </c>
      <c r="F1599">
        <v>340</v>
      </c>
      <c r="G1599">
        <v>54</v>
      </c>
      <c r="H1599" t="s">
        <v>11</v>
      </c>
      <c r="I1599" t="b" cm="1">
        <f t="array" ref="I1599">isDup(B1599,B1600, 0.7)</f>
        <v>0</v>
      </c>
    </row>
    <row r="1600" spans="1:9" ht="34" x14ac:dyDescent="0.2">
      <c r="A1600" t="s">
        <v>137</v>
      </c>
      <c r="B1600" s="1" t="s">
        <v>138</v>
      </c>
      <c r="C1600" t="s">
        <v>139</v>
      </c>
      <c r="D1600" s="1" t="s">
        <v>140</v>
      </c>
      <c r="E1600" t="b">
        <v>0</v>
      </c>
      <c r="F1600">
        <v>11</v>
      </c>
      <c r="G1600">
        <v>322</v>
      </c>
      <c r="H1600" t="s">
        <v>11</v>
      </c>
      <c r="I1600" t="b" cm="1">
        <f t="array" ref="I1600">isDup(B1600,B1601, 0.7)</f>
        <v>0</v>
      </c>
    </row>
    <row r="1601" spans="1:9" ht="17" x14ac:dyDescent="0.2">
      <c r="A1601" t="s">
        <v>2596</v>
      </c>
      <c r="B1601" s="1" t="s">
        <v>2599</v>
      </c>
      <c r="C1601" t="s">
        <v>2600</v>
      </c>
      <c r="D1601" s="1" t="s">
        <v>2601</v>
      </c>
      <c r="E1601" t="b">
        <v>0</v>
      </c>
      <c r="F1601">
        <v>503</v>
      </c>
      <c r="G1601">
        <v>673</v>
      </c>
      <c r="H1601" t="s">
        <v>47</v>
      </c>
      <c r="I1601" t="b" cm="1">
        <f t="array" ref="I1601">isDup(B1601,B1602, 0.7)</f>
        <v>0</v>
      </c>
    </row>
    <row r="1602" spans="1:9" ht="17" x14ac:dyDescent="0.2">
      <c r="A1602" t="s">
        <v>6360</v>
      </c>
      <c r="B1602" s="1" t="s">
        <v>6361</v>
      </c>
      <c r="C1602" t="s">
        <v>4324</v>
      </c>
      <c r="D1602" s="1" t="s">
        <v>316</v>
      </c>
      <c r="E1602" t="b">
        <v>0</v>
      </c>
      <c r="F1602">
        <v>120</v>
      </c>
      <c r="G1602">
        <v>114</v>
      </c>
      <c r="H1602" t="s">
        <v>11</v>
      </c>
      <c r="I1602" t="b" cm="1">
        <f t="array" ref="I1602">isDup(B1602,B1603, 0.7)</f>
        <v>0</v>
      </c>
    </row>
    <row r="1603" spans="1:9" ht="34" x14ac:dyDescent="0.2">
      <c r="A1603" t="s">
        <v>3198</v>
      </c>
      <c r="B1603" s="1" t="s">
        <v>3201</v>
      </c>
      <c r="C1603" t="s">
        <v>3202</v>
      </c>
      <c r="D1603" s="1" t="s">
        <v>2</v>
      </c>
      <c r="E1603" t="b">
        <v>0</v>
      </c>
      <c r="F1603">
        <v>91</v>
      </c>
      <c r="G1603">
        <v>493</v>
      </c>
      <c r="H1603" t="s">
        <v>11</v>
      </c>
      <c r="I1603" t="b" cm="1">
        <f t="array" ref="I1603">isDup(B1603,B1604, 0.7)</f>
        <v>0</v>
      </c>
    </row>
    <row r="1604" spans="1:9" ht="34" x14ac:dyDescent="0.2">
      <c r="A1604" t="s">
        <v>4512</v>
      </c>
      <c r="B1604" s="1" t="s">
        <v>4513</v>
      </c>
      <c r="C1604" t="s">
        <v>1716</v>
      </c>
      <c r="D1604" s="1" t="s">
        <v>1694</v>
      </c>
      <c r="E1604" t="b">
        <v>0</v>
      </c>
      <c r="F1604">
        <v>946</v>
      </c>
      <c r="G1604">
        <v>634</v>
      </c>
      <c r="H1604" t="s">
        <v>11</v>
      </c>
      <c r="I1604" t="b" cm="1">
        <f t="array" ref="I1604">isDup(B1604,B1605, 0.7)</f>
        <v>0</v>
      </c>
    </row>
    <row r="1605" spans="1:9" ht="34" x14ac:dyDescent="0.2">
      <c r="A1605" t="s">
        <v>4279</v>
      </c>
      <c r="B1605" s="1" t="s">
        <v>4280</v>
      </c>
      <c r="C1605" t="s">
        <v>2749</v>
      </c>
      <c r="D1605" s="1" t="s">
        <v>1368</v>
      </c>
      <c r="E1605" t="b">
        <v>0</v>
      </c>
      <c r="F1605">
        <v>70</v>
      </c>
      <c r="G1605">
        <v>372</v>
      </c>
      <c r="H1605" t="s">
        <v>11</v>
      </c>
      <c r="I1605" t="b" cm="1">
        <f t="array" ref="I1605">isDup(B1605,B1606, 0.7)</f>
        <v>0</v>
      </c>
    </row>
    <row r="1606" spans="1:9" ht="17" x14ac:dyDescent="0.2">
      <c r="A1606" t="s">
        <v>1100</v>
      </c>
      <c r="B1606" s="1" t="s">
        <v>1101</v>
      </c>
      <c r="C1606" t="s">
        <v>1102</v>
      </c>
      <c r="D1606" s="1" t="s">
        <v>2</v>
      </c>
      <c r="E1606" t="b">
        <v>0</v>
      </c>
      <c r="F1606">
        <v>81</v>
      </c>
      <c r="G1606">
        <v>255</v>
      </c>
      <c r="H1606" t="s">
        <v>11</v>
      </c>
      <c r="I1606" t="b" cm="1">
        <f t="array" ref="I1606">isDup(B1606,B1607, 0.7)</f>
        <v>0</v>
      </c>
    </row>
    <row r="1607" spans="1:9" ht="17" x14ac:dyDescent="0.2">
      <c r="A1607" t="s">
        <v>6505</v>
      </c>
      <c r="B1607" s="1" t="s">
        <v>6507</v>
      </c>
      <c r="C1607" t="s">
        <v>5952</v>
      </c>
      <c r="D1607" s="1" t="s">
        <v>2</v>
      </c>
      <c r="E1607" t="b">
        <v>0</v>
      </c>
      <c r="F1607">
        <v>50</v>
      </c>
      <c r="G1607">
        <v>242</v>
      </c>
      <c r="H1607" t="s">
        <v>11</v>
      </c>
      <c r="I1607" t="b" cm="1">
        <f t="array" ref="I1607">isDup(B1607,B1608, 0.7)</f>
        <v>0</v>
      </c>
    </row>
    <row r="1608" spans="1:9" ht="34" x14ac:dyDescent="0.2">
      <c r="A1608" t="s">
        <v>2857</v>
      </c>
      <c r="B1608" s="1" t="s">
        <v>2858</v>
      </c>
      <c r="C1608" t="s">
        <v>358</v>
      </c>
      <c r="D1608" s="1" t="s">
        <v>659</v>
      </c>
      <c r="E1608" t="b">
        <v>0</v>
      </c>
      <c r="F1608">
        <v>1997</v>
      </c>
      <c r="G1608">
        <v>1059</v>
      </c>
      <c r="H1608" t="s">
        <v>11</v>
      </c>
      <c r="I1608" t="b" cm="1">
        <f t="array" ref="I1608">isDup(B1608,B1609, 0.7)</f>
        <v>0</v>
      </c>
    </row>
    <row r="1609" spans="1:9" ht="17" x14ac:dyDescent="0.2">
      <c r="A1609" t="s">
        <v>3965</v>
      </c>
      <c r="B1609" s="1" t="s">
        <v>3966</v>
      </c>
      <c r="C1609" t="s">
        <v>3967</v>
      </c>
      <c r="D1609" s="1" t="s">
        <v>3968</v>
      </c>
      <c r="E1609" t="b">
        <v>0</v>
      </c>
      <c r="F1609">
        <v>13</v>
      </c>
      <c r="G1609">
        <v>50</v>
      </c>
      <c r="H1609" t="s">
        <v>11</v>
      </c>
      <c r="I1609" t="b" cm="1">
        <f t="array" ref="I1609">isDup(B1609,B1610, 0.7)</f>
        <v>0</v>
      </c>
    </row>
    <row r="1610" spans="1:9" ht="17" x14ac:dyDescent="0.2">
      <c r="A1610" t="s">
        <v>7196</v>
      </c>
      <c r="B1610" s="1" t="s">
        <v>7197</v>
      </c>
      <c r="C1610" t="s">
        <v>4792</v>
      </c>
      <c r="D1610" s="1" t="s">
        <v>2</v>
      </c>
      <c r="E1610" t="b">
        <v>0</v>
      </c>
      <c r="F1610">
        <v>19</v>
      </c>
      <c r="G1610">
        <v>145</v>
      </c>
      <c r="H1610" t="s">
        <v>83</v>
      </c>
      <c r="I1610" t="b" cm="1">
        <f t="array" ref="I1610">isDup(B1610,B1611, 0.7)</f>
        <v>0</v>
      </c>
    </row>
    <row r="1611" spans="1:9" ht="17" x14ac:dyDescent="0.2">
      <c r="A1611" t="s">
        <v>5681</v>
      </c>
      <c r="B1611" s="1" t="s">
        <v>5682</v>
      </c>
      <c r="C1611" t="s">
        <v>5683</v>
      </c>
      <c r="D1611" s="1" t="s">
        <v>5684</v>
      </c>
      <c r="E1611" t="b">
        <v>0</v>
      </c>
      <c r="F1611">
        <v>921</v>
      </c>
      <c r="G1611">
        <v>355</v>
      </c>
      <c r="H1611" t="s">
        <v>11</v>
      </c>
      <c r="I1611" t="b" cm="1">
        <f t="array" ref="I1611">isDup(B1611,B1612, 0.7)</f>
        <v>0</v>
      </c>
    </row>
    <row r="1612" spans="1:9" ht="34" x14ac:dyDescent="0.2">
      <c r="A1612" t="s">
        <v>1302</v>
      </c>
      <c r="B1612" s="1" t="s">
        <v>1303</v>
      </c>
      <c r="C1612" t="s">
        <v>1304</v>
      </c>
      <c r="D1612" s="1" t="s">
        <v>1305</v>
      </c>
      <c r="E1612" t="b">
        <v>0</v>
      </c>
      <c r="F1612">
        <v>273</v>
      </c>
      <c r="G1612">
        <v>46</v>
      </c>
      <c r="H1612" t="s">
        <v>11</v>
      </c>
      <c r="I1612" t="b" cm="1">
        <f t="array" ref="I1612">isDup(B1612,B1613, 0.7)</f>
        <v>0</v>
      </c>
    </row>
    <row r="1613" spans="1:9" ht="17" x14ac:dyDescent="0.2">
      <c r="A1613" t="s">
        <v>1999</v>
      </c>
      <c r="B1613" s="1" t="s">
        <v>2000</v>
      </c>
      <c r="C1613" t="s">
        <v>2001</v>
      </c>
      <c r="D1613" s="1" t="s">
        <v>2002</v>
      </c>
      <c r="E1613" t="b">
        <v>0</v>
      </c>
      <c r="F1613">
        <v>1321</v>
      </c>
      <c r="G1613">
        <v>1091</v>
      </c>
      <c r="H1613" t="s">
        <v>11</v>
      </c>
      <c r="I1613" t="b" cm="1">
        <f t="array" ref="I1613">isDup(B1613,B1614, 0.7)</f>
        <v>0</v>
      </c>
    </row>
    <row r="1614" spans="1:9" ht="34" x14ac:dyDescent="0.2">
      <c r="A1614" t="s">
        <v>6587</v>
      </c>
      <c r="B1614" s="1" t="s">
        <v>6588</v>
      </c>
      <c r="C1614" t="s">
        <v>455</v>
      </c>
      <c r="D1614" s="1" t="s">
        <v>212</v>
      </c>
      <c r="E1614" t="b">
        <v>0</v>
      </c>
      <c r="F1614">
        <v>178</v>
      </c>
      <c r="G1614">
        <v>135</v>
      </c>
      <c r="H1614" t="s">
        <v>11</v>
      </c>
      <c r="I1614" t="b" cm="1">
        <f t="array" ref="I1614">isDup(B1614,B1615, 0.7)</f>
        <v>0</v>
      </c>
    </row>
    <row r="1615" spans="1:9" ht="17" x14ac:dyDescent="0.2">
      <c r="A1615" t="s">
        <v>1164</v>
      </c>
      <c r="B1615" s="1" t="s">
        <v>1165</v>
      </c>
      <c r="C1615" t="s">
        <v>591</v>
      </c>
      <c r="D1615" s="1" t="s">
        <v>2</v>
      </c>
      <c r="E1615" t="b">
        <v>0</v>
      </c>
      <c r="F1615">
        <v>154</v>
      </c>
      <c r="G1615">
        <v>258</v>
      </c>
      <c r="H1615" t="s">
        <v>11</v>
      </c>
      <c r="I1615" t="b" cm="1">
        <f t="array" ref="I1615">isDup(B1615,B1616, 0.7)</f>
        <v>0</v>
      </c>
    </row>
    <row r="1616" spans="1:9" ht="34" x14ac:dyDescent="0.2">
      <c r="A1616" t="s">
        <v>5577</v>
      </c>
      <c r="B1616" s="1" t="s">
        <v>5578</v>
      </c>
      <c r="C1616" t="s">
        <v>2226</v>
      </c>
      <c r="D1616" s="1" t="s">
        <v>5579</v>
      </c>
      <c r="E1616" t="b">
        <v>0</v>
      </c>
      <c r="F1616">
        <v>187</v>
      </c>
      <c r="G1616">
        <v>624</v>
      </c>
      <c r="H1616" t="s">
        <v>11</v>
      </c>
      <c r="I1616" t="b" cm="1">
        <f t="array" ref="I1616">isDup(B1616,B1617, 0.7)</f>
        <v>0</v>
      </c>
    </row>
    <row r="1617" spans="1:9" ht="17" x14ac:dyDescent="0.2">
      <c r="A1617" t="s">
        <v>4535</v>
      </c>
      <c r="B1617" s="1" t="s">
        <v>4536</v>
      </c>
      <c r="C1617" t="s">
        <v>4537</v>
      </c>
      <c r="D1617" s="1" t="s">
        <v>2</v>
      </c>
      <c r="E1617" t="b">
        <v>0</v>
      </c>
      <c r="F1617">
        <v>1</v>
      </c>
      <c r="G1617">
        <v>3</v>
      </c>
      <c r="H1617" t="s">
        <v>11</v>
      </c>
      <c r="I1617" t="b" cm="1">
        <f t="array" ref="I1617">isDup(B1617,B1618, 0.7)</f>
        <v>0</v>
      </c>
    </row>
    <row r="1618" spans="1:9" ht="17" x14ac:dyDescent="0.2">
      <c r="A1618" t="s">
        <v>5309</v>
      </c>
      <c r="B1618" s="1" t="s">
        <v>5310</v>
      </c>
      <c r="C1618" t="s">
        <v>5311</v>
      </c>
      <c r="D1618" s="1" t="s">
        <v>5312</v>
      </c>
      <c r="E1618" t="b">
        <v>0</v>
      </c>
      <c r="F1618">
        <v>159</v>
      </c>
      <c r="G1618">
        <v>152</v>
      </c>
      <c r="H1618" t="s">
        <v>5313</v>
      </c>
      <c r="I1618" t="b" cm="1">
        <f t="array" ref="I1618">isDup(B1618,B1619, 0.7)</f>
        <v>0</v>
      </c>
    </row>
    <row r="1619" spans="1:9" ht="17" x14ac:dyDescent="0.2">
      <c r="A1619" t="s">
        <v>3061</v>
      </c>
      <c r="B1619" s="1" t="s">
        <v>3062</v>
      </c>
      <c r="C1619" t="s">
        <v>2007</v>
      </c>
      <c r="D1619" s="1" t="s">
        <v>2</v>
      </c>
      <c r="E1619" t="b">
        <v>0</v>
      </c>
      <c r="F1619">
        <v>555</v>
      </c>
      <c r="G1619">
        <v>692</v>
      </c>
      <c r="H1619" t="s">
        <v>3</v>
      </c>
      <c r="I1619" t="b" cm="1">
        <f t="array" ref="I1619">isDup(B1619,B1620, 0.7)</f>
        <v>0</v>
      </c>
    </row>
    <row r="1620" spans="1:9" ht="17" x14ac:dyDescent="0.2">
      <c r="A1620" t="s">
        <v>4250</v>
      </c>
      <c r="B1620" s="1" t="s">
        <v>4251</v>
      </c>
      <c r="C1620" t="s">
        <v>1254</v>
      </c>
      <c r="D1620" s="1" t="s">
        <v>61</v>
      </c>
      <c r="E1620" t="b">
        <v>0</v>
      </c>
      <c r="F1620">
        <v>36</v>
      </c>
      <c r="G1620">
        <v>0</v>
      </c>
      <c r="H1620" t="s">
        <v>11</v>
      </c>
      <c r="I1620" t="b" cm="1">
        <f t="array" ref="I1620">isDup(B1620,B1621, 0.7)</f>
        <v>0</v>
      </c>
    </row>
    <row r="1621" spans="1:9" ht="17" x14ac:dyDescent="0.2">
      <c r="A1621" t="s">
        <v>1820</v>
      </c>
      <c r="B1621" s="1" t="s">
        <v>1821</v>
      </c>
      <c r="C1621" t="s">
        <v>1592</v>
      </c>
      <c r="D1621" s="1" t="s">
        <v>1593</v>
      </c>
      <c r="E1621" t="b">
        <v>0</v>
      </c>
      <c r="F1621">
        <v>4</v>
      </c>
      <c r="G1621">
        <v>0</v>
      </c>
      <c r="H1621" t="s">
        <v>11</v>
      </c>
      <c r="I1621" t="b" cm="1">
        <f t="array" ref="I1621">isDup(B1621,B1622, 0.7)</f>
        <v>0</v>
      </c>
    </row>
    <row r="1622" spans="1:9" ht="34" x14ac:dyDescent="0.2">
      <c r="A1622" t="s">
        <v>3639</v>
      </c>
      <c r="B1622" s="1" t="s">
        <v>3640</v>
      </c>
      <c r="C1622" t="s">
        <v>3641</v>
      </c>
      <c r="D1622" s="1" t="s">
        <v>3642</v>
      </c>
      <c r="E1622" t="b">
        <v>0</v>
      </c>
      <c r="F1622">
        <v>2688</v>
      </c>
      <c r="G1622">
        <v>560</v>
      </c>
      <c r="H1622" t="s">
        <v>11</v>
      </c>
      <c r="I1622" t="b" cm="1">
        <f t="array" ref="I1622">isDup(B1622,B1623, 0.7)</f>
        <v>0</v>
      </c>
    </row>
    <row r="1623" spans="1:9" ht="17" x14ac:dyDescent="0.2">
      <c r="A1623" t="s">
        <v>4261</v>
      </c>
      <c r="B1623" s="1" t="s">
        <v>4262</v>
      </c>
      <c r="C1623" t="s">
        <v>1506</v>
      </c>
      <c r="D1623" s="1" t="s">
        <v>2923</v>
      </c>
      <c r="E1623" t="b">
        <v>0</v>
      </c>
      <c r="F1623">
        <v>376</v>
      </c>
      <c r="G1623">
        <v>1085</v>
      </c>
      <c r="H1623" t="s">
        <v>47</v>
      </c>
      <c r="I1623" t="b" cm="1">
        <f t="array" ref="I1623">isDup(B1623,B1624, 0.7)</f>
        <v>0</v>
      </c>
    </row>
    <row r="1624" spans="1:9" ht="17" x14ac:dyDescent="0.2">
      <c r="A1624" t="s">
        <v>2547</v>
      </c>
      <c r="B1624" s="1" t="s">
        <v>2548</v>
      </c>
      <c r="C1624" t="s">
        <v>167</v>
      </c>
      <c r="D1624" s="1" t="s">
        <v>2549</v>
      </c>
      <c r="E1624" t="b">
        <v>0</v>
      </c>
      <c r="F1624">
        <v>230</v>
      </c>
      <c r="G1624">
        <v>122</v>
      </c>
      <c r="H1624" t="s">
        <v>11</v>
      </c>
      <c r="I1624" t="b" cm="1">
        <f t="array" ref="I1624">isDup(B1624,B1625, 0.7)</f>
        <v>0</v>
      </c>
    </row>
    <row r="1625" spans="1:9" ht="17" x14ac:dyDescent="0.2">
      <c r="A1625" t="s">
        <v>7026</v>
      </c>
      <c r="B1625" s="1" t="s">
        <v>7027</v>
      </c>
      <c r="C1625" t="s">
        <v>7028</v>
      </c>
      <c r="D1625" s="1" t="s">
        <v>7029</v>
      </c>
      <c r="E1625" t="b">
        <v>0</v>
      </c>
      <c r="F1625">
        <v>512</v>
      </c>
      <c r="G1625">
        <v>533</v>
      </c>
      <c r="H1625" t="s">
        <v>11</v>
      </c>
      <c r="I1625" t="b" cm="1">
        <f t="array" ref="I1625">isDup(B1625,B1626, 0.7)</f>
        <v>0</v>
      </c>
    </row>
    <row r="1626" spans="1:9" ht="34" x14ac:dyDescent="0.2">
      <c r="A1626" t="s">
        <v>2273</v>
      </c>
      <c r="B1626" s="1" t="s">
        <v>2274</v>
      </c>
      <c r="C1626" t="s">
        <v>2275</v>
      </c>
      <c r="D1626" s="1" t="s">
        <v>2276</v>
      </c>
      <c r="E1626" t="b">
        <v>0</v>
      </c>
      <c r="F1626">
        <v>265</v>
      </c>
      <c r="G1626">
        <v>262</v>
      </c>
      <c r="H1626" t="s">
        <v>11</v>
      </c>
      <c r="I1626" t="b" cm="1">
        <f t="array" ref="I1626">isDup(B1626,B1627, 0.7)</f>
        <v>0</v>
      </c>
    </row>
    <row r="1627" spans="1:9" ht="17" x14ac:dyDescent="0.2">
      <c r="A1627" t="s">
        <v>7166</v>
      </c>
      <c r="B1627" s="1" t="s">
        <v>7167</v>
      </c>
      <c r="C1627" t="s">
        <v>769</v>
      </c>
      <c r="D1627" s="1" t="s">
        <v>2</v>
      </c>
      <c r="E1627" t="b">
        <v>0</v>
      </c>
      <c r="F1627">
        <v>756</v>
      </c>
      <c r="G1627">
        <v>47</v>
      </c>
      <c r="H1627" t="s">
        <v>11</v>
      </c>
      <c r="I1627" t="b" cm="1">
        <f t="array" ref="I1627">isDup(B1627,B1628, 0.7)</f>
        <v>0</v>
      </c>
    </row>
    <row r="1628" spans="1:9" ht="34" x14ac:dyDescent="0.2">
      <c r="A1628" t="s">
        <v>1097</v>
      </c>
      <c r="B1628" s="1" t="s">
        <v>1098</v>
      </c>
      <c r="C1628" t="s">
        <v>1099</v>
      </c>
      <c r="D1628" s="1" t="s">
        <v>2</v>
      </c>
      <c r="E1628" t="b">
        <v>0</v>
      </c>
      <c r="F1628">
        <v>0</v>
      </c>
      <c r="G1628">
        <v>20</v>
      </c>
      <c r="H1628" t="s">
        <v>11</v>
      </c>
      <c r="I1628" t="b" cm="1">
        <f t="array" ref="I1628">isDup(B1628,B1629, 0.7)</f>
        <v>0</v>
      </c>
    </row>
    <row r="1629" spans="1:9" ht="17" x14ac:dyDescent="0.2">
      <c r="A1629" t="s">
        <v>4035</v>
      </c>
      <c r="B1629" s="1" t="s">
        <v>4036</v>
      </c>
      <c r="C1629" t="s">
        <v>275</v>
      </c>
      <c r="D1629" s="1" t="s">
        <v>2</v>
      </c>
      <c r="E1629" t="b">
        <v>1</v>
      </c>
      <c r="F1629">
        <v>3609</v>
      </c>
      <c r="G1629">
        <v>6</v>
      </c>
      <c r="H1629" t="s">
        <v>11</v>
      </c>
      <c r="I1629" t="b" cm="1">
        <f t="array" ref="I1629">isDup(B1629,B1630, 0.7)</f>
        <v>0</v>
      </c>
    </row>
    <row r="1630" spans="1:9" ht="17" x14ac:dyDescent="0.2">
      <c r="A1630" t="s">
        <v>605</v>
      </c>
      <c r="B1630" s="1" t="s">
        <v>606</v>
      </c>
      <c r="C1630" t="s">
        <v>607</v>
      </c>
      <c r="D1630" s="1" t="s">
        <v>608</v>
      </c>
      <c r="E1630" t="b">
        <v>0</v>
      </c>
      <c r="F1630">
        <v>380</v>
      </c>
      <c r="G1630">
        <v>402</v>
      </c>
      <c r="H1630" t="s">
        <v>11</v>
      </c>
      <c r="I1630" t="b" cm="1">
        <f t="array" ref="I1630">isDup(B1630,B1631, 0.7)</f>
        <v>0</v>
      </c>
    </row>
    <row r="1631" spans="1:9" ht="17" x14ac:dyDescent="0.2">
      <c r="A1631" t="s">
        <v>2020</v>
      </c>
      <c r="B1631" s="1" t="s">
        <v>2021</v>
      </c>
      <c r="C1631" t="s">
        <v>204</v>
      </c>
      <c r="D1631" s="1" t="s">
        <v>168</v>
      </c>
      <c r="E1631" t="b">
        <v>0</v>
      </c>
      <c r="F1631">
        <v>10</v>
      </c>
      <c r="G1631">
        <v>2</v>
      </c>
      <c r="H1631" t="s">
        <v>11</v>
      </c>
      <c r="I1631" t="b" cm="1">
        <f t="array" ref="I1631">isDup(B1631,B1632, 0.7)</f>
        <v>0</v>
      </c>
    </row>
    <row r="1632" spans="1:9" ht="34" x14ac:dyDescent="0.2">
      <c r="A1632" t="s">
        <v>959</v>
      </c>
      <c r="B1632" s="1" t="s">
        <v>960</v>
      </c>
      <c r="C1632" t="s">
        <v>649</v>
      </c>
      <c r="D1632" s="1" t="s">
        <v>961</v>
      </c>
      <c r="E1632" t="b">
        <v>0</v>
      </c>
      <c r="F1632">
        <v>97</v>
      </c>
      <c r="G1632">
        <v>120</v>
      </c>
      <c r="H1632" t="s">
        <v>11</v>
      </c>
      <c r="I1632" t="b" cm="1">
        <f t="array" ref="I1632">isDup(B1632,B1633, 0.7)</f>
        <v>0</v>
      </c>
    </row>
    <row r="1633" spans="1:9" ht="34" x14ac:dyDescent="0.2">
      <c r="A1633" t="s">
        <v>5592</v>
      </c>
      <c r="B1633" s="1" t="s">
        <v>5593</v>
      </c>
      <c r="C1633" t="s">
        <v>67</v>
      </c>
      <c r="D1633" s="1" t="s">
        <v>2</v>
      </c>
      <c r="E1633" t="b">
        <v>0</v>
      </c>
      <c r="F1633">
        <v>127</v>
      </c>
      <c r="G1633">
        <v>271</v>
      </c>
      <c r="H1633" t="s">
        <v>11</v>
      </c>
      <c r="I1633" t="b" cm="1">
        <f t="array" ref="I1633">isDup(B1633,B1634, 0.7)</f>
        <v>0</v>
      </c>
    </row>
    <row r="1634" spans="1:9" ht="17" x14ac:dyDescent="0.2">
      <c r="A1634" t="s">
        <v>5517</v>
      </c>
      <c r="B1634" s="1" t="s">
        <v>5518</v>
      </c>
      <c r="C1634" t="s">
        <v>5101</v>
      </c>
      <c r="D1634" s="1" t="s">
        <v>5519</v>
      </c>
      <c r="E1634" t="b">
        <v>0</v>
      </c>
      <c r="F1634">
        <v>1214</v>
      </c>
      <c r="G1634">
        <v>2257</v>
      </c>
      <c r="H1634" t="s">
        <v>11</v>
      </c>
      <c r="I1634" t="b" cm="1">
        <f t="array" ref="I1634">isDup(B1634,B1635, 0.7)</f>
        <v>0</v>
      </c>
    </row>
    <row r="1635" spans="1:9" ht="17" x14ac:dyDescent="0.2">
      <c r="A1635" t="s">
        <v>6124</v>
      </c>
      <c r="B1635" s="1" t="s">
        <v>6125</v>
      </c>
      <c r="C1635" t="s">
        <v>1465</v>
      </c>
      <c r="D1635" s="1" t="s">
        <v>6126</v>
      </c>
      <c r="E1635" t="b">
        <v>0</v>
      </c>
      <c r="F1635">
        <v>55</v>
      </c>
      <c r="G1635">
        <v>81</v>
      </c>
      <c r="H1635" t="s">
        <v>11</v>
      </c>
      <c r="I1635" t="b" cm="1">
        <f t="array" ref="I1635">isDup(B1635,B1636, 0.7)</f>
        <v>0</v>
      </c>
    </row>
    <row r="1636" spans="1:9" ht="17" x14ac:dyDescent="0.2">
      <c r="A1636" t="s">
        <v>2795</v>
      </c>
      <c r="B1636" s="1" t="s">
        <v>2796</v>
      </c>
      <c r="C1636" t="s">
        <v>2797</v>
      </c>
      <c r="D1636" s="1" t="s">
        <v>2798</v>
      </c>
      <c r="E1636" t="b">
        <v>0</v>
      </c>
      <c r="F1636">
        <v>2376</v>
      </c>
      <c r="G1636">
        <v>449</v>
      </c>
      <c r="H1636" t="s">
        <v>11</v>
      </c>
      <c r="I1636" t="b" cm="1">
        <f t="array" ref="I1636">isDup(B1636,B1637, 0.7)</f>
        <v>0</v>
      </c>
    </row>
    <row r="1637" spans="1:9" ht="17" x14ac:dyDescent="0.2">
      <c r="A1637" t="s">
        <v>5003</v>
      </c>
      <c r="B1637" s="1" t="s">
        <v>5004</v>
      </c>
      <c r="C1637" t="s">
        <v>814</v>
      </c>
      <c r="D1637" s="1" t="s">
        <v>5005</v>
      </c>
      <c r="E1637" t="b">
        <v>0</v>
      </c>
      <c r="F1637">
        <v>0</v>
      </c>
      <c r="G1637">
        <v>1</v>
      </c>
      <c r="H1637" t="s">
        <v>11</v>
      </c>
      <c r="I1637" t="b" cm="1">
        <f t="array" ref="I1637">isDup(B1637,B1638, 0.7)</f>
        <v>0</v>
      </c>
    </row>
    <row r="1638" spans="1:9" ht="34" x14ac:dyDescent="0.2">
      <c r="A1638" t="s">
        <v>2355</v>
      </c>
      <c r="B1638" s="1" t="s">
        <v>2356</v>
      </c>
      <c r="C1638" t="s">
        <v>2357</v>
      </c>
      <c r="D1638" s="1" t="s">
        <v>2358</v>
      </c>
      <c r="E1638" t="b">
        <v>0</v>
      </c>
      <c r="F1638">
        <v>126</v>
      </c>
      <c r="G1638">
        <v>657</v>
      </c>
      <c r="H1638" t="s">
        <v>11</v>
      </c>
      <c r="I1638" t="b" cm="1">
        <f t="array" ref="I1638">isDup(B1638,B1639, 0.7)</f>
        <v>0</v>
      </c>
    </row>
    <row r="1639" spans="1:9" ht="34" x14ac:dyDescent="0.2">
      <c r="A1639" t="s">
        <v>3541</v>
      </c>
      <c r="B1639" s="1" t="s">
        <v>3542</v>
      </c>
      <c r="C1639" t="s">
        <v>3543</v>
      </c>
      <c r="D1639" s="1" t="s">
        <v>2</v>
      </c>
      <c r="E1639" t="b">
        <v>0</v>
      </c>
      <c r="F1639">
        <v>175</v>
      </c>
      <c r="G1639">
        <v>384</v>
      </c>
      <c r="H1639" t="s">
        <v>11</v>
      </c>
      <c r="I1639" t="b" cm="1">
        <f t="array" ref="I1639">isDup(B1639,B1640, 0.7)</f>
        <v>0</v>
      </c>
    </row>
    <row r="1640" spans="1:9" ht="17" x14ac:dyDescent="0.2">
      <c r="A1640" t="s">
        <v>5687</v>
      </c>
      <c r="B1640" s="1" t="s">
        <v>5688</v>
      </c>
      <c r="C1640" t="s">
        <v>5499</v>
      </c>
      <c r="D1640" s="1" t="s">
        <v>95</v>
      </c>
      <c r="E1640" t="b">
        <v>0</v>
      </c>
      <c r="F1640">
        <v>145</v>
      </c>
      <c r="G1640">
        <v>124</v>
      </c>
      <c r="H1640" t="s">
        <v>11</v>
      </c>
      <c r="I1640" t="b" cm="1">
        <f t="array" ref="I1640">isDup(B1640,B1641, 0.7)</f>
        <v>0</v>
      </c>
    </row>
    <row r="1641" spans="1:9" ht="17" x14ac:dyDescent="0.2">
      <c r="A1641" t="s">
        <v>3500</v>
      </c>
      <c r="B1641" s="1" t="s">
        <v>3502</v>
      </c>
      <c r="C1641" t="s">
        <v>173</v>
      </c>
      <c r="D1641" s="1" t="s">
        <v>730</v>
      </c>
      <c r="E1641" t="b">
        <v>0</v>
      </c>
      <c r="F1641">
        <v>210</v>
      </c>
      <c r="G1641">
        <v>273</v>
      </c>
      <c r="H1641" t="s">
        <v>11</v>
      </c>
      <c r="I1641" t="b" cm="1">
        <f t="array" ref="I1641">isDup(B1641,B1642, 0.7)</f>
        <v>0</v>
      </c>
    </row>
    <row r="1642" spans="1:9" ht="17" x14ac:dyDescent="0.2">
      <c r="A1642" t="s">
        <v>3337</v>
      </c>
      <c r="B1642" s="1" t="s">
        <v>3338</v>
      </c>
      <c r="C1642" t="s">
        <v>200</v>
      </c>
      <c r="D1642" s="1" t="s">
        <v>2</v>
      </c>
      <c r="E1642" t="b">
        <v>0</v>
      </c>
      <c r="F1642">
        <v>118</v>
      </c>
      <c r="G1642">
        <v>384</v>
      </c>
      <c r="H1642" t="s">
        <v>11</v>
      </c>
      <c r="I1642" t="b" cm="1">
        <f t="array" ref="I1642">isDup(B1642,B1643, 0.7)</f>
        <v>0</v>
      </c>
    </row>
    <row r="1643" spans="1:9" ht="34" x14ac:dyDescent="0.2">
      <c r="A1643" t="s">
        <v>6598</v>
      </c>
      <c r="B1643" s="1" t="s">
        <v>6599</v>
      </c>
      <c r="C1643" t="s">
        <v>4395</v>
      </c>
      <c r="D1643" s="1" t="s">
        <v>6600</v>
      </c>
      <c r="E1643" t="b">
        <v>0</v>
      </c>
      <c r="F1643">
        <v>538</v>
      </c>
      <c r="G1643">
        <v>602</v>
      </c>
      <c r="H1643" t="s">
        <v>11</v>
      </c>
      <c r="I1643" t="b" cm="1">
        <f t="array" ref="I1643">isDup(B1643,B1644, 0.7)</f>
        <v>0</v>
      </c>
    </row>
    <row r="1644" spans="1:9" ht="17" x14ac:dyDescent="0.2">
      <c r="A1644" t="s">
        <v>6376</v>
      </c>
      <c r="B1644" s="1" t="s">
        <v>6377</v>
      </c>
      <c r="C1644" t="s">
        <v>995</v>
      </c>
      <c r="D1644" s="1" t="s">
        <v>6378</v>
      </c>
      <c r="E1644" t="b">
        <v>0</v>
      </c>
      <c r="F1644">
        <v>65</v>
      </c>
      <c r="G1644">
        <v>206</v>
      </c>
      <c r="H1644" t="s">
        <v>11</v>
      </c>
      <c r="I1644" t="b" cm="1">
        <f t="array" ref="I1644">isDup(B1644,B1645, 0.7)</f>
        <v>0</v>
      </c>
    </row>
    <row r="1645" spans="1:9" ht="17" x14ac:dyDescent="0.2">
      <c r="A1645" t="s">
        <v>3049</v>
      </c>
      <c r="B1645" s="1" t="s">
        <v>3050</v>
      </c>
      <c r="C1645" t="s">
        <v>455</v>
      </c>
      <c r="D1645" s="1" t="s">
        <v>2</v>
      </c>
      <c r="E1645" t="b">
        <v>0</v>
      </c>
      <c r="F1645">
        <v>670</v>
      </c>
      <c r="G1645">
        <v>568</v>
      </c>
      <c r="H1645" t="s">
        <v>11</v>
      </c>
      <c r="I1645" t="b" cm="1">
        <f t="array" ref="I1645">isDup(B1645,B1646, 0.7)</f>
        <v>0</v>
      </c>
    </row>
    <row r="1646" spans="1:9" ht="17" x14ac:dyDescent="0.2">
      <c r="A1646" t="s">
        <v>5497</v>
      </c>
      <c r="B1646" s="1" t="s">
        <v>5498</v>
      </c>
      <c r="C1646" t="s">
        <v>5499</v>
      </c>
      <c r="D1646" s="1" t="s">
        <v>95</v>
      </c>
      <c r="E1646" t="b">
        <v>0</v>
      </c>
      <c r="F1646">
        <v>145</v>
      </c>
      <c r="G1646">
        <v>124</v>
      </c>
      <c r="H1646" t="s">
        <v>11</v>
      </c>
      <c r="I1646" t="b" cm="1">
        <f t="array" ref="I1646">isDup(B1646,B1647, 0.7)</f>
        <v>0</v>
      </c>
    </row>
    <row r="1647" spans="1:9" ht="17" x14ac:dyDescent="0.2">
      <c r="A1647" t="s">
        <v>2227</v>
      </c>
      <c r="B1647" s="1" t="s">
        <v>2228</v>
      </c>
      <c r="C1647" t="s">
        <v>2229</v>
      </c>
      <c r="D1647" s="1">
        <v>904</v>
      </c>
      <c r="E1647" t="b">
        <v>0</v>
      </c>
      <c r="F1647">
        <v>635</v>
      </c>
      <c r="G1647">
        <v>70</v>
      </c>
      <c r="H1647" t="s">
        <v>11</v>
      </c>
      <c r="I1647" t="b" cm="1">
        <f t="array" ref="I1647">isDup(B1647,B1648, 0.7)</f>
        <v>0</v>
      </c>
    </row>
    <row r="1648" spans="1:9" ht="17" x14ac:dyDescent="0.2">
      <c r="A1648" t="s">
        <v>1337</v>
      </c>
      <c r="B1648" s="1" t="s">
        <v>1338</v>
      </c>
      <c r="C1648" t="s">
        <v>490</v>
      </c>
      <c r="D1648" s="1" t="s">
        <v>1339</v>
      </c>
      <c r="E1648" t="b">
        <v>0</v>
      </c>
      <c r="F1648">
        <v>1096</v>
      </c>
      <c r="G1648">
        <v>993</v>
      </c>
      <c r="H1648" t="s">
        <v>11</v>
      </c>
      <c r="I1648" t="b" cm="1">
        <f t="array" ref="I1648">isDup(B1648,B1649, 0.7)</f>
        <v>0</v>
      </c>
    </row>
    <row r="1649" spans="1:9" ht="34" x14ac:dyDescent="0.2">
      <c r="A1649" t="s">
        <v>4266</v>
      </c>
      <c r="B1649" s="1" t="s">
        <v>4267</v>
      </c>
      <c r="C1649" t="s">
        <v>3592</v>
      </c>
      <c r="D1649" s="1" t="s">
        <v>2</v>
      </c>
      <c r="E1649" t="b">
        <v>0</v>
      </c>
      <c r="F1649">
        <v>365</v>
      </c>
      <c r="G1649">
        <v>454</v>
      </c>
      <c r="H1649" t="s">
        <v>11</v>
      </c>
      <c r="I1649" t="b" cm="1">
        <f t="array" ref="I1649">isDup(B1649,B1650, 0.7)</f>
        <v>0</v>
      </c>
    </row>
    <row r="1650" spans="1:9" ht="34" x14ac:dyDescent="0.2">
      <c r="A1650" t="s">
        <v>6203</v>
      </c>
      <c r="B1650" s="1" t="s">
        <v>6204</v>
      </c>
      <c r="C1650" t="s">
        <v>2973</v>
      </c>
      <c r="D1650" s="1" t="s">
        <v>6205</v>
      </c>
      <c r="E1650" t="b">
        <v>0</v>
      </c>
      <c r="F1650">
        <v>542</v>
      </c>
      <c r="G1650">
        <v>587</v>
      </c>
      <c r="H1650" t="s">
        <v>11</v>
      </c>
      <c r="I1650" t="b" cm="1">
        <f t="array" ref="I1650">isDup(B1650,B1651, 0.7)</f>
        <v>0</v>
      </c>
    </row>
    <row r="1651" spans="1:9" ht="17" x14ac:dyDescent="0.2">
      <c r="A1651" t="s">
        <v>5135</v>
      </c>
      <c r="B1651" s="1" t="s">
        <v>5136</v>
      </c>
      <c r="C1651" t="s">
        <v>5137</v>
      </c>
      <c r="D1651" s="1" t="s">
        <v>5138</v>
      </c>
      <c r="E1651" t="b">
        <v>0</v>
      </c>
      <c r="F1651">
        <v>83</v>
      </c>
      <c r="G1651">
        <v>575</v>
      </c>
      <c r="H1651" t="s">
        <v>11</v>
      </c>
      <c r="I1651" t="b" cm="1">
        <f t="array" ref="I1651">isDup(B1651,B1652, 0.7)</f>
        <v>0</v>
      </c>
    </row>
    <row r="1652" spans="1:9" ht="34" x14ac:dyDescent="0.2">
      <c r="A1652" t="s">
        <v>2521</v>
      </c>
      <c r="B1652" s="1" t="s">
        <v>2522</v>
      </c>
      <c r="C1652" t="s">
        <v>406</v>
      </c>
      <c r="D1652" s="1" t="s">
        <v>2523</v>
      </c>
      <c r="E1652" t="b">
        <v>0</v>
      </c>
      <c r="F1652">
        <v>966</v>
      </c>
      <c r="G1652">
        <v>534</v>
      </c>
      <c r="H1652" t="s">
        <v>11</v>
      </c>
      <c r="I1652" t="b" cm="1">
        <f t="array" ref="I1652">isDup(B1652,B1653, 0.7)</f>
        <v>0</v>
      </c>
    </row>
    <row r="1653" spans="1:9" ht="17" x14ac:dyDescent="0.2">
      <c r="A1653" t="s">
        <v>3882</v>
      </c>
      <c r="B1653" s="1" t="s">
        <v>3883</v>
      </c>
      <c r="C1653" t="s">
        <v>1254</v>
      </c>
      <c r="D1653" s="1" t="s">
        <v>2</v>
      </c>
      <c r="E1653" t="b">
        <v>0</v>
      </c>
      <c r="F1653">
        <v>24</v>
      </c>
      <c r="G1653">
        <v>572</v>
      </c>
      <c r="H1653" t="s">
        <v>73</v>
      </c>
      <c r="I1653" t="b" cm="1">
        <f t="array" ref="I1653">isDup(B1653,B1654, 0.7)</f>
        <v>0</v>
      </c>
    </row>
    <row r="1654" spans="1:9" ht="17" x14ac:dyDescent="0.2">
      <c r="A1654" t="s">
        <v>579</v>
      </c>
      <c r="B1654" s="1" t="s">
        <v>580</v>
      </c>
      <c r="C1654" t="s">
        <v>581</v>
      </c>
      <c r="D1654" s="1" t="s">
        <v>2</v>
      </c>
      <c r="E1654" t="b">
        <v>0</v>
      </c>
      <c r="F1654">
        <v>446</v>
      </c>
      <c r="G1654">
        <v>1474</v>
      </c>
      <c r="H1654" t="s">
        <v>11</v>
      </c>
      <c r="I1654" t="b" cm="1">
        <f t="array" ref="I1654">isDup(B1654,B1655, 0.7)</f>
        <v>0</v>
      </c>
    </row>
    <row r="1655" spans="1:9" ht="17" x14ac:dyDescent="0.2">
      <c r="A1655" t="s">
        <v>2974</v>
      </c>
      <c r="B1655" s="1" t="s">
        <v>2975</v>
      </c>
      <c r="C1655" t="s">
        <v>2976</v>
      </c>
      <c r="D1655" s="1" t="s">
        <v>2977</v>
      </c>
      <c r="E1655" t="b">
        <v>0</v>
      </c>
      <c r="F1655">
        <v>128</v>
      </c>
      <c r="G1655">
        <v>1067</v>
      </c>
      <c r="H1655" t="s">
        <v>83</v>
      </c>
      <c r="I1655" t="b" cm="1">
        <f t="array" ref="I1655">isDup(B1655,B1656, 0.7)</f>
        <v>0</v>
      </c>
    </row>
    <row r="1656" spans="1:9" ht="34" x14ac:dyDescent="0.2">
      <c r="A1656" t="s">
        <v>5491</v>
      </c>
      <c r="B1656" s="1" t="s">
        <v>5492</v>
      </c>
      <c r="C1656" t="s">
        <v>2554</v>
      </c>
      <c r="D1656" s="1" t="s">
        <v>5493</v>
      </c>
      <c r="E1656" t="b">
        <v>1</v>
      </c>
      <c r="F1656">
        <v>16662</v>
      </c>
      <c r="G1656">
        <v>1315</v>
      </c>
      <c r="H1656" t="s">
        <v>11</v>
      </c>
      <c r="I1656" t="b" cm="1">
        <f t="array" ref="I1656">isDup(B1656,B1657, 0.7)</f>
        <v>0</v>
      </c>
    </row>
    <row r="1657" spans="1:9" ht="17" x14ac:dyDescent="0.2">
      <c r="A1657" t="s">
        <v>4673</v>
      </c>
      <c r="B1657" s="1" t="s">
        <v>4674</v>
      </c>
      <c r="C1657" t="s">
        <v>1226</v>
      </c>
      <c r="D1657" s="1" t="s">
        <v>2135</v>
      </c>
      <c r="E1657" t="b">
        <v>0</v>
      </c>
      <c r="F1657">
        <v>417</v>
      </c>
      <c r="G1657">
        <v>410</v>
      </c>
      <c r="H1657" t="s">
        <v>11</v>
      </c>
      <c r="I1657" t="b" cm="1">
        <f t="array" ref="I1657">isDup(B1657,B1658, 0.7)</f>
        <v>0</v>
      </c>
    </row>
    <row r="1658" spans="1:9" ht="17" x14ac:dyDescent="0.2">
      <c r="A1658" t="s">
        <v>6620</v>
      </c>
      <c r="B1658" s="1" t="s">
        <v>6621</v>
      </c>
      <c r="C1658" t="s">
        <v>3059</v>
      </c>
      <c r="D1658" s="1" t="s">
        <v>2</v>
      </c>
      <c r="E1658" t="b">
        <v>0</v>
      </c>
      <c r="F1658">
        <v>5</v>
      </c>
      <c r="G1658">
        <v>7</v>
      </c>
      <c r="H1658" t="s">
        <v>11</v>
      </c>
      <c r="I1658" t="b" cm="1">
        <f t="array" ref="I1658">isDup(B1658,B1659, 0.7)</f>
        <v>0</v>
      </c>
    </row>
    <row r="1659" spans="1:9" ht="34" x14ac:dyDescent="0.2">
      <c r="A1659" t="s">
        <v>1842</v>
      </c>
      <c r="B1659" s="1" t="s">
        <v>1843</v>
      </c>
      <c r="C1659" t="s">
        <v>315</v>
      </c>
      <c r="D1659" s="1" t="s">
        <v>1844</v>
      </c>
      <c r="E1659" t="b">
        <v>0</v>
      </c>
      <c r="F1659">
        <v>37</v>
      </c>
      <c r="G1659">
        <v>8</v>
      </c>
      <c r="H1659" t="s">
        <v>11</v>
      </c>
      <c r="I1659" t="b" cm="1">
        <f t="array" ref="I1659">isDup(B1659,B1660, 0.7)</f>
        <v>0</v>
      </c>
    </row>
    <row r="1660" spans="1:9" ht="17" x14ac:dyDescent="0.2">
      <c r="A1660" t="s">
        <v>1744</v>
      </c>
      <c r="B1660" s="1" t="s">
        <v>1745</v>
      </c>
      <c r="C1660" t="s">
        <v>1746</v>
      </c>
      <c r="D1660" s="1" t="s">
        <v>1747</v>
      </c>
      <c r="E1660" t="b">
        <v>0</v>
      </c>
      <c r="F1660">
        <v>101</v>
      </c>
      <c r="G1660">
        <v>542</v>
      </c>
      <c r="H1660" t="s">
        <v>11</v>
      </c>
      <c r="I1660" t="b" cm="1">
        <f t="array" ref="I1660">isDup(B1660,B1661, 0.7)</f>
        <v>0</v>
      </c>
    </row>
    <row r="1661" spans="1:9" ht="34" x14ac:dyDescent="0.2">
      <c r="A1661" t="s">
        <v>3370</v>
      </c>
      <c r="B1661" s="1" t="s">
        <v>3372</v>
      </c>
      <c r="C1661" t="s">
        <v>3059</v>
      </c>
      <c r="D1661" s="1" t="s">
        <v>2</v>
      </c>
      <c r="E1661" t="b">
        <v>0</v>
      </c>
      <c r="F1661">
        <v>100</v>
      </c>
      <c r="G1661">
        <v>261</v>
      </c>
      <c r="H1661" t="s">
        <v>11</v>
      </c>
      <c r="I1661" t="b" cm="1">
        <f t="array" ref="I1661">isDup(B1661,B1662, 0.7)</f>
        <v>0</v>
      </c>
    </row>
    <row r="1662" spans="1:9" ht="17" x14ac:dyDescent="0.2">
      <c r="A1662" t="s">
        <v>5828</v>
      </c>
      <c r="B1662" s="1" t="s">
        <v>5829</v>
      </c>
      <c r="C1662" t="s">
        <v>3631</v>
      </c>
      <c r="D1662" s="1" t="s">
        <v>5830</v>
      </c>
      <c r="E1662" t="b">
        <v>0</v>
      </c>
      <c r="F1662">
        <v>91</v>
      </c>
      <c r="G1662">
        <v>170</v>
      </c>
      <c r="H1662" t="s">
        <v>11</v>
      </c>
      <c r="I1662" t="b" cm="1">
        <f t="array" ref="I1662">isDup(B1662,B1663, 0.7)</f>
        <v>0</v>
      </c>
    </row>
    <row r="1663" spans="1:9" ht="34" x14ac:dyDescent="0.2">
      <c r="A1663" t="s">
        <v>3952</v>
      </c>
      <c r="B1663" s="1" t="s">
        <v>3953</v>
      </c>
      <c r="C1663" t="s">
        <v>3954</v>
      </c>
      <c r="D1663" s="1" t="s">
        <v>3955</v>
      </c>
      <c r="E1663" t="b">
        <v>0</v>
      </c>
      <c r="F1663">
        <v>2482</v>
      </c>
      <c r="G1663">
        <v>1802</v>
      </c>
      <c r="H1663" t="s">
        <v>11</v>
      </c>
      <c r="I1663" t="b" cm="1">
        <f t="array" ref="I1663">isDup(B1663,B1664, 0.7)</f>
        <v>0</v>
      </c>
    </row>
    <row r="1664" spans="1:9" ht="17" x14ac:dyDescent="0.2">
      <c r="A1664" t="s">
        <v>6107</v>
      </c>
      <c r="B1664" s="1" t="s">
        <v>6108</v>
      </c>
      <c r="C1664" t="s">
        <v>6109</v>
      </c>
      <c r="D1664" s="1" t="s">
        <v>6110</v>
      </c>
      <c r="E1664" t="b">
        <v>0</v>
      </c>
      <c r="F1664">
        <v>563</v>
      </c>
      <c r="G1664">
        <v>35</v>
      </c>
      <c r="H1664" t="s">
        <v>11</v>
      </c>
      <c r="I1664" t="b" cm="1">
        <f t="array" ref="I1664">isDup(B1664,B1665, 0.7)</f>
        <v>0</v>
      </c>
    </row>
    <row r="1665" spans="1:9" ht="17" x14ac:dyDescent="0.2">
      <c r="A1665" t="s">
        <v>613</v>
      </c>
      <c r="B1665" s="1" t="s">
        <v>614</v>
      </c>
      <c r="C1665" t="s">
        <v>483</v>
      </c>
      <c r="D1665" s="1" t="s">
        <v>484</v>
      </c>
      <c r="E1665" t="b">
        <v>0</v>
      </c>
      <c r="F1665">
        <v>1899</v>
      </c>
      <c r="G1665">
        <v>540</v>
      </c>
      <c r="H1665" t="s">
        <v>11</v>
      </c>
      <c r="I1665" t="b" cm="1">
        <f t="array" ref="I1665">isDup(B1665,B1666, 0.7)</f>
        <v>1</v>
      </c>
    </row>
    <row r="1666" spans="1:9" ht="17" x14ac:dyDescent="0.2">
      <c r="A1666" t="s">
        <v>3667</v>
      </c>
      <c r="B1666" s="1" t="s">
        <v>3668</v>
      </c>
      <c r="C1666" t="s">
        <v>483</v>
      </c>
      <c r="D1666" s="1" t="s">
        <v>484</v>
      </c>
      <c r="E1666" t="b">
        <v>0</v>
      </c>
      <c r="F1666">
        <v>1899</v>
      </c>
      <c r="G1666">
        <v>540</v>
      </c>
      <c r="H1666" t="s">
        <v>11</v>
      </c>
      <c r="I1666" t="b" cm="1">
        <f t="array" ref="I1666">isDup(B1666,B1667, 0.7)</f>
        <v>1</v>
      </c>
    </row>
    <row r="1667" spans="1:9" ht="17" x14ac:dyDescent="0.2">
      <c r="A1667" t="s">
        <v>5206</v>
      </c>
      <c r="B1667" s="1" t="s">
        <v>5207</v>
      </c>
      <c r="C1667" t="s">
        <v>483</v>
      </c>
      <c r="D1667" s="1" t="s">
        <v>484</v>
      </c>
      <c r="E1667" t="b">
        <v>0</v>
      </c>
      <c r="F1667">
        <v>1898</v>
      </c>
      <c r="G1667">
        <v>540</v>
      </c>
      <c r="H1667" t="s">
        <v>11</v>
      </c>
      <c r="I1667" t="b" cm="1">
        <f t="array" ref="I1667">isDup(B1667,B1668, 0.7)</f>
        <v>1</v>
      </c>
    </row>
    <row r="1668" spans="1:9" ht="17" x14ac:dyDescent="0.2">
      <c r="A1668" t="s">
        <v>5894</v>
      </c>
      <c r="B1668" s="1" t="s">
        <v>5895</v>
      </c>
      <c r="C1668" t="s">
        <v>483</v>
      </c>
      <c r="D1668" s="1" t="s">
        <v>484</v>
      </c>
      <c r="E1668" t="b">
        <v>0</v>
      </c>
      <c r="F1668">
        <v>1898</v>
      </c>
      <c r="G1668">
        <v>540</v>
      </c>
      <c r="H1668" t="s">
        <v>11</v>
      </c>
      <c r="I1668" t="b" cm="1">
        <f t="array" ref="I1668">isDup(B1668,B1669, 0.7)</f>
        <v>1</v>
      </c>
    </row>
    <row r="1669" spans="1:9" ht="17" x14ac:dyDescent="0.2">
      <c r="A1669" t="s">
        <v>4474</v>
      </c>
      <c r="B1669" s="1" t="s">
        <v>4475</v>
      </c>
      <c r="C1669" t="s">
        <v>483</v>
      </c>
      <c r="D1669" s="1" t="s">
        <v>484</v>
      </c>
      <c r="E1669" t="b">
        <v>0</v>
      </c>
      <c r="F1669">
        <v>1898</v>
      </c>
      <c r="G1669">
        <v>540</v>
      </c>
      <c r="H1669" t="s">
        <v>11</v>
      </c>
      <c r="I1669" t="b" cm="1">
        <f t="array" ref="I1669">isDup(B1669,B1670, 0.7)</f>
        <v>1</v>
      </c>
    </row>
    <row r="1670" spans="1:9" ht="17" x14ac:dyDescent="0.2">
      <c r="A1670" t="s">
        <v>2835</v>
      </c>
      <c r="B1670" s="1" t="s">
        <v>2836</v>
      </c>
      <c r="C1670" t="s">
        <v>483</v>
      </c>
      <c r="D1670" s="1" t="s">
        <v>484</v>
      </c>
      <c r="E1670" t="b">
        <v>0</v>
      </c>
      <c r="F1670">
        <v>1899</v>
      </c>
      <c r="G1670">
        <v>540</v>
      </c>
      <c r="H1670" t="s">
        <v>11</v>
      </c>
      <c r="I1670" t="b" cm="1">
        <f t="array" ref="I1670">isDup(B1670,B1671, 0.7)</f>
        <v>0</v>
      </c>
    </row>
    <row r="1671" spans="1:9" ht="17" x14ac:dyDescent="0.2">
      <c r="A1671" t="s">
        <v>4961</v>
      </c>
      <c r="B1671" s="1" t="s">
        <v>4962</v>
      </c>
      <c r="C1671" t="s">
        <v>4963</v>
      </c>
      <c r="D1671" s="1" t="s">
        <v>2</v>
      </c>
      <c r="E1671" t="b">
        <v>0</v>
      </c>
      <c r="F1671">
        <v>32</v>
      </c>
      <c r="G1671">
        <v>45</v>
      </c>
      <c r="H1671" t="s">
        <v>83</v>
      </c>
      <c r="I1671" t="b" cm="1">
        <f t="array" ref="I1671">isDup(B1671,B1672, 0.7)</f>
        <v>0</v>
      </c>
    </row>
    <row r="1672" spans="1:9" ht="17" x14ac:dyDescent="0.2">
      <c r="A1672" t="s">
        <v>2346</v>
      </c>
      <c r="B1672" s="1" t="s">
        <v>2347</v>
      </c>
      <c r="C1672" t="s">
        <v>1530</v>
      </c>
      <c r="D1672" s="1" t="s">
        <v>2</v>
      </c>
      <c r="E1672" t="b">
        <v>0</v>
      </c>
      <c r="F1672">
        <v>7</v>
      </c>
      <c r="G1672">
        <v>155</v>
      </c>
      <c r="H1672" t="s">
        <v>11</v>
      </c>
      <c r="I1672" t="b" cm="1">
        <f t="array" ref="I1672">isDup(B1672,B1673, 0.7)</f>
        <v>0</v>
      </c>
    </row>
    <row r="1673" spans="1:9" ht="34" x14ac:dyDescent="0.2">
      <c r="A1673" t="s">
        <v>1248</v>
      </c>
      <c r="B1673" s="1" t="s">
        <v>1249</v>
      </c>
      <c r="C1673" t="s">
        <v>1250</v>
      </c>
      <c r="D1673" s="1" t="s">
        <v>1251</v>
      </c>
      <c r="E1673" t="b">
        <v>0</v>
      </c>
      <c r="F1673">
        <v>1353</v>
      </c>
      <c r="G1673">
        <v>1068</v>
      </c>
      <c r="H1673" t="s">
        <v>11</v>
      </c>
      <c r="I1673" t="b" cm="1">
        <f t="array" ref="I1673">isDup(B1673,B1674, 0.7)</f>
        <v>0</v>
      </c>
    </row>
    <row r="1674" spans="1:9" ht="34" x14ac:dyDescent="0.2">
      <c r="A1674" t="s">
        <v>5834</v>
      </c>
      <c r="B1674" s="1" t="s">
        <v>5835</v>
      </c>
      <c r="C1674" t="s">
        <v>1324</v>
      </c>
      <c r="D1674" s="1" t="s">
        <v>2</v>
      </c>
      <c r="E1674" t="b">
        <v>0</v>
      </c>
      <c r="F1674">
        <v>472</v>
      </c>
      <c r="G1674">
        <v>1639</v>
      </c>
      <c r="H1674" t="s">
        <v>11</v>
      </c>
      <c r="I1674" t="b" cm="1">
        <f t="array" ref="I1674">isDup(B1674,B1675, 0.7)</f>
        <v>0</v>
      </c>
    </row>
    <row r="1675" spans="1:9" ht="34" x14ac:dyDescent="0.2">
      <c r="A1675" t="s">
        <v>5860</v>
      </c>
      <c r="B1675" s="1" t="s">
        <v>5861</v>
      </c>
      <c r="C1675" t="s">
        <v>3431</v>
      </c>
      <c r="D1675" s="1" t="s">
        <v>5862</v>
      </c>
      <c r="E1675" t="b">
        <v>0</v>
      </c>
      <c r="F1675">
        <v>487</v>
      </c>
      <c r="G1675">
        <v>1004</v>
      </c>
      <c r="H1675" t="s">
        <v>11</v>
      </c>
      <c r="I1675" t="b" cm="1">
        <f t="array" ref="I1675">isDup(B1675,B1676, 0.7)</f>
        <v>0</v>
      </c>
    </row>
    <row r="1676" spans="1:9" ht="17" x14ac:dyDescent="0.2">
      <c r="A1676" t="s">
        <v>5330</v>
      </c>
      <c r="B1676" s="1" t="s">
        <v>5331</v>
      </c>
      <c r="C1676" t="s">
        <v>5332</v>
      </c>
      <c r="D1676" s="1" t="s">
        <v>2</v>
      </c>
      <c r="E1676" t="b">
        <v>0</v>
      </c>
      <c r="F1676">
        <v>173</v>
      </c>
      <c r="G1676">
        <v>1661</v>
      </c>
      <c r="H1676" t="s">
        <v>11</v>
      </c>
      <c r="I1676" t="b" cm="1">
        <f t="array" ref="I1676">isDup(B1676,B1677, 0.7)</f>
        <v>0</v>
      </c>
    </row>
    <row r="1677" spans="1:9" ht="17" x14ac:dyDescent="0.2">
      <c r="A1677" t="s">
        <v>688</v>
      </c>
      <c r="B1677" s="1" t="s">
        <v>689</v>
      </c>
      <c r="C1677" t="s">
        <v>690</v>
      </c>
      <c r="D1677" s="1" t="s">
        <v>39</v>
      </c>
      <c r="E1677" t="b">
        <v>0</v>
      </c>
      <c r="F1677">
        <v>172</v>
      </c>
      <c r="G1677">
        <v>84</v>
      </c>
      <c r="H1677" t="s">
        <v>11</v>
      </c>
      <c r="I1677" t="b" cm="1">
        <f t="array" ref="I1677">isDup(B1677,B1678, 0.7)</f>
        <v>0</v>
      </c>
    </row>
    <row r="1678" spans="1:9" ht="34" x14ac:dyDescent="0.2">
      <c r="A1678" t="s">
        <v>3437</v>
      </c>
      <c r="B1678" s="1" t="s">
        <v>3438</v>
      </c>
      <c r="C1678" t="s">
        <v>3439</v>
      </c>
      <c r="D1678" s="1" t="s">
        <v>2702</v>
      </c>
      <c r="E1678" t="b">
        <v>0</v>
      </c>
      <c r="F1678">
        <v>14</v>
      </c>
      <c r="G1678">
        <v>36</v>
      </c>
      <c r="H1678" t="s">
        <v>11</v>
      </c>
      <c r="I1678" t="b" cm="1">
        <f t="array" ref="I1678">isDup(B1678,B1679, 0.7)</f>
        <v>0</v>
      </c>
    </row>
    <row r="1679" spans="1:9" ht="34" x14ac:dyDescent="0.2">
      <c r="A1679" t="s">
        <v>4630</v>
      </c>
      <c r="B1679" s="1" t="s">
        <v>4631</v>
      </c>
      <c r="C1679" t="s">
        <v>1583</v>
      </c>
      <c r="D1679" s="1" t="s">
        <v>4632</v>
      </c>
      <c r="E1679" t="b">
        <v>0</v>
      </c>
      <c r="F1679">
        <v>1358</v>
      </c>
      <c r="G1679">
        <v>330</v>
      </c>
      <c r="H1679" t="s">
        <v>11</v>
      </c>
      <c r="I1679" t="b" cm="1">
        <f t="array" ref="I1679">isDup(B1679,B1680, 0.7)</f>
        <v>0</v>
      </c>
    </row>
    <row r="1680" spans="1:9" ht="17" x14ac:dyDescent="0.2">
      <c r="A1680" t="s">
        <v>2453</v>
      </c>
      <c r="B1680" s="1" t="s">
        <v>2454</v>
      </c>
      <c r="C1680" t="s">
        <v>2455</v>
      </c>
      <c r="D1680" s="1" t="s">
        <v>322</v>
      </c>
      <c r="E1680" t="b">
        <v>0</v>
      </c>
      <c r="F1680">
        <v>2</v>
      </c>
      <c r="G1680">
        <v>8</v>
      </c>
      <c r="H1680" t="s">
        <v>11</v>
      </c>
      <c r="I1680" t="b" cm="1">
        <f t="array" ref="I1680">isDup(B1680,B1681, 0.7)</f>
        <v>0</v>
      </c>
    </row>
    <row r="1681" spans="1:9" ht="34" x14ac:dyDescent="0.2">
      <c r="A1681" t="s">
        <v>4756</v>
      </c>
      <c r="B1681" s="1" t="s">
        <v>4757</v>
      </c>
      <c r="C1681" t="s">
        <v>736</v>
      </c>
      <c r="D1681" s="1" t="s">
        <v>4758</v>
      </c>
      <c r="E1681" t="b">
        <v>0</v>
      </c>
      <c r="F1681">
        <v>165</v>
      </c>
      <c r="G1681">
        <v>243</v>
      </c>
      <c r="H1681" t="s">
        <v>11</v>
      </c>
      <c r="I1681" t="b" cm="1">
        <f t="array" ref="I1681">isDup(B1681,B1682, 0.7)</f>
        <v>0</v>
      </c>
    </row>
    <row r="1682" spans="1:9" ht="34" x14ac:dyDescent="0.2">
      <c r="A1682" t="s">
        <v>3874</v>
      </c>
      <c r="B1682" s="1" t="s">
        <v>3875</v>
      </c>
      <c r="C1682" t="s">
        <v>3876</v>
      </c>
      <c r="D1682" s="1" t="s">
        <v>2</v>
      </c>
      <c r="E1682" t="b">
        <v>0</v>
      </c>
      <c r="F1682">
        <v>38018</v>
      </c>
      <c r="G1682">
        <v>192</v>
      </c>
      <c r="H1682" t="s">
        <v>641</v>
      </c>
      <c r="I1682" t="b" cm="1">
        <f t="array" ref="I1682">isDup(B1682,B1683, 0.7)</f>
        <v>0</v>
      </c>
    </row>
    <row r="1683" spans="1:9" ht="34" x14ac:dyDescent="0.2">
      <c r="A1683" t="s">
        <v>1180</v>
      </c>
      <c r="B1683" s="1" t="s">
        <v>1182</v>
      </c>
      <c r="C1683" t="s">
        <v>1183</v>
      </c>
      <c r="D1683" s="1" t="s">
        <v>1184</v>
      </c>
      <c r="E1683" t="b">
        <v>0</v>
      </c>
      <c r="F1683">
        <v>198</v>
      </c>
      <c r="G1683">
        <v>120</v>
      </c>
      <c r="H1683" t="s">
        <v>11</v>
      </c>
      <c r="I1683" t="b" cm="1">
        <f t="array" ref="I1683">isDup(B1683,B1684, 0.7)</f>
        <v>0</v>
      </c>
    </row>
    <row r="1684" spans="1:9" ht="34" x14ac:dyDescent="0.2">
      <c r="A1684" t="s">
        <v>4572</v>
      </c>
      <c r="B1684" s="1" t="s">
        <v>4573</v>
      </c>
      <c r="C1684" t="s">
        <v>4574</v>
      </c>
      <c r="D1684" s="1" t="s">
        <v>1813</v>
      </c>
      <c r="E1684" t="b">
        <v>0</v>
      </c>
      <c r="F1684">
        <v>392</v>
      </c>
      <c r="G1684">
        <v>969</v>
      </c>
      <c r="H1684" t="s">
        <v>11</v>
      </c>
      <c r="I1684" t="b" cm="1">
        <f t="array" ref="I1684">isDup(B1684,B1685, 0.7)</f>
        <v>0</v>
      </c>
    </row>
    <row r="1685" spans="1:9" ht="34" x14ac:dyDescent="0.2">
      <c r="A1685" t="s">
        <v>5542</v>
      </c>
      <c r="B1685" s="1" t="s">
        <v>5543</v>
      </c>
      <c r="C1685" t="s">
        <v>2642</v>
      </c>
      <c r="D1685" s="1" t="s">
        <v>5544</v>
      </c>
      <c r="E1685" t="b">
        <v>0</v>
      </c>
      <c r="F1685">
        <v>336</v>
      </c>
      <c r="G1685">
        <v>809</v>
      </c>
      <c r="H1685" t="s">
        <v>11</v>
      </c>
      <c r="I1685" t="b" cm="1">
        <f t="array" ref="I1685">isDup(B1685,B1686, 0.7)</f>
        <v>0</v>
      </c>
    </row>
    <row r="1686" spans="1:9" ht="17" x14ac:dyDescent="0.2">
      <c r="A1686" t="s">
        <v>5286</v>
      </c>
      <c r="B1686" s="1" t="s">
        <v>5287</v>
      </c>
      <c r="C1686" t="s">
        <v>468</v>
      </c>
      <c r="D1686" s="1" t="s">
        <v>2</v>
      </c>
      <c r="E1686" t="b">
        <v>0</v>
      </c>
      <c r="F1686">
        <v>479</v>
      </c>
      <c r="G1686">
        <v>305</v>
      </c>
      <c r="H1686" t="s">
        <v>11</v>
      </c>
      <c r="I1686" t="b" cm="1">
        <f t="array" ref="I1686">isDup(B1686,B1687, 0.7)</f>
        <v>0</v>
      </c>
    </row>
    <row r="1687" spans="1:9" ht="17" x14ac:dyDescent="0.2">
      <c r="A1687" t="s">
        <v>5388</v>
      </c>
      <c r="B1687" s="1" t="s">
        <v>5389</v>
      </c>
      <c r="C1687" t="s">
        <v>2589</v>
      </c>
      <c r="D1687" s="1" t="s">
        <v>5390</v>
      </c>
      <c r="E1687" t="b">
        <v>0</v>
      </c>
      <c r="F1687">
        <v>72</v>
      </c>
      <c r="G1687">
        <v>366</v>
      </c>
      <c r="H1687" t="s">
        <v>11</v>
      </c>
      <c r="I1687" t="b" cm="1">
        <f t="array" ref="I1687">isDup(B1687,B1688, 0.7)</f>
        <v>0</v>
      </c>
    </row>
    <row r="1688" spans="1:9" ht="17" x14ac:dyDescent="0.2">
      <c r="A1688" t="s">
        <v>771</v>
      </c>
      <c r="B1688" s="1" t="s">
        <v>772</v>
      </c>
      <c r="C1688" t="s">
        <v>773</v>
      </c>
      <c r="D1688" s="1" t="s">
        <v>2</v>
      </c>
      <c r="E1688" t="b">
        <v>0</v>
      </c>
      <c r="F1688">
        <v>11</v>
      </c>
      <c r="G1688">
        <v>54</v>
      </c>
      <c r="H1688" t="s">
        <v>11</v>
      </c>
      <c r="I1688" t="b" cm="1">
        <f t="array" ref="I1688">isDup(B1688,B1689, 0.7)</f>
        <v>0</v>
      </c>
    </row>
    <row r="1689" spans="1:9" ht="17" x14ac:dyDescent="0.2">
      <c r="A1689" t="s">
        <v>3396</v>
      </c>
      <c r="B1689" s="1" t="s">
        <v>3397</v>
      </c>
      <c r="C1689" t="s">
        <v>1148</v>
      </c>
      <c r="D1689" s="1" t="s">
        <v>2953</v>
      </c>
      <c r="E1689" t="b">
        <v>0</v>
      </c>
      <c r="F1689">
        <v>1438</v>
      </c>
      <c r="G1689">
        <v>580</v>
      </c>
      <c r="H1689" t="s">
        <v>11</v>
      </c>
      <c r="I1689" t="b" cm="1">
        <f t="array" ref="I1689">isDup(B1689,B1690, 0.7)</f>
        <v>0</v>
      </c>
    </row>
    <row r="1690" spans="1:9" ht="34" x14ac:dyDescent="0.2">
      <c r="A1690" t="s">
        <v>6754</v>
      </c>
      <c r="B1690" s="1" t="s">
        <v>6755</v>
      </c>
      <c r="C1690" t="s">
        <v>3908</v>
      </c>
      <c r="D1690" s="1" t="s">
        <v>6494</v>
      </c>
      <c r="E1690" t="b">
        <v>0</v>
      </c>
      <c r="F1690">
        <v>141</v>
      </c>
      <c r="G1690">
        <v>439</v>
      </c>
      <c r="H1690" t="s">
        <v>11</v>
      </c>
      <c r="I1690" t="b" cm="1">
        <f t="array" ref="I1690">isDup(B1690,B1691, 0.7)</f>
        <v>0</v>
      </c>
    </row>
    <row r="1691" spans="1:9" ht="17" x14ac:dyDescent="0.2">
      <c r="A1691" t="s">
        <v>1027</v>
      </c>
      <c r="B1691" s="1" t="s">
        <v>1030</v>
      </c>
      <c r="C1691" t="s">
        <v>1031</v>
      </c>
      <c r="E1691" t="b">
        <v>0</v>
      </c>
      <c r="F1691">
        <v>984</v>
      </c>
      <c r="G1691">
        <v>273</v>
      </c>
      <c r="H1691" t="s">
        <v>122</v>
      </c>
      <c r="I1691" t="b" cm="1">
        <f t="array" ref="I1691">isDup(B1691,B1692, 0.7)</f>
        <v>0</v>
      </c>
    </row>
    <row r="1692" spans="1:9" ht="17" x14ac:dyDescent="0.2">
      <c r="A1692" t="s">
        <v>7240</v>
      </c>
      <c r="B1692" s="1" t="s">
        <v>7241</v>
      </c>
      <c r="C1692" t="s">
        <v>2850</v>
      </c>
      <c r="D1692" s="1" t="s">
        <v>1167</v>
      </c>
      <c r="E1692" t="b">
        <v>0</v>
      </c>
      <c r="F1692">
        <v>171</v>
      </c>
      <c r="G1692">
        <v>359</v>
      </c>
      <c r="H1692" t="s">
        <v>11</v>
      </c>
      <c r="I1692" t="b" cm="1">
        <f t="array" ref="I1692">isDup(B1692,B1693, 0.7)</f>
        <v>0</v>
      </c>
    </row>
    <row r="1693" spans="1:9" ht="17" x14ac:dyDescent="0.2">
      <c r="A1693" t="s">
        <v>5292</v>
      </c>
      <c r="B1693" s="1" t="s">
        <v>5293</v>
      </c>
      <c r="C1693" t="s">
        <v>2310</v>
      </c>
      <c r="D1693" s="1" t="s">
        <v>2</v>
      </c>
      <c r="E1693" t="b">
        <v>0</v>
      </c>
      <c r="F1693">
        <v>157</v>
      </c>
      <c r="G1693">
        <v>178</v>
      </c>
      <c r="H1693" t="s">
        <v>11</v>
      </c>
      <c r="I1693" t="b" cm="1">
        <f t="array" ref="I1693">isDup(B1693,B1694, 0.7)</f>
        <v>0</v>
      </c>
    </row>
    <row r="1694" spans="1:9" ht="17" x14ac:dyDescent="0.2">
      <c r="A1694" t="s">
        <v>374</v>
      </c>
      <c r="B1694" s="1" t="s">
        <v>375</v>
      </c>
      <c r="C1694" t="s">
        <v>161</v>
      </c>
      <c r="D1694" s="1" t="s">
        <v>376</v>
      </c>
      <c r="E1694" t="b">
        <v>0</v>
      </c>
      <c r="F1694">
        <v>16</v>
      </c>
      <c r="G1694">
        <v>65</v>
      </c>
      <c r="H1694" t="s">
        <v>11</v>
      </c>
      <c r="I1694" t="b" cm="1">
        <f t="array" ref="I1694">isDup(B1694,B1695, 0.7)</f>
        <v>0</v>
      </c>
    </row>
    <row r="1695" spans="1:9" ht="34" x14ac:dyDescent="0.2">
      <c r="A1695" t="s">
        <v>5473</v>
      </c>
      <c r="B1695" s="1" t="s">
        <v>5474</v>
      </c>
      <c r="C1695" t="s">
        <v>5475</v>
      </c>
      <c r="D1695" s="1" t="s">
        <v>3133</v>
      </c>
      <c r="E1695" t="b">
        <v>0</v>
      </c>
      <c r="F1695">
        <v>525</v>
      </c>
      <c r="G1695">
        <v>189</v>
      </c>
      <c r="H1695" t="s">
        <v>11</v>
      </c>
      <c r="I1695" t="b" cm="1">
        <f t="array" ref="I1695">isDup(B1695,B1696, 0.7)</f>
        <v>0</v>
      </c>
    </row>
    <row r="1696" spans="1:9" ht="17" x14ac:dyDescent="0.2">
      <c r="A1696" t="s">
        <v>2431</v>
      </c>
      <c r="B1696" s="1" t="s">
        <v>2432</v>
      </c>
      <c r="C1696" t="s">
        <v>2391</v>
      </c>
      <c r="D1696" s="1" t="s">
        <v>2</v>
      </c>
      <c r="E1696" t="b">
        <v>0</v>
      </c>
      <c r="F1696">
        <v>47</v>
      </c>
      <c r="G1696">
        <v>88</v>
      </c>
      <c r="H1696" t="s">
        <v>11</v>
      </c>
      <c r="I1696" t="b" cm="1">
        <f t="array" ref="I1696">isDup(B1696,B1697, 0.7)</f>
        <v>0</v>
      </c>
    </row>
    <row r="1697" spans="1:9" ht="17" x14ac:dyDescent="0.2">
      <c r="A1697" t="s">
        <v>5734</v>
      </c>
      <c r="B1697" s="1" t="s">
        <v>5735</v>
      </c>
      <c r="C1697" t="s">
        <v>5736</v>
      </c>
      <c r="D1697" s="1" t="s">
        <v>4544</v>
      </c>
      <c r="E1697" t="b">
        <v>0</v>
      </c>
      <c r="F1697">
        <v>1278</v>
      </c>
      <c r="G1697">
        <v>625</v>
      </c>
      <c r="H1697" t="s">
        <v>11</v>
      </c>
      <c r="I1697" t="b" cm="1">
        <f t="array" ref="I1697">isDup(B1697,B1698, 0.7)</f>
        <v>0</v>
      </c>
    </row>
    <row r="1698" spans="1:9" ht="17" x14ac:dyDescent="0.2">
      <c r="A1698" t="s">
        <v>4557</v>
      </c>
      <c r="B1698" s="1" t="s">
        <v>4558</v>
      </c>
      <c r="C1698" t="s">
        <v>4154</v>
      </c>
      <c r="D1698" s="1">
        <v>0</v>
      </c>
      <c r="E1698" t="b">
        <v>0</v>
      </c>
      <c r="F1698">
        <v>49</v>
      </c>
      <c r="G1698">
        <v>181</v>
      </c>
      <c r="H1698" t="s">
        <v>11</v>
      </c>
      <c r="I1698" t="b" cm="1">
        <f t="array" ref="I1698">isDup(B1698,B1699, 0.7)</f>
        <v>0</v>
      </c>
    </row>
    <row r="1699" spans="1:9" ht="34" x14ac:dyDescent="0.2">
      <c r="A1699" t="s">
        <v>2596</v>
      </c>
      <c r="B1699" s="1" t="s">
        <v>2597</v>
      </c>
      <c r="C1699" t="s">
        <v>2598</v>
      </c>
      <c r="D1699" s="1" t="s">
        <v>2</v>
      </c>
      <c r="E1699" t="b">
        <v>0</v>
      </c>
      <c r="F1699">
        <v>24</v>
      </c>
      <c r="G1699">
        <v>95</v>
      </c>
      <c r="H1699" t="s">
        <v>11</v>
      </c>
      <c r="I1699" t="b" cm="1">
        <f t="array" ref="I1699">isDup(B1699,B1700, 0.7)</f>
        <v>0</v>
      </c>
    </row>
    <row r="1700" spans="1:9" ht="17" x14ac:dyDescent="0.2">
      <c r="A1700" t="s">
        <v>6194</v>
      </c>
      <c r="B1700" s="1" t="s">
        <v>6195</v>
      </c>
      <c r="C1700" t="s">
        <v>387</v>
      </c>
      <c r="D1700" s="1" t="s">
        <v>2</v>
      </c>
      <c r="E1700" t="b">
        <v>0</v>
      </c>
      <c r="F1700">
        <v>8</v>
      </c>
      <c r="G1700">
        <v>92</v>
      </c>
      <c r="H1700" t="s">
        <v>11</v>
      </c>
      <c r="I1700" t="b" cm="1">
        <f t="array" ref="I1700">isDup(B1700,B1701, 0.7)</f>
        <v>0</v>
      </c>
    </row>
    <row r="1701" spans="1:9" ht="17" x14ac:dyDescent="0.2">
      <c r="A1701" t="s">
        <v>2854</v>
      </c>
      <c r="B1701" s="1" t="s">
        <v>2855</v>
      </c>
      <c r="C1701" t="s">
        <v>2856</v>
      </c>
      <c r="D1701" s="1" t="s">
        <v>2</v>
      </c>
      <c r="E1701" t="b">
        <v>0</v>
      </c>
      <c r="F1701">
        <v>208</v>
      </c>
      <c r="G1701">
        <v>508</v>
      </c>
      <c r="H1701" t="s">
        <v>11</v>
      </c>
      <c r="I1701" t="b" cm="1">
        <f t="array" ref="I1701">isDup(B1701,B1702, 0.7)</f>
        <v>0</v>
      </c>
    </row>
    <row r="1702" spans="1:9" ht="34" x14ac:dyDescent="0.2">
      <c r="A1702" t="s">
        <v>4790</v>
      </c>
      <c r="B1702" s="1" t="s">
        <v>4791</v>
      </c>
      <c r="C1702" t="s">
        <v>4792</v>
      </c>
      <c r="D1702" s="1" t="s">
        <v>2</v>
      </c>
      <c r="E1702" t="b">
        <v>0</v>
      </c>
      <c r="F1702">
        <v>443</v>
      </c>
      <c r="G1702">
        <v>500</v>
      </c>
      <c r="H1702" t="s">
        <v>11</v>
      </c>
      <c r="I1702" t="b" cm="1">
        <f t="array" ref="I1702">isDup(B1702,B1703, 0.7)</f>
        <v>0</v>
      </c>
    </row>
    <row r="1703" spans="1:9" ht="17" x14ac:dyDescent="0.2">
      <c r="A1703" t="s">
        <v>5346</v>
      </c>
      <c r="B1703" s="1" t="s">
        <v>5347</v>
      </c>
      <c r="C1703" t="s">
        <v>5348</v>
      </c>
      <c r="D1703" s="1" t="s">
        <v>5349</v>
      </c>
      <c r="E1703" t="b">
        <v>0</v>
      </c>
      <c r="F1703">
        <v>99</v>
      </c>
      <c r="G1703">
        <v>141</v>
      </c>
      <c r="H1703" t="s">
        <v>11</v>
      </c>
      <c r="I1703" t="b" cm="1">
        <f t="array" ref="I1703">isDup(B1703,B1704, 0.7)</f>
        <v>0</v>
      </c>
    </row>
    <row r="1704" spans="1:9" ht="17" x14ac:dyDescent="0.2">
      <c r="A1704" t="s">
        <v>3302</v>
      </c>
      <c r="B1704" s="1" t="s">
        <v>3303</v>
      </c>
      <c r="C1704" t="s">
        <v>3304</v>
      </c>
      <c r="D1704" s="1" t="s">
        <v>3305</v>
      </c>
      <c r="E1704" t="b">
        <v>0</v>
      </c>
      <c r="F1704">
        <v>2204</v>
      </c>
      <c r="G1704">
        <v>595</v>
      </c>
      <c r="H1704" t="s">
        <v>11</v>
      </c>
      <c r="I1704" t="b" cm="1">
        <f t="array" ref="I1704">isDup(B1704,B1705, 0.7)</f>
        <v>0</v>
      </c>
    </row>
    <row r="1705" spans="1:9" ht="17" x14ac:dyDescent="0.2">
      <c r="A1705" t="s">
        <v>3925</v>
      </c>
      <c r="B1705" s="1" t="s">
        <v>3926</v>
      </c>
      <c r="C1705" t="s">
        <v>995</v>
      </c>
      <c r="D1705" s="1" t="s">
        <v>3927</v>
      </c>
      <c r="E1705" t="b">
        <v>0</v>
      </c>
      <c r="F1705">
        <v>119</v>
      </c>
      <c r="G1705">
        <v>524</v>
      </c>
      <c r="H1705" t="s">
        <v>11</v>
      </c>
      <c r="I1705" t="b" cm="1">
        <f t="array" ref="I1705">isDup(B1705,B1706, 0.7)</f>
        <v>0</v>
      </c>
    </row>
    <row r="1706" spans="1:9" ht="17" x14ac:dyDescent="0.2">
      <c r="A1706" t="s">
        <v>3317</v>
      </c>
      <c r="B1706" s="1" t="s">
        <v>3318</v>
      </c>
      <c r="C1706" t="s">
        <v>617</v>
      </c>
      <c r="D1706" s="1" t="s">
        <v>3319</v>
      </c>
      <c r="E1706" t="b">
        <v>0</v>
      </c>
      <c r="F1706">
        <v>183</v>
      </c>
      <c r="G1706">
        <v>207</v>
      </c>
      <c r="H1706" t="s">
        <v>11</v>
      </c>
      <c r="I1706" t="b" cm="1">
        <f t="array" ref="I1706">isDup(B1706,B1707, 0.7)</f>
        <v>0</v>
      </c>
    </row>
    <row r="1707" spans="1:9" ht="17" x14ac:dyDescent="0.2">
      <c r="A1707" t="s">
        <v>7030</v>
      </c>
      <c r="B1707" s="1" t="s">
        <v>7031</v>
      </c>
      <c r="C1707" t="s">
        <v>4076</v>
      </c>
      <c r="D1707" s="1" t="s">
        <v>7032</v>
      </c>
      <c r="E1707" t="b">
        <v>0</v>
      </c>
      <c r="F1707">
        <v>123</v>
      </c>
      <c r="G1707">
        <v>167</v>
      </c>
      <c r="H1707" t="s">
        <v>11</v>
      </c>
      <c r="I1707" t="b" cm="1">
        <f t="array" ref="I1707">isDup(B1707,B1708, 0.7)</f>
        <v>0</v>
      </c>
    </row>
    <row r="1708" spans="1:9" ht="17" x14ac:dyDescent="0.2">
      <c r="A1708" t="s">
        <v>5987</v>
      </c>
      <c r="B1708" s="1" t="s">
        <v>5988</v>
      </c>
      <c r="C1708" t="s">
        <v>2044</v>
      </c>
      <c r="D1708" s="1" t="s">
        <v>2</v>
      </c>
      <c r="E1708" t="b">
        <v>0</v>
      </c>
      <c r="F1708">
        <v>5</v>
      </c>
      <c r="G1708">
        <v>41</v>
      </c>
      <c r="H1708" t="s">
        <v>110</v>
      </c>
      <c r="I1708" t="b" cm="1">
        <f t="array" ref="I1708">isDup(B1708,B1709, 0.7)</f>
        <v>0</v>
      </c>
    </row>
    <row r="1709" spans="1:9" ht="17" x14ac:dyDescent="0.2">
      <c r="A1709" t="s">
        <v>6856</v>
      </c>
      <c r="B1709" s="1" t="s">
        <v>6857</v>
      </c>
      <c r="C1709" t="s">
        <v>3400</v>
      </c>
      <c r="D1709" s="1" t="s">
        <v>2</v>
      </c>
      <c r="E1709" t="b">
        <v>0</v>
      </c>
      <c r="F1709">
        <v>249</v>
      </c>
      <c r="G1709">
        <v>232</v>
      </c>
      <c r="H1709" t="s">
        <v>110</v>
      </c>
      <c r="I1709" t="b" cm="1">
        <f t="array" ref="I1709">isDup(B1709,B1710, 0.7)</f>
        <v>0</v>
      </c>
    </row>
    <row r="1710" spans="1:9" ht="34" x14ac:dyDescent="0.2">
      <c r="A1710" t="s">
        <v>4591</v>
      </c>
      <c r="B1710" s="1" t="s">
        <v>4592</v>
      </c>
      <c r="C1710" t="s">
        <v>773</v>
      </c>
      <c r="D1710" s="1" t="s">
        <v>2135</v>
      </c>
      <c r="E1710" t="b">
        <v>0</v>
      </c>
      <c r="F1710">
        <v>28</v>
      </c>
      <c r="G1710">
        <v>278</v>
      </c>
      <c r="H1710" t="s">
        <v>11</v>
      </c>
      <c r="I1710" t="b" cm="1">
        <f t="array" ref="I1710">isDup(B1710,B1711, 0.7)</f>
        <v>0</v>
      </c>
    </row>
    <row r="1711" spans="1:9" ht="17" x14ac:dyDescent="0.2">
      <c r="A1711" t="s">
        <v>5945</v>
      </c>
      <c r="B1711" s="1" t="s">
        <v>5946</v>
      </c>
      <c r="C1711" t="s">
        <v>45</v>
      </c>
      <c r="D1711" s="1" t="s">
        <v>2</v>
      </c>
      <c r="E1711" t="b">
        <v>0</v>
      </c>
      <c r="F1711">
        <v>3505</v>
      </c>
      <c r="G1711">
        <v>67</v>
      </c>
      <c r="H1711" t="s">
        <v>11</v>
      </c>
      <c r="I1711" t="b" cm="1">
        <f t="array" ref="I1711">isDup(B1711,B1712, 0.7)</f>
        <v>1</v>
      </c>
    </row>
    <row r="1712" spans="1:9" ht="17" x14ac:dyDescent="0.2">
      <c r="A1712" t="s">
        <v>5916</v>
      </c>
      <c r="B1712" s="1" t="s">
        <v>5917</v>
      </c>
      <c r="C1712" t="s">
        <v>45</v>
      </c>
      <c r="D1712" s="1" t="s">
        <v>2</v>
      </c>
      <c r="E1712" t="b">
        <v>0</v>
      </c>
      <c r="F1712">
        <v>3505</v>
      </c>
      <c r="G1712">
        <v>67</v>
      </c>
      <c r="H1712" t="s">
        <v>11</v>
      </c>
      <c r="I1712" t="b" cm="1">
        <f t="array" ref="I1712">isDup(B1712,B1713, 0.7)</f>
        <v>0</v>
      </c>
    </row>
    <row r="1713" spans="1:9" ht="17" x14ac:dyDescent="0.2">
      <c r="A1713" t="s">
        <v>4396</v>
      </c>
      <c r="B1713" s="1" t="s">
        <v>4397</v>
      </c>
      <c r="C1713" t="s">
        <v>4398</v>
      </c>
      <c r="D1713" s="1" t="s">
        <v>2</v>
      </c>
      <c r="E1713" t="b">
        <v>0</v>
      </c>
      <c r="F1713">
        <v>12</v>
      </c>
      <c r="G1713">
        <v>55</v>
      </c>
      <c r="H1713" t="s">
        <v>11</v>
      </c>
      <c r="I1713" t="b" cm="1">
        <f t="array" ref="I1713">isDup(B1713,B1714, 0.7)</f>
        <v>0</v>
      </c>
    </row>
    <row r="1714" spans="1:9" ht="34" x14ac:dyDescent="0.2">
      <c r="A1714" t="s">
        <v>2059</v>
      </c>
      <c r="B1714" s="1" t="s">
        <v>2060</v>
      </c>
      <c r="C1714" t="s">
        <v>2061</v>
      </c>
      <c r="D1714" s="1" t="s">
        <v>2062</v>
      </c>
      <c r="E1714" t="b">
        <v>0</v>
      </c>
      <c r="F1714">
        <v>9748</v>
      </c>
      <c r="G1714">
        <v>399</v>
      </c>
      <c r="H1714" t="s">
        <v>11</v>
      </c>
      <c r="I1714" t="b" cm="1">
        <f t="array" ref="I1714">isDup(B1714,B1715, 0.7)</f>
        <v>0</v>
      </c>
    </row>
    <row r="1715" spans="1:9" ht="34" x14ac:dyDescent="0.2">
      <c r="A1715" t="s">
        <v>1369</v>
      </c>
      <c r="B1715" s="1" t="s">
        <v>1370</v>
      </c>
      <c r="C1715" t="s">
        <v>1371</v>
      </c>
      <c r="D1715" s="1" t="s">
        <v>1372</v>
      </c>
      <c r="E1715" t="b">
        <v>0</v>
      </c>
      <c r="F1715">
        <v>1197</v>
      </c>
      <c r="G1715">
        <v>398</v>
      </c>
      <c r="H1715" t="s">
        <v>11</v>
      </c>
      <c r="I1715" t="b" cm="1">
        <f t="array" ref="I1715">isDup(B1715,B1716, 0.7)</f>
        <v>0</v>
      </c>
    </row>
    <row r="1716" spans="1:9" ht="17" x14ac:dyDescent="0.2">
      <c r="A1716" t="s">
        <v>918</v>
      </c>
      <c r="B1716" s="1" t="s">
        <v>919</v>
      </c>
      <c r="C1716" t="s">
        <v>920</v>
      </c>
      <c r="D1716" s="1" t="s">
        <v>921</v>
      </c>
      <c r="E1716" t="b">
        <v>0</v>
      </c>
      <c r="F1716">
        <v>1059</v>
      </c>
      <c r="G1716">
        <v>100</v>
      </c>
      <c r="H1716" t="s">
        <v>11</v>
      </c>
      <c r="I1716" t="b" cm="1">
        <f t="array" ref="I1716">isDup(B1716,B1717, 0.7)</f>
        <v>0</v>
      </c>
    </row>
    <row r="1717" spans="1:9" ht="17" x14ac:dyDescent="0.2">
      <c r="A1717" t="s">
        <v>6715</v>
      </c>
      <c r="B1717" s="1" t="s">
        <v>6717</v>
      </c>
      <c r="C1717" t="s">
        <v>5749</v>
      </c>
      <c r="D1717" s="1" t="s">
        <v>6718</v>
      </c>
      <c r="E1717" t="b">
        <v>0</v>
      </c>
      <c r="F1717">
        <v>207</v>
      </c>
      <c r="G1717">
        <v>316</v>
      </c>
      <c r="H1717" t="s">
        <v>11</v>
      </c>
      <c r="I1717" t="b" cm="1">
        <f t="array" ref="I1717">isDup(B1717,B1718, 0.7)</f>
        <v>0</v>
      </c>
    </row>
    <row r="1718" spans="1:9" ht="17" x14ac:dyDescent="0.2">
      <c r="A1718" t="s">
        <v>4892</v>
      </c>
      <c r="B1718" s="1" t="s">
        <v>4893</v>
      </c>
      <c r="C1718" t="s">
        <v>970</v>
      </c>
      <c r="D1718" s="1" t="s">
        <v>2</v>
      </c>
      <c r="E1718" t="b">
        <v>0</v>
      </c>
      <c r="F1718">
        <v>254</v>
      </c>
      <c r="G1718">
        <v>818</v>
      </c>
      <c r="H1718" t="s">
        <v>11</v>
      </c>
      <c r="I1718" t="b" cm="1">
        <f t="array" ref="I1718">isDup(B1718,B1719, 0.7)</f>
        <v>0</v>
      </c>
    </row>
    <row r="1719" spans="1:9" ht="17" x14ac:dyDescent="0.2">
      <c r="A1719" t="s">
        <v>5610</v>
      </c>
      <c r="B1719" s="1" t="s">
        <v>5614</v>
      </c>
      <c r="C1719" t="s">
        <v>237</v>
      </c>
      <c r="D1719" s="1" t="s">
        <v>5615</v>
      </c>
      <c r="E1719" t="b">
        <v>0</v>
      </c>
      <c r="F1719">
        <v>758</v>
      </c>
      <c r="G1719">
        <v>2205</v>
      </c>
      <c r="H1719" t="s">
        <v>11</v>
      </c>
      <c r="I1719" t="b" cm="1">
        <f t="array" ref="I1719">isDup(B1719,B1720, 0.7)</f>
        <v>0</v>
      </c>
    </row>
    <row r="1720" spans="1:9" ht="34" x14ac:dyDescent="0.2">
      <c r="A1720" t="s">
        <v>4762</v>
      </c>
      <c r="B1720" s="1" t="s">
        <v>4763</v>
      </c>
      <c r="C1720" t="s">
        <v>275</v>
      </c>
      <c r="D1720" s="1" t="s">
        <v>4764</v>
      </c>
      <c r="E1720" t="b">
        <v>0</v>
      </c>
      <c r="F1720">
        <v>243</v>
      </c>
      <c r="G1720">
        <v>64</v>
      </c>
      <c r="H1720" t="s">
        <v>11</v>
      </c>
      <c r="I1720" t="b" cm="1">
        <f t="array" ref="I1720">isDup(B1720,B1721, 0.7)</f>
        <v>1</v>
      </c>
    </row>
    <row r="1721" spans="1:9" ht="34" x14ac:dyDescent="0.2">
      <c r="A1721" t="s">
        <v>4599</v>
      </c>
      <c r="B1721" s="1" t="s">
        <v>4600</v>
      </c>
      <c r="C1721" t="s">
        <v>4601</v>
      </c>
      <c r="D1721" s="1" t="s">
        <v>4602</v>
      </c>
      <c r="E1721" t="b">
        <v>0</v>
      </c>
      <c r="F1721">
        <v>2801</v>
      </c>
      <c r="G1721">
        <v>1195</v>
      </c>
      <c r="H1721" t="s">
        <v>11</v>
      </c>
      <c r="I1721" t="b" cm="1">
        <f t="array" ref="I1721">isDup(B1721,B1722, 0.7)</f>
        <v>0</v>
      </c>
    </row>
    <row r="1722" spans="1:9" ht="34" x14ac:dyDescent="0.2">
      <c r="A1722" t="s">
        <v>1883</v>
      </c>
      <c r="B1722" s="1" t="s">
        <v>1884</v>
      </c>
      <c r="C1722" t="s">
        <v>1885</v>
      </c>
      <c r="D1722" s="1">
        <v>1988</v>
      </c>
      <c r="E1722" t="b">
        <v>0</v>
      </c>
      <c r="F1722">
        <v>134</v>
      </c>
      <c r="G1722">
        <v>196</v>
      </c>
      <c r="H1722" t="s">
        <v>11</v>
      </c>
      <c r="I1722" t="b" cm="1">
        <f t="array" ref="I1722">isDup(B1722,B1723, 0.7)</f>
        <v>0</v>
      </c>
    </row>
    <row r="1723" spans="1:9" ht="17" x14ac:dyDescent="0.2">
      <c r="A1723" t="s">
        <v>5000</v>
      </c>
      <c r="B1723" s="1" t="s">
        <v>5001</v>
      </c>
      <c r="C1723" t="s">
        <v>3678</v>
      </c>
      <c r="D1723" s="1" t="s">
        <v>5002</v>
      </c>
      <c r="E1723" t="b">
        <v>0</v>
      </c>
      <c r="F1723">
        <v>85</v>
      </c>
      <c r="G1723">
        <v>0</v>
      </c>
      <c r="H1723" t="s">
        <v>11</v>
      </c>
      <c r="I1723" t="b" cm="1">
        <f t="array" ref="I1723">isDup(B1723,B1724, 0.7)</f>
        <v>0</v>
      </c>
    </row>
    <row r="1724" spans="1:9" ht="17" x14ac:dyDescent="0.2">
      <c r="A1724" t="s">
        <v>2473</v>
      </c>
      <c r="B1724" s="1" t="s">
        <v>2474</v>
      </c>
      <c r="C1724" t="s">
        <v>177</v>
      </c>
      <c r="D1724" s="1" t="s">
        <v>2</v>
      </c>
      <c r="E1724" t="b">
        <v>0</v>
      </c>
      <c r="F1724">
        <v>131</v>
      </c>
      <c r="G1724">
        <v>81</v>
      </c>
      <c r="H1724" t="s">
        <v>47</v>
      </c>
      <c r="I1724" t="b" cm="1">
        <f t="array" ref="I1724">isDup(B1724,B1725, 0.7)</f>
        <v>0</v>
      </c>
    </row>
    <row r="1725" spans="1:9" ht="17" x14ac:dyDescent="0.2">
      <c r="A1725" t="s">
        <v>2164</v>
      </c>
      <c r="B1725" s="1" t="s">
        <v>2165</v>
      </c>
      <c r="C1725" t="s">
        <v>2166</v>
      </c>
      <c r="D1725" s="1" t="s">
        <v>2167</v>
      </c>
      <c r="E1725" t="b">
        <v>0</v>
      </c>
      <c r="F1725">
        <v>924</v>
      </c>
      <c r="G1725">
        <v>136</v>
      </c>
      <c r="H1725" t="s">
        <v>11</v>
      </c>
      <c r="I1725" t="b" cm="1">
        <f t="array" ref="I1725">isDup(B1725,B1726, 0.7)</f>
        <v>0</v>
      </c>
    </row>
    <row r="1726" spans="1:9" ht="34" x14ac:dyDescent="0.2">
      <c r="A1726" t="s">
        <v>2778</v>
      </c>
      <c r="B1726" s="1" t="s">
        <v>2779</v>
      </c>
      <c r="C1726" t="s">
        <v>944</v>
      </c>
      <c r="D1726" s="1" t="s">
        <v>2780</v>
      </c>
      <c r="E1726" t="b">
        <v>0</v>
      </c>
      <c r="F1726">
        <v>160</v>
      </c>
      <c r="G1726">
        <v>475</v>
      </c>
      <c r="H1726" t="s">
        <v>11</v>
      </c>
      <c r="I1726" t="b" cm="1">
        <f t="array" ref="I1726">isDup(B1726,B1727, 0.7)</f>
        <v>0</v>
      </c>
    </row>
    <row r="1727" spans="1:9" ht="17" x14ac:dyDescent="0.2">
      <c r="A1727" t="s">
        <v>2436</v>
      </c>
      <c r="B1727" s="1" t="s">
        <v>2437</v>
      </c>
      <c r="C1727" t="s">
        <v>2438</v>
      </c>
      <c r="D1727" s="1" t="s">
        <v>2</v>
      </c>
      <c r="E1727" t="b">
        <v>0</v>
      </c>
      <c r="F1727">
        <v>225</v>
      </c>
      <c r="G1727">
        <v>56</v>
      </c>
      <c r="H1727" t="s">
        <v>11</v>
      </c>
      <c r="I1727" t="b" cm="1">
        <f t="array" ref="I1727">isDup(B1727,B1728, 0.7)</f>
        <v>0</v>
      </c>
    </row>
    <row r="1728" spans="1:9" ht="17" x14ac:dyDescent="0.2">
      <c r="A1728" t="s">
        <v>6871</v>
      </c>
      <c r="B1728" s="1" t="s">
        <v>6872</v>
      </c>
      <c r="C1728" t="s">
        <v>6873</v>
      </c>
      <c r="D1728" s="1" t="s">
        <v>2</v>
      </c>
      <c r="E1728" t="b">
        <v>0</v>
      </c>
      <c r="F1728">
        <v>151</v>
      </c>
      <c r="G1728">
        <v>175</v>
      </c>
      <c r="H1728" t="s">
        <v>11</v>
      </c>
      <c r="I1728" t="b" cm="1">
        <f t="array" ref="I1728">isDup(B1728,B1729, 0.7)</f>
        <v>0</v>
      </c>
    </row>
    <row r="1729" spans="1:9" ht="17" x14ac:dyDescent="0.2">
      <c r="A1729" t="s">
        <v>256</v>
      </c>
      <c r="B1729" s="1" t="s">
        <v>257</v>
      </c>
      <c r="C1729" t="s">
        <v>161</v>
      </c>
      <c r="D1729" s="1" t="s">
        <v>68</v>
      </c>
      <c r="E1729" t="b">
        <v>0</v>
      </c>
      <c r="F1729">
        <v>545</v>
      </c>
      <c r="G1729">
        <v>805</v>
      </c>
      <c r="H1729" t="s">
        <v>11</v>
      </c>
      <c r="I1729" t="b" cm="1">
        <f t="array" ref="I1729">isDup(B1729,B1730, 0.7)</f>
        <v>0</v>
      </c>
    </row>
    <row r="1730" spans="1:9" ht="17" x14ac:dyDescent="0.2">
      <c r="A1730" t="s">
        <v>2176</v>
      </c>
      <c r="B1730" s="1" t="s">
        <v>2177</v>
      </c>
      <c r="C1730" t="s">
        <v>2166</v>
      </c>
      <c r="D1730" s="1" t="s">
        <v>2167</v>
      </c>
      <c r="E1730" t="b">
        <v>0</v>
      </c>
      <c r="F1730">
        <v>924</v>
      </c>
      <c r="G1730">
        <v>136</v>
      </c>
      <c r="H1730" t="s">
        <v>11</v>
      </c>
      <c r="I1730" t="b" cm="1">
        <f t="array" ref="I1730">isDup(B1730,B1731, 0.7)</f>
        <v>0</v>
      </c>
    </row>
    <row r="1731" spans="1:9" ht="34" x14ac:dyDescent="0.2">
      <c r="A1731" t="s">
        <v>5076</v>
      </c>
      <c r="B1731" s="1" t="s">
        <v>5077</v>
      </c>
      <c r="C1731" t="s">
        <v>5078</v>
      </c>
      <c r="D1731" s="1" t="s">
        <v>5079</v>
      </c>
      <c r="E1731" t="b">
        <v>0</v>
      </c>
      <c r="F1731">
        <v>160</v>
      </c>
      <c r="G1731">
        <v>11</v>
      </c>
      <c r="H1731" t="s">
        <v>1088</v>
      </c>
      <c r="I1731" t="b" cm="1">
        <f t="array" ref="I1731">isDup(B1731,B1732, 0.7)</f>
        <v>0</v>
      </c>
    </row>
    <row r="1732" spans="1:9" ht="34" x14ac:dyDescent="0.2">
      <c r="A1732" t="s">
        <v>4941</v>
      </c>
      <c r="B1732" s="1" t="s">
        <v>4942</v>
      </c>
      <c r="C1732" t="s">
        <v>2375</v>
      </c>
      <c r="D1732" s="1" t="s">
        <v>2</v>
      </c>
      <c r="E1732" t="b">
        <v>0</v>
      </c>
      <c r="F1732">
        <v>88</v>
      </c>
      <c r="G1732">
        <v>87</v>
      </c>
      <c r="H1732" t="s">
        <v>11</v>
      </c>
      <c r="I1732" t="b" cm="1">
        <f t="array" ref="I1732">isDup(B1732,B1733, 0.7)</f>
        <v>0</v>
      </c>
    </row>
    <row r="1733" spans="1:9" ht="34" x14ac:dyDescent="0.2">
      <c r="A1733" t="s">
        <v>830</v>
      </c>
      <c r="B1733" s="1" t="s">
        <v>831</v>
      </c>
      <c r="C1733" t="s">
        <v>832</v>
      </c>
      <c r="D1733" s="1" t="s">
        <v>833</v>
      </c>
      <c r="E1733" t="b">
        <v>0</v>
      </c>
      <c r="F1733">
        <v>6881</v>
      </c>
      <c r="G1733">
        <v>101</v>
      </c>
      <c r="H1733" t="s">
        <v>11</v>
      </c>
      <c r="I1733" t="b" cm="1">
        <f t="array" ref="I1733">isDup(B1733,B1734, 0.7)</f>
        <v>0</v>
      </c>
    </row>
    <row r="1734" spans="1:9" ht="17" x14ac:dyDescent="0.2">
      <c r="A1734" t="s">
        <v>3709</v>
      </c>
      <c r="B1734" s="1" t="s">
        <v>3713</v>
      </c>
      <c r="C1734" t="s">
        <v>305</v>
      </c>
      <c r="D1734" s="1" t="s">
        <v>3714</v>
      </c>
      <c r="E1734" t="b">
        <v>0</v>
      </c>
      <c r="F1734">
        <v>72</v>
      </c>
      <c r="G1734">
        <v>403</v>
      </c>
      <c r="H1734" t="s">
        <v>11</v>
      </c>
      <c r="I1734" t="b" cm="1">
        <f t="array" ref="I1734">isDup(B1734,B1735, 0.7)</f>
        <v>0</v>
      </c>
    </row>
    <row r="1735" spans="1:9" ht="17" x14ac:dyDescent="0.2">
      <c r="A1735" t="s">
        <v>4074</v>
      </c>
      <c r="B1735" s="1" t="s">
        <v>4075</v>
      </c>
      <c r="C1735" t="s">
        <v>4076</v>
      </c>
      <c r="D1735" s="1" t="s">
        <v>4077</v>
      </c>
      <c r="E1735" t="b">
        <v>0</v>
      </c>
      <c r="F1735">
        <v>171</v>
      </c>
      <c r="G1735">
        <v>169</v>
      </c>
      <c r="H1735" t="s">
        <v>359</v>
      </c>
      <c r="I1735" t="b" cm="1">
        <f t="array" ref="I1735">isDup(B1735,B1736, 0.7)</f>
        <v>0</v>
      </c>
    </row>
    <row r="1736" spans="1:9" ht="17" x14ac:dyDescent="0.2">
      <c r="A1736" t="s">
        <v>4283</v>
      </c>
      <c r="B1736" s="1" t="s">
        <v>4284</v>
      </c>
      <c r="C1736" t="s">
        <v>2628</v>
      </c>
      <c r="E1736" t="b">
        <v>0</v>
      </c>
      <c r="F1736">
        <v>84</v>
      </c>
      <c r="G1736">
        <v>57</v>
      </c>
      <c r="H1736" t="s">
        <v>11</v>
      </c>
      <c r="I1736" t="b" cm="1">
        <f t="array" ref="I1736">isDup(B1736,B1737, 0.7)</f>
        <v>0</v>
      </c>
    </row>
    <row r="1737" spans="1:9" ht="17" x14ac:dyDescent="0.2">
      <c r="A1737" t="s">
        <v>2350</v>
      </c>
      <c r="B1737" s="1" t="s">
        <v>2351</v>
      </c>
      <c r="C1737" t="s">
        <v>1753</v>
      </c>
      <c r="D1737" s="1" t="s">
        <v>2352</v>
      </c>
      <c r="E1737" t="b">
        <v>0</v>
      </c>
      <c r="F1737">
        <v>11</v>
      </c>
      <c r="G1737">
        <v>84</v>
      </c>
      <c r="H1737" t="s">
        <v>11</v>
      </c>
      <c r="I1737" t="b" cm="1">
        <f t="array" ref="I1737">isDup(B1737,B1738, 0.7)</f>
        <v>0</v>
      </c>
    </row>
    <row r="1738" spans="1:9" ht="34" x14ac:dyDescent="0.2">
      <c r="A1738" t="s">
        <v>734</v>
      </c>
      <c r="B1738" s="1" t="s">
        <v>735</v>
      </c>
      <c r="C1738" t="s">
        <v>736</v>
      </c>
      <c r="D1738" s="1" t="s">
        <v>2</v>
      </c>
      <c r="E1738" t="b">
        <v>0</v>
      </c>
      <c r="F1738">
        <v>17345</v>
      </c>
      <c r="G1738">
        <v>12513</v>
      </c>
      <c r="H1738" t="s">
        <v>11</v>
      </c>
      <c r="I1738" t="b" cm="1">
        <f t="array" ref="I1738">isDup(B1738,B1739, 0.7)</f>
        <v>0</v>
      </c>
    </row>
    <row r="1739" spans="1:9" ht="17" x14ac:dyDescent="0.2">
      <c r="A1739" t="s">
        <v>818</v>
      </c>
      <c r="B1739" s="1" t="s">
        <v>819</v>
      </c>
      <c r="C1739" t="s">
        <v>820</v>
      </c>
      <c r="D1739" s="1" t="s">
        <v>821</v>
      </c>
      <c r="E1739" t="b">
        <v>0</v>
      </c>
      <c r="F1739">
        <v>1</v>
      </c>
      <c r="G1739">
        <v>29</v>
      </c>
      <c r="H1739" t="s">
        <v>11</v>
      </c>
      <c r="I1739" t="b" cm="1">
        <f t="array" ref="I1739">isDup(B1739,B1740, 0.7)</f>
        <v>0</v>
      </c>
    </row>
    <row r="1740" spans="1:9" ht="17" x14ac:dyDescent="0.2">
      <c r="A1740" t="s">
        <v>2009</v>
      </c>
      <c r="B1740" s="1" t="s">
        <v>2010</v>
      </c>
      <c r="C1740" t="s">
        <v>1099</v>
      </c>
      <c r="D1740" s="1" t="s">
        <v>2</v>
      </c>
      <c r="E1740" t="b">
        <v>0</v>
      </c>
      <c r="F1740">
        <v>1</v>
      </c>
      <c r="G1740">
        <v>11</v>
      </c>
      <c r="H1740" t="s">
        <v>11</v>
      </c>
      <c r="I1740" t="b" cm="1">
        <f t="array" ref="I1740">isDup(B1740,B1741, 0.7)</f>
        <v>0</v>
      </c>
    </row>
    <row r="1741" spans="1:9" ht="17" x14ac:dyDescent="0.2">
      <c r="A1741" t="s">
        <v>1479</v>
      </c>
      <c r="B1741" s="1" t="s">
        <v>1480</v>
      </c>
      <c r="C1741" t="s">
        <v>1206</v>
      </c>
      <c r="D1741" s="1" t="s">
        <v>1481</v>
      </c>
      <c r="E1741" t="b">
        <v>0</v>
      </c>
      <c r="F1741">
        <v>964</v>
      </c>
      <c r="G1741">
        <v>2475</v>
      </c>
      <c r="H1741" t="s">
        <v>11</v>
      </c>
      <c r="I1741" t="b" cm="1">
        <f t="array" ref="I1741">isDup(B1741,B1742, 0.7)</f>
        <v>0</v>
      </c>
    </row>
    <row r="1742" spans="1:9" ht="34" x14ac:dyDescent="0.2">
      <c r="A1742" t="s">
        <v>6465</v>
      </c>
      <c r="B1742" s="1" t="s">
        <v>6466</v>
      </c>
      <c r="C1742" t="s">
        <v>1053</v>
      </c>
      <c r="D1742" s="1" t="s">
        <v>6467</v>
      </c>
      <c r="E1742" t="b">
        <v>0</v>
      </c>
      <c r="F1742">
        <v>14</v>
      </c>
      <c r="G1742">
        <v>71</v>
      </c>
      <c r="H1742" t="s">
        <v>11</v>
      </c>
      <c r="I1742" t="b" cm="1">
        <f t="array" ref="I1742">isDup(B1742,B1743, 0.7)</f>
        <v>0</v>
      </c>
    </row>
    <row r="1743" spans="1:9" ht="17" x14ac:dyDescent="0.2">
      <c r="A1743" t="s">
        <v>2805</v>
      </c>
      <c r="B1743" s="1" t="s">
        <v>2806</v>
      </c>
      <c r="C1743" t="s">
        <v>2807</v>
      </c>
      <c r="D1743" s="1" t="s">
        <v>2</v>
      </c>
      <c r="E1743" t="b">
        <v>0</v>
      </c>
      <c r="F1743">
        <v>191</v>
      </c>
      <c r="G1743">
        <v>104</v>
      </c>
      <c r="H1743" t="s">
        <v>11</v>
      </c>
      <c r="I1743" t="b" cm="1">
        <f t="array" ref="I1743">isDup(B1743,B1744, 0.7)</f>
        <v>0</v>
      </c>
    </row>
    <row r="1744" spans="1:9" ht="17" x14ac:dyDescent="0.2">
      <c r="A1744" t="s">
        <v>1893</v>
      </c>
      <c r="B1744" s="1" t="s">
        <v>1894</v>
      </c>
      <c r="C1744" t="s">
        <v>219</v>
      </c>
      <c r="D1744" s="1" t="s">
        <v>2</v>
      </c>
      <c r="E1744" t="b">
        <v>0</v>
      </c>
      <c r="F1744">
        <v>224</v>
      </c>
      <c r="G1744">
        <v>1407</v>
      </c>
      <c r="H1744" t="s">
        <v>11</v>
      </c>
      <c r="I1744" t="b" cm="1">
        <f t="array" ref="I1744">isDup(B1744,B1745, 0.7)</f>
        <v>0</v>
      </c>
    </row>
    <row r="1745" spans="1:9" ht="34" x14ac:dyDescent="0.2">
      <c r="A1745" t="s">
        <v>2022</v>
      </c>
      <c r="B1745" s="1" t="s">
        <v>2023</v>
      </c>
      <c r="C1745" t="s">
        <v>2024</v>
      </c>
      <c r="D1745" s="1" t="s">
        <v>1184</v>
      </c>
      <c r="E1745" t="b">
        <v>0</v>
      </c>
      <c r="F1745">
        <v>1314</v>
      </c>
      <c r="G1745">
        <v>2612</v>
      </c>
      <c r="H1745" t="s">
        <v>11</v>
      </c>
      <c r="I1745" t="b" cm="1">
        <f t="array" ref="I1745">isDup(B1745,B1746, 0.7)</f>
        <v>0</v>
      </c>
    </row>
    <row r="1746" spans="1:9" ht="17" x14ac:dyDescent="0.2">
      <c r="A1746" t="s">
        <v>6521</v>
      </c>
      <c r="B1746" s="1" t="s">
        <v>6522</v>
      </c>
      <c r="C1746" t="s">
        <v>6523</v>
      </c>
      <c r="D1746" s="1" t="s">
        <v>6524</v>
      </c>
      <c r="E1746" t="b">
        <v>0</v>
      </c>
      <c r="F1746">
        <v>119</v>
      </c>
      <c r="G1746">
        <v>73</v>
      </c>
      <c r="H1746" t="s">
        <v>11</v>
      </c>
      <c r="I1746" t="b" cm="1">
        <f t="array" ref="I1746">isDup(B1746,B1747, 0.7)</f>
        <v>0</v>
      </c>
    </row>
    <row r="1747" spans="1:9" ht="17" x14ac:dyDescent="0.2">
      <c r="A1747" t="s">
        <v>6734</v>
      </c>
      <c r="B1747" s="1" t="s">
        <v>6735</v>
      </c>
      <c r="C1747" t="s">
        <v>4605</v>
      </c>
      <c r="D1747" s="1" t="s">
        <v>399</v>
      </c>
      <c r="E1747" t="b">
        <v>0</v>
      </c>
      <c r="F1747">
        <v>35834</v>
      </c>
      <c r="G1747">
        <v>1551</v>
      </c>
      <c r="H1747" t="s">
        <v>11</v>
      </c>
      <c r="I1747" t="b" cm="1">
        <f t="array" ref="I1747">isDup(B1747,B1748, 0.7)</f>
        <v>0</v>
      </c>
    </row>
    <row r="1748" spans="1:9" ht="17" x14ac:dyDescent="0.2">
      <c r="A1748" t="s">
        <v>5170</v>
      </c>
      <c r="B1748" s="1" t="s">
        <v>5171</v>
      </c>
      <c r="C1748" t="s">
        <v>814</v>
      </c>
      <c r="D1748" s="1" t="s">
        <v>5005</v>
      </c>
      <c r="E1748" t="b">
        <v>0</v>
      </c>
      <c r="F1748">
        <v>0</v>
      </c>
      <c r="G1748">
        <v>1</v>
      </c>
      <c r="H1748" t="s">
        <v>11</v>
      </c>
      <c r="I1748" t="b" cm="1">
        <f t="array" ref="I1748">isDup(B1748,B1749, 0.7)</f>
        <v>0</v>
      </c>
    </row>
    <row r="1749" spans="1:9" ht="17" x14ac:dyDescent="0.2">
      <c r="A1749" t="s">
        <v>5321</v>
      </c>
      <c r="B1749" s="1" t="s">
        <v>5322</v>
      </c>
      <c r="C1749" t="s">
        <v>5323</v>
      </c>
      <c r="D1749" s="1" t="s">
        <v>565</v>
      </c>
      <c r="E1749" t="b">
        <v>0</v>
      </c>
      <c r="F1749">
        <v>249</v>
      </c>
      <c r="G1749">
        <v>547</v>
      </c>
      <c r="H1749" t="s">
        <v>11</v>
      </c>
      <c r="I1749" t="b" cm="1">
        <f t="array" ref="I1749">isDup(B1749,B1750, 0.7)</f>
        <v>0</v>
      </c>
    </row>
    <row r="1750" spans="1:9" ht="17" x14ac:dyDescent="0.2">
      <c r="A1750" t="s">
        <v>2164</v>
      </c>
      <c r="B1750" s="1" t="s">
        <v>2168</v>
      </c>
      <c r="C1750" t="s">
        <v>2169</v>
      </c>
      <c r="D1750" s="1" t="s">
        <v>2170</v>
      </c>
      <c r="E1750" t="b">
        <v>0</v>
      </c>
      <c r="F1750">
        <v>62084</v>
      </c>
      <c r="G1750">
        <v>346</v>
      </c>
      <c r="H1750" t="s">
        <v>83</v>
      </c>
      <c r="I1750" t="b" cm="1">
        <f t="array" ref="I1750">isDup(B1750,B1751, 0.7)</f>
        <v>0</v>
      </c>
    </row>
    <row r="1751" spans="1:9" ht="17" x14ac:dyDescent="0.2">
      <c r="A1751" t="s">
        <v>3235</v>
      </c>
      <c r="B1751" s="1" t="s">
        <v>3236</v>
      </c>
      <c r="C1751" t="s">
        <v>700</v>
      </c>
      <c r="D1751" s="1" t="s">
        <v>3237</v>
      </c>
      <c r="E1751" t="b">
        <v>0</v>
      </c>
      <c r="F1751">
        <v>178</v>
      </c>
      <c r="G1751">
        <v>150</v>
      </c>
      <c r="H1751" t="s">
        <v>11</v>
      </c>
      <c r="I1751" t="b" cm="1">
        <f t="array" ref="I1751">isDup(B1751,B1752, 0.7)</f>
        <v>0</v>
      </c>
    </row>
    <row r="1752" spans="1:9" ht="34" x14ac:dyDescent="0.2">
      <c r="A1752" t="s">
        <v>2467</v>
      </c>
      <c r="B1752" s="1" t="s">
        <v>2468</v>
      </c>
      <c r="C1752" t="s">
        <v>1592</v>
      </c>
      <c r="D1752" s="1" t="s">
        <v>1593</v>
      </c>
      <c r="E1752" t="b">
        <v>0</v>
      </c>
      <c r="F1752">
        <v>4</v>
      </c>
      <c r="G1752">
        <v>0</v>
      </c>
      <c r="H1752" t="s">
        <v>11</v>
      </c>
      <c r="I1752" t="b" cm="1">
        <f t="array" ref="I1752">isDup(B1752,B1753, 0.7)</f>
        <v>0</v>
      </c>
    </row>
    <row r="1753" spans="1:9" ht="34" x14ac:dyDescent="0.2">
      <c r="A1753" t="s">
        <v>273</v>
      </c>
      <c r="B1753" s="1" t="s">
        <v>274</v>
      </c>
      <c r="C1753" t="s">
        <v>275</v>
      </c>
      <c r="D1753" s="1" t="s">
        <v>276</v>
      </c>
      <c r="E1753" t="b">
        <v>0</v>
      </c>
      <c r="F1753">
        <v>135</v>
      </c>
      <c r="G1753">
        <v>258</v>
      </c>
      <c r="H1753" t="s">
        <v>11</v>
      </c>
      <c r="I1753" t="b" cm="1">
        <f t="array" ref="I1753">isDup(B1753,B1754, 0.7)</f>
        <v>0</v>
      </c>
    </row>
    <row r="1754" spans="1:9" ht="34" x14ac:dyDescent="0.2">
      <c r="A1754" t="s">
        <v>4740</v>
      </c>
      <c r="B1754" s="1" t="s">
        <v>4741</v>
      </c>
      <c r="C1754" t="s">
        <v>200</v>
      </c>
      <c r="D1754" s="1" t="s">
        <v>2</v>
      </c>
      <c r="E1754" t="b">
        <v>0</v>
      </c>
      <c r="F1754">
        <v>118</v>
      </c>
      <c r="G1754">
        <v>384</v>
      </c>
      <c r="H1754" t="s">
        <v>11</v>
      </c>
      <c r="I1754" t="b" cm="1">
        <f t="array" ref="I1754">isDup(B1754,B1755, 0.7)</f>
        <v>0</v>
      </c>
    </row>
    <row r="1755" spans="1:9" ht="17" x14ac:dyDescent="0.2">
      <c r="A1755" t="s">
        <v>6530</v>
      </c>
      <c r="B1755" s="1" t="s">
        <v>6531</v>
      </c>
      <c r="C1755" t="s">
        <v>3431</v>
      </c>
      <c r="D1755" s="1" t="s">
        <v>2</v>
      </c>
      <c r="E1755" t="b">
        <v>0</v>
      </c>
      <c r="F1755">
        <v>27</v>
      </c>
      <c r="G1755">
        <v>27</v>
      </c>
      <c r="H1755" t="s">
        <v>11</v>
      </c>
      <c r="I1755" t="b" cm="1">
        <f t="array" ref="I1755">isDup(B1755,B1756, 0.7)</f>
        <v>0</v>
      </c>
    </row>
    <row r="1756" spans="1:9" ht="34" x14ac:dyDescent="0.2">
      <c r="A1756" t="s">
        <v>2464</v>
      </c>
      <c r="B1756" s="1" t="s">
        <v>2465</v>
      </c>
      <c r="C1756" t="s">
        <v>2466</v>
      </c>
      <c r="D1756" s="1" t="s">
        <v>2</v>
      </c>
      <c r="E1756" t="b">
        <v>0</v>
      </c>
      <c r="F1756">
        <v>144</v>
      </c>
      <c r="G1756">
        <v>238</v>
      </c>
      <c r="H1756" t="s">
        <v>11</v>
      </c>
      <c r="I1756" t="b" cm="1">
        <f t="array" ref="I1756">isDup(B1756,B1757, 0.7)</f>
        <v>0</v>
      </c>
    </row>
    <row r="1757" spans="1:9" ht="17" x14ac:dyDescent="0.2">
      <c r="A1757" t="s">
        <v>559</v>
      </c>
      <c r="B1757" s="1" t="s">
        <v>560</v>
      </c>
      <c r="C1757" t="s">
        <v>561</v>
      </c>
      <c r="D1757" s="1" t="s">
        <v>562</v>
      </c>
      <c r="E1757" t="b">
        <v>0</v>
      </c>
      <c r="F1757">
        <v>499</v>
      </c>
      <c r="G1757">
        <v>352</v>
      </c>
      <c r="H1757" t="s">
        <v>3</v>
      </c>
      <c r="I1757" t="b" cm="1">
        <f t="array" ref="I1757">isDup(B1757,B1758, 0.7)</f>
        <v>0</v>
      </c>
    </row>
    <row r="1758" spans="1:9" ht="17" x14ac:dyDescent="0.2">
      <c r="A1758" t="s">
        <v>1933</v>
      </c>
      <c r="B1758" s="1" t="s">
        <v>1934</v>
      </c>
      <c r="C1758" t="s">
        <v>675</v>
      </c>
      <c r="D1758" s="1" t="s">
        <v>1935</v>
      </c>
      <c r="E1758" t="b">
        <v>0</v>
      </c>
      <c r="F1758">
        <v>48</v>
      </c>
      <c r="G1758">
        <v>139</v>
      </c>
      <c r="H1758" t="s">
        <v>11</v>
      </c>
      <c r="I1758" t="b" cm="1">
        <f t="array" ref="I1758">isDup(B1758,B1759, 0.7)</f>
        <v>0</v>
      </c>
    </row>
    <row r="1759" spans="1:9" ht="17" x14ac:dyDescent="0.2">
      <c r="A1759" t="s">
        <v>4325</v>
      </c>
      <c r="B1759" s="1" t="s">
        <v>4326</v>
      </c>
      <c r="C1759" t="s">
        <v>4327</v>
      </c>
      <c r="D1759" s="1" t="s">
        <v>4328</v>
      </c>
      <c r="E1759" t="b">
        <v>0</v>
      </c>
      <c r="F1759">
        <v>20</v>
      </c>
      <c r="G1759">
        <v>95</v>
      </c>
      <c r="H1759" t="s">
        <v>11</v>
      </c>
      <c r="I1759" t="b" cm="1">
        <f t="array" ref="I1759">isDup(B1759,B1760, 0.7)</f>
        <v>0</v>
      </c>
    </row>
    <row r="1760" spans="1:9" ht="17" x14ac:dyDescent="0.2">
      <c r="A1760" t="s">
        <v>3911</v>
      </c>
      <c r="B1760" s="1" t="s">
        <v>3912</v>
      </c>
      <c r="C1760" t="s">
        <v>3913</v>
      </c>
      <c r="D1760" s="1" t="s">
        <v>2</v>
      </c>
      <c r="E1760" t="b">
        <v>0</v>
      </c>
      <c r="F1760">
        <v>461</v>
      </c>
      <c r="G1760">
        <v>77</v>
      </c>
      <c r="H1760" t="s">
        <v>11</v>
      </c>
      <c r="I1760" t="b" cm="1">
        <f t="array" ref="I1760">isDup(B1760,B1761, 0.7)</f>
        <v>0</v>
      </c>
    </row>
    <row r="1761" spans="1:9" ht="34" x14ac:dyDescent="0.2">
      <c r="A1761" t="s">
        <v>4915</v>
      </c>
      <c r="B1761" s="1" t="s">
        <v>4916</v>
      </c>
      <c r="C1761" t="s">
        <v>4917</v>
      </c>
      <c r="D1761" s="1" t="s">
        <v>4918</v>
      </c>
      <c r="E1761" t="b">
        <v>0</v>
      </c>
      <c r="F1761">
        <v>248</v>
      </c>
      <c r="G1761">
        <v>173</v>
      </c>
      <c r="H1761" t="s">
        <v>11</v>
      </c>
      <c r="I1761" t="b" cm="1">
        <f t="array" ref="I1761">isDup(B1761,B1762, 0.7)</f>
        <v>0</v>
      </c>
    </row>
    <row r="1762" spans="1:9" ht="34" x14ac:dyDescent="0.2">
      <c r="A1762" t="s">
        <v>5227</v>
      </c>
      <c r="B1762" s="1" t="s">
        <v>5228</v>
      </c>
      <c r="C1762" t="s">
        <v>726</v>
      </c>
      <c r="D1762" s="1" t="s">
        <v>2</v>
      </c>
      <c r="E1762" t="b">
        <v>0</v>
      </c>
      <c r="F1762">
        <v>49</v>
      </c>
      <c r="G1762">
        <v>146</v>
      </c>
      <c r="H1762" t="s">
        <v>11</v>
      </c>
      <c r="I1762" t="b" cm="1">
        <f t="array" ref="I1762">isDup(B1762,B1763, 0.7)</f>
        <v>0</v>
      </c>
    </row>
    <row r="1763" spans="1:9" ht="34" x14ac:dyDescent="0.2">
      <c r="A1763" t="s">
        <v>306</v>
      </c>
      <c r="B1763" s="1" t="s">
        <v>307</v>
      </c>
      <c r="C1763" t="s">
        <v>308</v>
      </c>
      <c r="D1763" s="1" t="s">
        <v>2</v>
      </c>
      <c r="E1763" t="b">
        <v>0</v>
      </c>
      <c r="F1763">
        <v>90</v>
      </c>
      <c r="G1763">
        <v>117</v>
      </c>
      <c r="H1763" t="s">
        <v>47</v>
      </c>
      <c r="I1763" t="b" cm="1">
        <f t="array" ref="I1763">isDup(B1763,B1764, 0.7)</f>
        <v>0</v>
      </c>
    </row>
    <row r="1764" spans="1:9" ht="17" x14ac:dyDescent="0.2">
      <c r="A1764" t="s">
        <v>5958</v>
      </c>
      <c r="B1764" s="1" t="s">
        <v>5959</v>
      </c>
      <c r="C1764" t="s">
        <v>591</v>
      </c>
      <c r="D1764" s="1" t="s">
        <v>1023</v>
      </c>
      <c r="E1764" t="b">
        <v>0</v>
      </c>
      <c r="F1764">
        <v>296</v>
      </c>
      <c r="G1764">
        <v>202</v>
      </c>
      <c r="H1764" t="s">
        <v>11</v>
      </c>
      <c r="I1764" t="b" cm="1">
        <f t="array" ref="I1764">isDup(B1764,B1765, 0.7)</f>
        <v>0</v>
      </c>
    </row>
    <row r="1765" spans="1:9" ht="34" x14ac:dyDescent="0.2">
      <c r="A1765" t="s">
        <v>6984</v>
      </c>
      <c r="B1765" s="1" t="s">
        <v>6985</v>
      </c>
      <c r="C1765" t="s">
        <v>6986</v>
      </c>
      <c r="D1765" s="1" t="s">
        <v>2</v>
      </c>
      <c r="E1765" t="b">
        <v>0</v>
      </c>
      <c r="F1765">
        <v>1843</v>
      </c>
      <c r="G1765">
        <v>106</v>
      </c>
      <c r="H1765" t="s">
        <v>47</v>
      </c>
      <c r="I1765" t="b" cm="1">
        <f t="array" ref="I1765">isDup(B1765,B1766, 0.7)</f>
        <v>0</v>
      </c>
    </row>
    <row r="1766" spans="1:9" ht="17" x14ac:dyDescent="0.2">
      <c r="A1766" t="s">
        <v>4657</v>
      </c>
      <c r="B1766" s="1" t="s">
        <v>4658</v>
      </c>
      <c r="C1766" t="s">
        <v>1287</v>
      </c>
      <c r="D1766" s="1" t="s">
        <v>4659</v>
      </c>
      <c r="E1766" t="b">
        <v>0</v>
      </c>
      <c r="F1766">
        <v>24</v>
      </c>
      <c r="G1766">
        <v>163</v>
      </c>
      <c r="H1766" t="s">
        <v>11</v>
      </c>
      <c r="I1766" t="b" cm="1">
        <f t="array" ref="I1766">isDup(B1766,B1767, 0.7)</f>
        <v>0</v>
      </c>
    </row>
    <row r="1767" spans="1:9" ht="17" x14ac:dyDescent="0.2">
      <c r="A1767" t="s">
        <v>2292</v>
      </c>
      <c r="B1767" s="1" t="s">
        <v>2293</v>
      </c>
      <c r="C1767" t="s">
        <v>2294</v>
      </c>
      <c r="D1767" s="1" t="s">
        <v>2295</v>
      </c>
      <c r="E1767" t="b">
        <v>0</v>
      </c>
      <c r="F1767">
        <v>5041</v>
      </c>
      <c r="G1767">
        <v>1690</v>
      </c>
      <c r="H1767" t="s">
        <v>11</v>
      </c>
      <c r="I1767" t="b" cm="1">
        <f t="array" ref="I1767">isDup(B1767,B1768, 0.7)</f>
        <v>0</v>
      </c>
    </row>
    <row r="1768" spans="1:9" ht="17" x14ac:dyDescent="0.2">
      <c r="A1768" t="s">
        <v>4130</v>
      </c>
      <c r="B1768" s="1" t="s">
        <v>4131</v>
      </c>
      <c r="C1768" t="s">
        <v>995</v>
      </c>
      <c r="D1768" s="1" t="s">
        <v>4132</v>
      </c>
      <c r="E1768" t="b">
        <v>0</v>
      </c>
      <c r="F1768">
        <v>275</v>
      </c>
      <c r="G1768">
        <v>878</v>
      </c>
      <c r="H1768" t="s">
        <v>11</v>
      </c>
      <c r="I1768" t="b" cm="1">
        <f t="array" ref="I1768">isDup(B1768,B1769, 0.7)</f>
        <v>0</v>
      </c>
    </row>
    <row r="1769" spans="1:9" ht="17" x14ac:dyDescent="0.2">
      <c r="A1769" t="s">
        <v>2590</v>
      </c>
      <c r="B1769" s="1" t="s">
        <v>2591</v>
      </c>
      <c r="C1769" t="s">
        <v>2592</v>
      </c>
      <c r="D1769" s="1" t="s">
        <v>399</v>
      </c>
      <c r="E1769" t="b">
        <v>0</v>
      </c>
      <c r="F1769">
        <v>2450</v>
      </c>
      <c r="G1769">
        <v>2099</v>
      </c>
      <c r="H1769" t="s">
        <v>11</v>
      </c>
      <c r="I1769" t="b" cm="1">
        <f t="array" ref="I1769">isDup(B1769,B1770, 0.7)</f>
        <v>0</v>
      </c>
    </row>
    <row r="1770" spans="1:9" ht="17" x14ac:dyDescent="0.2">
      <c r="A1770" t="s">
        <v>6771</v>
      </c>
      <c r="B1770" s="1" t="s">
        <v>6772</v>
      </c>
      <c r="C1770" t="s">
        <v>1091</v>
      </c>
      <c r="D1770" s="1" t="s">
        <v>2</v>
      </c>
      <c r="E1770" t="b">
        <v>0</v>
      </c>
      <c r="F1770">
        <v>0</v>
      </c>
      <c r="G1770">
        <v>10</v>
      </c>
      <c r="H1770" t="s">
        <v>11</v>
      </c>
      <c r="I1770" t="b" cm="1">
        <f t="array" ref="I1770">isDup(B1770,B1771, 0.7)</f>
        <v>0</v>
      </c>
    </row>
    <row r="1771" spans="1:9" ht="17" x14ac:dyDescent="0.2">
      <c r="A1771" t="s">
        <v>6116</v>
      </c>
      <c r="B1771" s="1" t="s">
        <v>6117</v>
      </c>
      <c r="C1771" t="s">
        <v>1518</v>
      </c>
      <c r="D1771" s="1" t="s">
        <v>2</v>
      </c>
      <c r="E1771" t="b">
        <v>0</v>
      </c>
      <c r="F1771">
        <v>766</v>
      </c>
      <c r="G1771">
        <v>20</v>
      </c>
      <c r="H1771" t="s">
        <v>11</v>
      </c>
      <c r="I1771" t="b" cm="1">
        <f t="array" ref="I1771">isDup(B1771,B1772, 0.7)</f>
        <v>0</v>
      </c>
    </row>
    <row r="1772" spans="1:9" ht="34" x14ac:dyDescent="0.2">
      <c r="A1772" t="s">
        <v>4882</v>
      </c>
      <c r="B1772" s="1" t="s">
        <v>4883</v>
      </c>
      <c r="C1772" t="s">
        <v>1746</v>
      </c>
      <c r="D1772" s="1" t="s">
        <v>2</v>
      </c>
      <c r="E1772" t="b">
        <v>0</v>
      </c>
      <c r="F1772">
        <v>1950</v>
      </c>
      <c r="G1772">
        <v>1914</v>
      </c>
      <c r="H1772" t="s">
        <v>11</v>
      </c>
      <c r="I1772" t="b" cm="1">
        <f t="array" ref="I1772">isDup(B1772,B1773, 0.7)</f>
        <v>0</v>
      </c>
    </row>
    <row r="1773" spans="1:9" ht="17" x14ac:dyDescent="0.2">
      <c r="A1773" t="s">
        <v>5420</v>
      </c>
      <c r="B1773" s="1" t="s">
        <v>5421</v>
      </c>
      <c r="C1773" t="s">
        <v>90</v>
      </c>
      <c r="D1773" s="1" t="s">
        <v>91</v>
      </c>
      <c r="E1773" t="b">
        <v>0</v>
      </c>
      <c r="F1773">
        <v>136</v>
      </c>
      <c r="G1773">
        <v>11</v>
      </c>
      <c r="H1773" t="s">
        <v>11</v>
      </c>
      <c r="I1773" t="b" cm="1">
        <f t="array" ref="I1773">isDup(B1773,B1774, 0.7)</f>
        <v>0</v>
      </c>
    </row>
    <row r="1774" spans="1:9" ht="34" x14ac:dyDescent="0.2">
      <c r="A1774" t="s">
        <v>88</v>
      </c>
      <c r="B1774" s="1" t="s">
        <v>89</v>
      </c>
      <c r="C1774" t="s">
        <v>90</v>
      </c>
      <c r="D1774" s="1" t="s">
        <v>91</v>
      </c>
      <c r="E1774" t="b">
        <v>0</v>
      </c>
      <c r="F1774">
        <v>136</v>
      </c>
      <c r="G1774">
        <v>11</v>
      </c>
      <c r="H1774" t="s">
        <v>11</v>
      </c>
      <c r="I1774" t="b" cm="1">
        <f t="array" ref="I1774">isDup(B1774,B1775, 0.7)</f>
        <v>0</v>
      </c>
    </row>
    <row r="1775" spans="1:9" ht="34" x14ac:dyDescent="0.2">
      <c r="A1775" t="s">
        <v>3615</v>
      </c>
      <c r="B1775" s="1" t="s">
        <v>3616</v>
      </c>
      <c r="C1775" t="s">
        <v>880</v>
      </c>
      <c r="D1775" s="1" t="s">
        <v>105</v>
      </c>
      <c r="E1775" t="b">
        <v>0</v>
      </c>
      <c r="F1775">
        <v>774</v>
      </c>
      <c r="G1775">
        <v>626</v>
      </c>
      <c r="H1775" t="s">
        <v>11</v>
      </c>
      <c r="I1775" t="b" cm="1">
        <f t="array" ref="I1775">isDup(B1775,B1776, 0.7)</f>
        <v>0</v>
      </c>
    </row>
    <row r="1776" spans="1:9" ht="17" x14ac:dyDescent="0.2">
      <c r="A1776" t="s">
        <v>491</v>
      </c>
      <c r="B1776" s="1" t="s">
        <v>492</v>
      </c>
      <c r="C1776" t="s">
        <v>189</v>
      </c>
      <c r="D1776" s="1" t="s">
        <v>190</v>
      </c>
      <c r="E1776" t="b">
        <v>0</v>
      </c>
      <c r="F1776">
        <v>1181</v>
      </c>
      <c r="G1776">
        <v>766</v>
      </c>
      <c r="H1776" t="s">
        <v>11</v>
      </c>
      <c r="I1776" t="b" cm="1">
        <f t="array" ref="I1776">isDup(B1776,B1777, 0.7)</f>
        <v>0</v>
      </c>
    </row>
    <row r="1777" spans="1:9" ht="17" x14ac:dyDescent="0.2">
      <c r="A1777" t="s">
        <v>1849</v>
      </c>
      <c r="B1777" s="1" t="s">
        <v>1850</v>
      </c>
      <c r="C1777" t="s">
        <v>1851</v>
      </c>
      <c r="D1777" s="1" t="s">
        <v>2</v>
      </c>
      <c r="E1777" t="b">
        <v>0</v>
      </c>
      <c r="F1777">
        <v>25</v>
      </c>
      <c r="G1777">
        <v>109</v>
      </c>
      <c r="H1777" t="s">
        <v>11</v>
      </c>
      <c r="I1777" t="b" cm="1">
        <f t="array" ref="I1777">isDup(B1777,B1778, 0.7)</f>
        <v>0</v>
      </c>
    </row>
    <row r="1778" spans="1:9" ht="17" x14ac:dyDescent="0.2">
      <c r="A1778" t="s">
        <v>5716</v>
      </c>
      <c r="B1778" s="1" t="s">
        <v>5717</v>
      </c>
      <c r="C1778" t="s">
        <v>297</v>
      </c>
      <c r="D1778" s="1" t="s">
        <v>833</v>
      </c>
      <c r="E1778" t="b">
        <v>0</v>
      </c>
      <c r="F1778">
        <v>7</v>
      </c>
      <c r="G1778">
        <v>21</v>
      </c>
      <c r="H1778" t="s">
        <v>11</v>
      </c>
      <c r="I1778" t="b" cm="1">
        <f t="array" ref="I1778">isDup(B1778,B1779, 0.7)</f>
        <v>0</v>
      </c>
    </row>
    <row r="1779" spans="1:9" ht="34" x14ac:dyDescent="0.2">
      <c r="A1779" t="s">
        <v>1328</v>
      </c>
      <c r="B1779" s="1" t="s">
        <v>1329</v>
      </c>
      <c r="C1779" t="s">
        <v>1330</v>
      </c>
      <c r="D1779" s="1" t="s">
        <v>2</v>
      </c>
      <c r="E1779" t="b">
        <v>0</v>
      </c>
      <c r="F1779">
        <v>4793</v>
      </c>
      <c r="G1779">
        <v>5034</v>
      </c>
      <c r="H1779" t="s">
        <v>3</v>
      </c>
      <c r="I1779" t="b" cm="1">
        <f t="array" ref="I1779">isDup(B1779,B1780, 0.7)</f>
        <v>0</v>
      </c>
    </row>
    <row r="1780" spans="1:9" ht="17" x14ac:dyDescent="0.2">
      <c r="A1780" t="s">
        <v>1171</v>
      </c>
      <c r="B1780" s="1" t="s">
        <v>1173</v>
      </c>
      <c r="C1780" t="s">
        <v>90</v>
      </c>
      <c r="D1780" s="1" t="s">
        <v>1174</v>
      </c>
      <c r="E1780" t="b">
        <v>0</v>
      </c>
      <c r="F1780">
        <v>41</v>
      </c>
      <c r="G1780">
        <v>6</v>
      </c>
      <c r="H1780" t="s">
        <v>11</v>
      </c>
      <c r="I1780" t="b" cm="1">
        <f t="array" ref="I1780">isDup(B1780,B1781, 0.7)</f>
        <v>0</v>
      </c>
    </row>
    <row r="1781" spans="1:9" ht="34" x14ac:dyDescent="0.2">
      <c r="A1781" t="s">
        <v>975</v>
      </c>
      <c r="B1781" s="1" t="s">
        <v>976</v>
      </c>
      <c r="C1781" t="s">
        <v>289</v>
      </c>
      <c r="D1781" s="1" t="s">
        <v>2</v>
      </c>
      <c r="E1781" t="b">
        <v>0</v>
      </c>
      <c r="F1781">
        <v>3632</v>
      </c>
      <c r="G1781">
        <v>3728</v>
      </c>
      <c r="H1781" t="s">
        <v>11</v>
      </c>
      <c r="I1781" t="b" cm="1">
        <f t="array" ref="I1781">isDup(B1781,B1782, 0.7)</f>
        <v>0</v>
      </c>
    </row>
    <row r="1782" spans="1:9" ht="17" x14ac:dyDescent="0.2">
      <c r="A1782" t="s">
        <v>6887</v>
      </c>
      <c r="B1782" s="1" t="s">
        <v>6888</v>
      </c>
      <c r="C1782" t="s">
        <v>4154</v>
      </c>
      <c r="D1782" s="1" t="s">
        <v>2167</v>
      </c>
      <c r="E1782" t="b">
        <v>0</v>
      </c>
      <c r="F1782">
        <v>6</v>
      </c>
      <c r="G1782">
        <v>26</v>
      </c>
      <c r="H1782" t="s">
        <v>11</v>
      </c>
      <c r="I1782" t="b" cm="1">
        <f t="array" ref="I1782">isDup(B1782,B1783, 0.7)</f>
        <v>0</v>
      </c>
    </row>
    <row r="1783" spans="1:9" ht="34" x14ac:dyDescent="0.2">
      <c r="A1783" t="s">
        <v>3005</v>
      </c>
      <c r="B1783" s="1" t="s">
        <v>3006</v>
      </c>
      <c r="C1783" t="s">
        <v>3007</v>
      </c>
      <c r="D1783" s="1" t="s">
        <v>2</v>
      </c>
      <c r="E1783" t="b">
        <v>0</v>
      </c>
      <c r="F1783">
        <v>10187</v>
      </c>
      <c r="G1783">
        <v>5143</v>
      </c>
      <c r="H1783" t="s">
        <v>11</v>
      </c>
      <c r="I1783" t="b" cm="1">
        <f t="array" ref="I1783">isDup(B1783,B1784, 0.7)</f>
        <v>0</v>
      </c>
    </row>
    <row r="1784" spans="1:9" ht="17" x14ac:dyDescent="0.2">
      <c r="A1784" t="s">
        <v>4522</v>
      </c>
      <c r="B1784" s="1" t="s">
        <v>4523</v>
      </c>
      <c r="C1784" t="s">
        <v>4524</v>
      </c>
      <c r="D1784" s="1" t="s">
        <v>4525</v>
      </c>
      <c r="E1784" t="b">
        <v>0</v>
      </c>
      <c r="F1784">
        <v>112</v>
      </c>
      <c r="G1784">
        <v>302</v>
      </c>
      <c r="H1784" t="s">
        <v>11</v>
      </c>
      <c r="I1784" t="b" cm="1">
        <f t="array" ref="I1784">isDup(B1784,B1785, 0.7)</f>
        <v>0</v>
      </c>
    </row>
    <row r="1785" spans="1:9" ht="17" x14ac:dyDescent="0.2">
      <c r="A1785" t="s">
        <v>5858</v>
      </c>
      <c r="B1785" s="1" t="s">
        <v>5859</v>
      </c>
      <c r="C1785" t="s">
        <v>82</v>
      </c>
      <c r="D1785" s="1" t="s">
        <v>2</v>
      </c>
      <c r="E1785" t="b">
        <v>0</v>
      </c>
      <c r="F1785">
        <v>5</v>
      </c>
      <c r="G1785">
        <v>376</v>
      </c>
      <c r="H1785" t="s">
        <v>11</v>
      </c>
      <c r="I1785" t="b" cm="1">
        <f t="array" ref="I1785">isDup(B1785,B1786, 0.7)</f>
        <v>0</v>
      </c>
    </row>
    <row r="1786" spans="1:9" ht="17" x14ac:dyDescent="0.2">
      <c r="A1786" t="s">
        <v>3753</v>
      </c>
      <c r="B1786" s="1" t="s">
        <v>3754</v>
      </c>
      <c r="C1786" t="s">
        <v>3755</v>
      </c>
      <c r="D1786" s="1" t="s">
        <v>3756</v>
      </c>
      <c r="E1786" t="b">
        <v>0</v>
      </c>
      <c r="F1786">
        <v>19</v>
      </c>
      <c r="G1786">
        <v>8</v>
      </c>
      <c r="H1786" t="s">
        <v>11</v>
      </c>
      <c r="I1786" t="b" cm="1">
        <f t="array" ref="I1786">isDup(B1786,B1787, 0.7)</f>
        <v>0</v>
      </c>
    </row>
    <row r="1787" spans="1:9" ht="17" x14ac:dyDescent="0.2">
      <c r="A1787" t="s">
        <v>5600</v>
      </c>
      <c r="B1787" s="1" t="s">
        <v>5601</v>
      </c>
      <c r="C1787" t="s">
        <v>3793</v>
      </c>
      <c r="D1787" s="1" t="s">
        <v>2</v>
      </c>
      <c r="E1787" t="b">
        <v>0</v>
      </c>
      <c r="F1787">
        <v>11</v>
      </c>
      <c r="G1787">
        <v>39</v>
      </c>
      <c r="H1787" t="s">
        <v>11</v>
      </c>
      <c r="I1787" t="b" cm="1">
        <f t="array" ref="I1787">isDup(B1787,B1788, 0.7)</f>
        <v>0</v>
      </c>
    </row>
    <row r="1788" spans="1:9" ht="17" x14ac:dyDescent="0.2">
      <c r="A1788" t="s">
        <v>1089</v>
      </c>
      <c r="B1788" s="1" t="s">
        <v>1090</v>
      </c>
      <c r="C1788" t="s">
        <v>1091</v>
      </c>
      <c r="D1788" s="1" t="s">
        <v>1092</v>
      </c>
      <c r="E1788" t="b">
        <v>0</v>
      </c>
      <c r="F1788">
        <v>386</v>
      </c>
      <c r="G1788">
        <v>407</v>
      </c>
      <c r="H1788" t="s">
        <v>641</v>
      </c>
      <c r="I1788" t="b" cm="1">
        <f t="array" ref="I1788">isDup(B1788,B1789, 0.7)</f>
        <v>0</v>
      </c>
    </row>
    <row r="1789" spans="1:9" ht="34" x14ac:dyDescent="0.2">
      <c r="A1789" t="s">
        <v>5036</v>
      </c>
      <c r="B1789" s="1" t="s">
        <v>5037</v>
      </c>
      <c r="C1789" t="s">
        <v>167</v>
      </c>
      <c r="D1789" s="1" t="s">
        <v>640</v>
      </c>
      <c r="E1789" t="b">
        <v>0</v>
      </c>
      <c r="F1789">
        <v>3259</v>
      </c>
      <c r="G1789">
        <v>2</v>
      </c>
      <c r="H1789" t="s">
        <v>641</v>
      </c>
      <c r="I1789" t="b" cm="1">
        <f t="array" ref="I1789">isDup(B1789,B1790, 0.7)</f>
        <v>0</v>
      </c>
    </row>
    <row r="1790" spans="1:9" ht="17" x14ac:dyDescent="0.2">
      <c r="A1790" t="s">
        <v>4393</v>
      </c>
      <c r="B1790" s="1" t="s">
        <v>4394</v>
      </c>
      <c r="C1790" t="s">
        <v>4395</v>
      </c>
      <c r="D1790" s="1" t="s">
        <v>2</v>
      </c>
      <c r="E1790" t="b">
        <v>0</v>
      </c>
      <c r="F1790">
        <v>25</v>
      </c>
      <c r="G1790">
        <v>222</v>
      </c>
      <c r="H1790" t="s">
        <v>83</v>
      </c>
      <c r="I1790" t="b" cm="1">
        <f t="array" ref="I1790">isDup(B1790,B1791, 0.7)</f>
        <v>0</v>
      </c>
    </row>
    <row r="1791" spans="1:9" ht="34" x14ac:dyDescent="0.2">
      <c r="A1791" t="s">
        <v>638</v>
      </c>
      <c r="B1791" s="1" t="s">
        <v>639</v>
      </c>
      <c r="C1791" t="s">
        <v>167</v>
      </c>
      <c r="D1791" s="1" t="s">
        <v>640</v>
      </c>
      <c r="E1791" t="b">
        <v>0</v>
      </c>
      <c r="F1791">
        <v>3259</v>
      </c>
      <c r="G1791">
        <v>2</v>
      </c>
      <c r="H1791" t="s">
        <v>641</v>
      </c>
      <c r="I1791" t="b" cm="1">
        <f t="array" ref="I1791">isDup(B1791,B1792, 0.7)</f>
        <v>0</v>
      </c>
    </row>
    <row r="1792" spans="1:9" ht="34" x14ac:dyDescent="0.2">
      <c r="A1792" t="s">
        <v>6475</v>
      </c>
      <c r="B1792" s="1" t="s">
        <v>6476</v>
      </c>
      <c r="C1792" t="s">
        <v>167</v>
      </c>
      <c r="D1792" s="1" t="s">
        <v>640</v>
      </c>
      <c r="E1792" t="b">
        <v>0</v>
      </c>
      <c r="F1792">
        <v>3258</v>
      </c>
      <c r="G1792">
        <v>2</v>
      </c>
      <c r="H1792" t="s">
        <v>641</v>
      </c>
      <c r="I1792" t="b" cm="1">
        <f t="array" ref="I1792">isDup(B1792,B1793, 0.7)</f>
        <v>0</v>
      </c>
    </row>
    <row r="1793" spans="1:9" ht="34" x14ac:dyDescent="0.2">
      <c r="A1793" t="s">
        <v>209</v>
      </c>
      <c r="B1793" s="1" t="s">
        <v>210</v>
      </c>
      <c r="C1793" t="s">
        <v>211</v>
      </c>
      <c r="D1793" s="1" t="s">
        <v>212</v>
      </c>
      <c r="E1793" t="b">
        <v>0</v>
      </c>
      <c r="F1793">
        <v>1315</v>
      </c>
      <c r="G1793">
        <v>541</v>
      </c>
      <c r="H1793" t="s">
        <v>11</v>
      </c>
      <c r="I1793" t="b" cm="1">
        <f t="array" ref="I1793">isDup(B1793,B1794, 0.7)</f>
        <v>0</v>
      </c>
    </row>
    <row r="1794" spans="1:9" ht="17" x14ac:dyDescent="0.2">
      <c r="A1794" t="s">
        <v>6659</v>
      </c>
      <c r="B1794" s="1" t="s">
        <v>6660</v>
      </c>
      <c r="C1794" t="s">
        <v>425</v>
      </c>
      <c r="D1794" s="1" t="s">
        <v>2</v>
      </c>
      <c r="E1794" t="b">
        <v>0</v>
      </c>
      <c r="F1794">
        <v>19</v>
      </c>
      <c r="G1794">
        <v>277</v>
      </c>
      <c r="H1794" t="s">
        <v>11</v>
      </c>
      <c r="I1794" t="b" cm="1">
        <f t="array" ref="I1794">isDup(B1794,B1795, 0.7)</f>
        <v>0</v>
      </c>
    </row>
    <row r="1795" spans="1:9" ht="17" x14ac:dyDescent="0.2">
      <c r="A1795" t="s">
        <v>4404</v>
      </c>
      <c r="B1795" s="1" t="s">
        <v>4405</v>
      </c>
      <c r="C1795" t="s">
        <v>2573</v>
      </c>
      <c r="D1795" s="1" t="s">
        <v>4406</v>
      </c>
      <c r="E1795" t="b">
        <v>0</v>
      </c>
      <c r="F1795">
        <v>3975</v>
      </c>
      <c r="G1795">
        <v>877</v>
      </c>
      <c r="H1795" t="s">
        <v>11</v>
      </c>
      <c r="I1795" t="b" cm="1">
        <f t="array" ref="I1795">isDup(B1795,B1796, 0.7)</f>
        <v>0</v>
      </c>
    </row>
    <row r="1796" spans="1:9" ht="17" x14ac:dyDescent="0.2">
      <c r="A1796" t="s">
        <v>5538</v>
      </c>
      <c r="B1796" s="1" t="s">
        <v>5539</v>
      </c>
      <c r="C1796" t="s">
        <v>2061</v>
      </c>
      <c r="D1796" s="1" t="s">
        <v>2</v>
      </c>
      <c r="E1796" t="b">
        <v>0</v>
      </c>
      <c r="F1796">
        <v>3518</v>
      </c>
      <c r="G1796">
        <v>990</v>
      </c>
      <c r="H1796" t="s">
        <v>11</v>
      </c>
      <c r="I1796" t="b" cm="1">
        <f t="array" ref="I1796">isDup(B1796,B1797, 0.7)</f>
        <v>0</v>
      </c>
    </row>
    <row r="1797" spans="1:9" ht="17" x14ac:dyDescent="0.2">
      <c r="A1797" t="s">
        <v>5921</v>
      </c>
      <c r="B1797" s="1" t="s">
        <v>5922</v>
      </c>
      <c r="C1797" t="s">
        <v>289</v>
      </c>
      <c r="D1797" s="1" t="s">
        <v>5923</v>
      </c>
      <c r="E1797" t="b">
        <v>0</v>
      </c>
      <c r="F1797">
        <v>248</v>
      </c>
      <c r="G1797">
        <v>48</v>
      </c>
      <c r="H1797" t="s">
        <v>11</v>
      </c>
      <c r="I1797" t="b" cm="1">
        <f t="array" ref="I1797">isDup(B1797,B1798, 0.7)</f>
        <v>0</v>
      </c>
    </row>
    <row r="1798" spans="1:9" ht="34" x14ac:dyDescent="0.2">
      <c r="A1798" t="s">
        <v>5742</v>
      </c>
      <c r="B1798" s="1" t="s">
        <v>5743</v>
      </c>
      <c r="C1798" t="s">
        <v>1681</v>
      </c>
      <c r="D1798" s="1" t="s">
        <v>5744</v>
      </c>
      <c r="E1798" t="b">
        <v>0</v>
      </c>
      <c r="F1798">
        <v>175</v>
      </c>
      <c r="G1798">
        <v>296</v>
      </c>
      <c r="H1798" t="s">
        <v>11</v>
      </c>
      <c r="I1798" t="b" cm="1">
        <f t="array" ref="I1798">isDup(B1798,B1799, 0.7)</f>
        <v>0</v>
      </c>
    </row>
    <row r="1799" spans="1:9" ht="34" x14ac:dyDescent="0.2">
      <c r="A1799" t="s">
        <v>1393</v>
      </c>
      <c r="B1799" s="1" t="s">
        <v>1394</v>
      </c>
      <c r="C1799" t="s">
        <v>941</v>
      </c>
      <c r="D1799" s="1" t="s">
        <v>1395</v>
      </c>
      <c r="E1799" t="b">
        <v>0</v>
      </c>
      <c r="F1799">
        <v>373</v>
      </c>
      <c r="G1799">
        <v>73</v>
      </c>
      <c r="H1799" t="s">
        <v>11</v>
      </c>
      <c r="I1799" t="b" cm="1">
        <f t="array" ref="I1799">isDup(B1799,B1800, 0.7)</f>
        <v>0</v>
      </c>
    </row>
    <row r="1800" spans="1:9" ht="34" x14ac:dyDescent="0.2">
      <c r="A1800" t="s">
        <v>6148</v>
      </c>
      <c r="B1800" s="1" t="s">
        <v>6149</v>
      </c>
      <c r="C1800" t="s">
        <v>5475</v>
      </c>
      <c r="D1800" s="1" t="s">
        <v>6150</v>
      </c>
      <c r="E1800" t="b">
        <v>0</v>
      </c>
      <c r="F1800">
        <v>283</v>
      </c>
      <c r="G1800">
        <v>181</v>
      </c>
      <c r="H1800" t="s">
        <v>11</v>
      </c>
      <c r="I1800" t="b" cm="1">
        <f t="array" ref="I1800">isDup(B1800,B1801, 0.7)</f>
        <v>0</v>
      </c>
    </row>
    <row r="1801" spans="1:9" ht="17" x14ac:dyDescent="0.2">
      <c r="A1801" t="s">
        <v>3750</v>
      </c>
      <c r="B1801" s="1" t="s">
        <v>3751</v>
      </c>
      <c r="C1801" t="s">
        <v>3444</v>
      </c>
      <c r="D1801" s="1" t="s">
        <v>3752</v>
      </c>
      <c r="E1801" t="b">
        <v>0</v>
      </c>
      <c r="F1801">
        <v>16</v>
      </c>
      <c r="G1801">
        <v>100</v>
      </c>
      <c r="H1801" t="s">
        <v>11</v>
      </c>
      <c r="I1801" t="b" cm="1">
        <f t="array" ref="I1801">isDup(B1801,B1802, 0.7)</f>
        <v>0</v>
      </c>
    </row>
    <row r="1802" spans="1:9" ht="17" x14ac:dyDescent="0.2">
      <c r="A1802" t="s">
        <v>3067</v>
      </c>
      <c r="B1802" s="1" t="s">
        <v>3068</v>
      </c>
      <c r="C1802" t="s">
        <v>3069</v>
      </c>
      <c r="D1802" s="1" t="s">
        <v>2</v>
      </c>
      <c r="E1802" t="b">
        <v>0</v>
      </c>
      <c r="F1802">
        <v>121</v>
      </c>
      <c r="G1802">
        <v>119</v>
      </c>
      <c r="H1802" t="s">
        <v>11</v>
      </c>
      <c r="I1802" t="b" cm="1">
        <f t="array" ref="I1802">isDup(B1802,B1803, 0.7)</f>
        <v>0</v>
      </c>
    </row>
    <row r="1803" spans="1:9" ht="17" x14ac:dyDescent="0.2">
      <c r="A1803" t="s">
        <v>4008</v>
      </c>
      <c r="B1803" s="1" t="s">
        <v>4009</v>
      </c>
      <c r="C1803" t="s">
        <v>4010</v>
      </c>
      <c r="D1803" s="1" t="s">
        <v>2</v>
      </c>
      <c r="E1803" t="b">
        <v>0</v>
      </c>
      <c r="F1803">
        <v>72</v>
      </c>
      <c r="G1803">
        <v>239</v>
      </c>
      <c r="H1803" t="s">
        <v>11</v>
      </c>
      <c r="I1803" t="b" cm="1">
        <f t="array" ref="I1803">isDup(B1803,B1804, 0.7)</f>
        <v>0</v>
      </c>
    </row>
    <row r="1804" spans="1:9" ht="17" x14ac:dyDescent="0.2">
      <c r="A1804" t="s">
        <v>2100</v>
      </c>
      <c r="B1804" s="1" t="s">
        <v>2101</v>
      </c>
      <c r="C1804" t="s">
        <v>2102</v>
      </c>
      <c r="D1804" s="1" t="s">
        <v>928</v>
      </c>
      <c r="E1804" t="b">
        <v>0</v>
      </c>
      <c r="F1804">
        <v>26</v>
      </c>
      <c r="G1804">
        <v>167</v>
      </c>
      <c r="H1804" t="s">
        <v>11</v>
      </c>
      <c r="I1804" t="b" cm="1">
        <f t="array" ref="I1804">isDup(B1804,B1805, 0.7)</f>
        <v>0</v>
      </c>
    </row>
    <row r="1805" spans="1:9" ht="17" x14ac:dyDescent="0.2">
      <c r="A1805" t="s">
        <v>4150</v>
      </c>
      <c r="B1805" s="1" t="s">
        <v>4151</v>
      </c>
      <c r="C1805" t="s">
        <v>173</v>
      </c>
      <c r="D1805" s="1" t="s">
        <v>2</v>
      </c>
      <c r="E1805" t="b">
        <v>0</v>
      </c>
      <c r="F1805">
        <v>184</v>
      </c>
      <c r="G1805">
        <v>70</v>
      </c>
      <c r="H1805" t="s">
        <v>11</v>
      </c>
      <c r="I1805" t="b" cm="1">
        <f t="array" ref="I1805">isDup(B1805,B1806, 0.7)</f>
        <v>0</v>
      </c>
    </row>
    <row r="1806" spans="1:9" ht="34" x14ac:dyDescent="0.2">
      <c r="A1806" t="s">
        <v>6836</v>
      </c>
      <c r="B1806" s="1" t="s">
        <v>6837</v>
      </c>
      <c r="C1806" t="s">
        <v>1405</v>
      </c>
      <c r="D1806" s="1" t="s">
        <v>2</v>
      </c>
      <c r="E1806" t="b">
        <v>0</v>
      </c>
      <c r="F1806">
        <v>2</v>
      </c>
      <c r="G1806">
        <v>23</v>
      </c>
      <c r="H1806" t="s">
        <v>11</v>
      </c>
      <c r="I1806" t="b" cm="1">
        <f t="array" ref="I1806">isDup(B1806,B1807, 0.7)</f>
        <v>0</v>
      </c>
    </row>
    <row r="1807" spans="1:9" ht="34" x14ac:dyDescent="0.2">
      <c r="A1807" t="s">
        <v>4428</v>
      </c>
      <c r="B1807" s="1" t="s">
        <v>4429</v>
      </c>
      <c r="C1807" t="s">
        <v>4430</v>
      </c>
      <c r="D1807" s="1" t="s">
        <v>4431</v>
      </c>
      <c r="E1807" t="b">
        <v>0</v>
      </c>
      <c r="F1807">
        <v>4</v>
      </c>
      <c r="G1807">
        <v>51</v>
      </c>
      <c r="H1807" t="s">
        <v>11</v>
      </c>
      <c r="I1807" t="b" cm="1">
        <f t="array" ref="I1807">isDup(B1807,B1808, 0.7)</f>
        <v>0</v>
      </c>
    </row>
    <row r="1808" spans="1:9" ht="34" x14ac:dyDescent="0.2">
      <c r="A1808" t="s">
        <v>6362</v>
      </c>
      <c r="B1808" s="1" t="s">
        <v>6363</v>
      </c>
      <c r="C1808" t="s">
        <v>22</v>
      </c>
      <c r="D1808" s="1" t="s">
        <v>1736</v>
      </c>
      <c r="E1808" t="b">
        <v>0</v>
      </c>
      <c r="F1808">
        <v>312</v>
      </c>
      <c r="G1808">
        <v>498</v>
      </c>
      <c r="H1808" t="s">
        <v>11</v>
      </c>
      <c r="I1808" t="b" cm="1">
        <f t="array" ref="I1808">isDup(B1808,B1809, 0.7)</f>
        <v>0</v>
      </c>
    </row>
    <row r="1809" spans="1:9" ht="34" x14ac:dyDescent="0.2">
      <c r="A1809" t="s">
        <v>2783</v>
      </c>
      <c r="B1809" s="1" t="s">
        <v>2784</v>
      </c>
      <c r="C1809" t="s">
        <v>2785</v>
      </c>
      <c r="D1809" s="1" t="s">
        <v>2276</v>
      </c>
      <c r="E1809" t="b">
        <v>0</v>
      </c>
      <c r="F1809">
        <v>4817</v>
      </c>
      <c r="G1809">
        <v>936</v>
      </c>
      <c r="H1809" t="s">
        <v>11</v>
      </c>
      <c r="I1809" t="b" cm="1">
        <f t="array" ref="I1809">isDup(B1809,B1810, 0.7)</f>
        <v>0</v>
      </c>
    </row>
    <row r="1810" spans="1:9" ht="17" x14ac:dyDescent="0.2">
      <c r="A1810" t="s">
        <v>4050</v>
      </c>
      <c r="B1810" s="1" t="s">
        <v>4051</v>
      </c>
      <c r="C1810" t="s">
        <v>4052</v>
      </c>
      <c r="D1810" s="1" t="s">
        <v>2</v>
      </c>
      <c r="E1810" t="b">
        <v>0</v>
      </c>
      <c r="F1810">
        <v>127</v>
      </c>
      <c r="G1810">
        <v>284</v>
      </c>
      <c r="H1810" t="s">
        <v>11</v>
      </c>
      <c r="I1810" t="b" cm="1">
        <f t="array" ref="I1810">isDup(B1810,B1811, 0.7)</f>
        <v>0</v>
      </c>
    </row>
    <row r="1811" spans="1:9" ht="17" x14ac:dyDescent="0.2">
      <c r="A1811" t="s">
        <v>3146</v>
      </c>
      <c r="B1811" s="1" t="s">
        <v>3147</v>
      </c>
      <c r="C1811" t="s">
        <v>332</v>
      </c>
      <c r="D1811" s="1" t="s">
        <v>971</v>
      </c>
      <c r="E1811" t="b">
        <v>0</v>
      </c>
      <c r="F1811">
        <v>300</v>
      </c>
      <c r="G1811">
        <v>681</v>
      </c>
      <c r="H1811" t="s">
        <v>47</v>
      </c>
      <c r="I1811" t="b" cm="1">
        <f t="array" ref="I1811">isDup(B1811,B1812, 0.7)</f>
        <v>0</v>
      </c>
    </row>
    <row r="1812" spans="1:9" ht="17" x14ac:dyDescent="0.2">
      <c r="A1812" t="s">
        <v>4148</v>
      </c>
      <c r="B1812" s="1" t="s">
        <v>4149</v>
      </c>
      <c r="C1812" t="s">
        <v>289</v>
      </c>
      <c r="D1812" s="1" t="s">
        <v>2</v>
      </c>
      <c r="E1812" t="b">
        <v>0</v>
      </c>
      <c r="F1812">
        <v>3634</v>
      </c>
      <c r="G1812">
        <v>3732</v>
      </c>
      <c r="H1812" t="s">
        <v>11</v>
      </c>
      <c r="I1812" t="b" cm="1">
        <f t="array" ref="I1812">isDup(B1812,B1813, 0.7)</f>
        <v>0</v>
      </c>
    </row>
    <row r="1813" spans="1:9" ht="34" x14ac:dyDescent="0.2">
      <c r="A1813" t="s">
        <v>6838</v>
      </c>
      <c r="B1813" s="1" t="s">
        <v>6839</v>
      </c>
      <c r="C1813" t="s">
        <v>3665</v>
      </c>
      <c r="D1813" s="1" t="s">
        <v>6840</v>
      </c>
      <c r="E1813" t="b">
        <v>0</v>
      </c>
      <c r="F1813">
        <v>872</v>
      </c>
      <c r="G1813">
        <v>542</v>
      </c>
      <c r="H1813" t="s">
        <v>11</v>
      </c>
      <c r="I1813" t="b" cm="1">
        <f t="array" ref="I1813">isDup(B1813,B1814, 0.7)</f>
        <v>0</v>
      </c>
    </row>
    <row r="1814" spans="1:9" ht="17" x14ac:dyDescent="0.2">
      <c r="A1814" t="s">
        <v>1864</v>
      </c>
      <c r="B1814" s="1" t="s">
        <v>1865</v>
      </c>
      <c r="C1814" t="s">
        <v>1866</v>
      </c>
      <c r="D1814" s="1" t="s">
        <v>316</v>
      </c>
      <c r="E1814" t="b">
        <v>0</v>
      </c>
      <c r="F1814">
        <v>778</v>
      </c>
      <c r="G1814">
        <v>775</v>
      </c>
      <c r="H1814" t="s">
        <v>11</v>
      </c>
      <c r="I1814" t="b" cm="1">
        <f t="array" ref="I1814">isDup(B1814,B1815, 0.7)</f>
        <v>0</v>
      </c>
    </row>
    <row r="1815" spans="1:9" ht="17" x14ac:dyDescent="0.2">
      <c r="A1815" t="s">
        <v>4909</v>
      </c>
      <c r="B1815" s="1" t="s">
        <v>4910</v>
      </c>
      <c r="C1815" t="s">
        <v>1250</v>
      </c>
      <c r="D1815" s="1" t="s">
        <v>322</v>
      </c>
      <c r="E1815" t="b">
        <v>0</v>
      </c>
      <c r="F1815">
        <v>51</v>
      </c>
      <c r="G1815">
        <v>302</v>
      </c>
      <c r="H1815" t="s">
        <v>11</v>
      </c>
      <c r="I1815" t="b" cm="1">
        <f t="array" ref="I1815">isDup(B1815,B1816, 0.7)</f>
        <v>0</v>
      </c>
    </row>
    <row r="1816" spans="1:9" ht="17" x14ac:dyDescent="0.2">
      <c r="A1816" t="s">
        <v>1639</v>
      </c>
      <c r="B1816" s="1" t="s">
        <v>1640</v>
      </c>
      <c r="C1816" t="s">
        <v>591</v>
      </c>
      <c r="D1816" s="1" t="s">
        <v>1641</v>
      </c>
      <c r="E1816" t="b">
        <v>0</v>
      </c>
      <c r="F1816">
        <v>1541</v>
      </c>
      <c r="G1816">
        <v>241</v>
      </c>
      <c r="H1816" t="s">
        <v>11</v>
      </c>
      <c r="I1816" t="b" cm="1">
        <f t="array" ref="I1816">isDup(B1816,B1817, 0.7)</f>
        <v>0</v>
      </c>
    </row>
    <row r="1817" spans="1:9" ht="17" x14ac:dyDescent="0.2">
      <c r="A1817" t="s">
        <v>4157</v>
      </c>
      <c r="B1817" s="1" t="s">
        <v>4158</v>
      </c>
      <c r="C1817" t="s">
        <v>575</v>
      </c>
      <c r="D1817" s="1" t="s">
        <v>2</v>
      </c>
      <c r="E1817" t="b">
        <v>0</v>
      </c>
      <c r="F1817">
        <v>18</v>
      </c>
      <c r="G1817">
        <v>154</v>
      </c>
      <c r="H1817" t="s">
        <v>11</v>
      </c>
      <c r="I1817" t="b" cm="1">
        <f t="array" ref="I1817">isDup(B1817,B1818, 0.7)</f>
        <v>0</v>
      </c>
    </row>
    <row r="1818" spans="1:9" ht="17" x14ac:dyDescent="0.2">
      <c r="A1818" t="s">
        <v>4017</v>
      </c>
      <c r="B1818" s="1" t="s">
        <v>4018</v>
      </c>
      <c r="C1818" t="s">
        <v>1592</v>
      </c>
      <c r="D1818" s="1" t="s">
        <v>1593</v>
      </c>
      <c r="E1818" t="b">
        <v>0</v>
      </c>
      <c r="F1818">
        <v>4</v>
      </c>
      <c r="G1818">
        <v>0</v>
      </c>
      <c r="H1818" t="s">
        <v>11</v>
      </c>
      <c r="I1818" t="b" cm="1">
        <f t="array" ref="I1818">isDup(B1818,B1819, 0.7)</f>
        <v>0</v>
      </c>
    </row>
    <row r="1819" spans="1:9" ht="34" x14ac:dyDescent="0.2">
      <c r="A1819" t="s">
        <v>767</v>
      </c>
      <c r="B1819" s="1" t="s">
        <v>768</v>
      </c>
      <c r="C1819" t="s">
        <v>769</v>
      </c>
      <c r="D1819" s="1" t="s">
        <v>770</v>
      </c>
      <c r="E1819" t="b">
        <v>0</v>
      </c>
      <c r="F1819">
        <v>909</v>
      </c>
      <c r="G1819">
        <v>826</v>
      </c>
      <c r="H1819" t="s">
        <v>11</v>
      </c>
      <c r="I1819" t="b" cm="1">
        <f t="array" ref="I1819">isDup(B1819,B1820, 0.7)</f>
        <v>0</v>
      </c>
    </row>
    <row r="1820" spans="1:9" ht="17" x14ac:dyDescent="0.2">
      <c r="A1820" t="s">
        <v>5015</v>
      </c>
      <c r="B1820" s="1" t="s">
        <v>5016</v>
      </c>
      <c r="C1820" t="s">
        <v>1592</v>
      </c>
      <c r="D1820" s="1" t="s">
        <v>1593</v>
      </c>
      <c r="E1820" t="b">
        <v>0</v>
      </c>
      <c r="F1820">
        <v>4</v>
      </c>
      <c r="G1820">
        <v>0</v>
      </c>
      <c r="H1820" t="s">
        <v>11</v>
      </c>
      <c r="I1820" t="b" cm="1">
        <f t="array" ref="I1820">isDup(B1820,B1821, 0.7)</f>
        <v>0</v>
      </c>
    </row>
    <row r="1821" spans="1:9" ht="34" x14ac:dyDescent="0.2">
      <c r="A1821" t="s">
        <v>1000</v>
      </c>
      <c r="B1821" s="1" t="s">
        <v>1001</v>
      </c>
      <c r="C1821" t="s">
        <v>736</v>
      </c>
      <c r="D1821" s="1" t="s">
        <v>1002</v>
      </c>
      <c r="E1821" t="b">
        <v>0</v>
      </c>
      <c r="F1821">
        <v>298</v>
      </c>
      <c r="G1821">
        <v>126</v>
      </c>
      <c r="H1821" t="s">
        <v>11</v>
      </c>
      <c r="I1821" t="b" cm="1">
        <f t="array" ref="I1821">isDup(B1821,B1822, 0.7)</f>
        <v>0</v>
      </c>
    </row>
    <row r="1822" spans="1:9" ht="17" x14ac:dyDescent="0.2">
      <c r="A1822" t="s">
        <v>3227</v>
      </c>
      <c r="B1822" s="1" t="s">
        <v>3228</v>
      </c>
      <c r="C1822" t="s">
        <v>1495</v>
      </c>
      <c r="D1822" s="1" t="s">
        <v>1496</v>
      </c>
      <c r="E1822" t="b">
        <v>0</v>
      </c>
      <c r="F1822">
        <v>663</v>
      </c>
      <c r="G1822">
        <v>162</v>
      </c>
      <c r="H1822" t="s">
        <v>11</v>
      </c>
      <c r="I1822" t="b" cm="1">
        <f t="array" ref="I1822">isDup(B1822,B1823, 0.7)</f>
        <v>0</v>
      </c>
    </row>
    <row r="1823" spans="1:9" ht="34" x14ac:dyDescent="0.2">
      <c r="A1823" t="s">
        <v>3564</v>
      </c>
      <c r="B1823" s="1" t="s">
        <v>3565</v>
      </c>
      <c r="C1823" t="s">
        <v>3566</v>
      </c>
      <c r="D1823" s="1" t="s">
        <v>3567</v>
      </c>
      <c r="E1823" t="b">
        <v>0</v>
      </c>
      <c r="F1823">
        <v>639</v>
      </c>
      <c r="G1823">
        <v>181</v>
      </c>
      <c r="H1823" t="s">
        <v>11</v>
      </c>
      <c r="I1823" t="b" cm="1">
        <f t="array" ref="I1823">isDup(B1823,B1824, 0.7)</f>
        <v>0</v>
      </c>
    </row>
    <row r="1824" spans="1:9" ht="17" x14ac:dyDescent="0.2">
      <c r="A1824" t="s">
        <v>119</v>
      </c>
      <c r="B1824" s="1" t="s">
        <v>120</v>
      </c>
      <c r="C1824" t="s">
        <v>121</v>
      </c>
      <c r="D1824" s="1" t="s">
        <v>2</v>
      </c>
      <c r="E1824" t="b">
        <v>0</v>
      </c>
      <c r="F1824">
        <v>218</v>
      </c>
      <c r="G1824">
        <v>126</v>
      </c>
      <c r="H1824" t="s">
        <v>122</v>
      </c>
      <c r="I1824" t="b" cm="1">
        <f t="array" ref="I1824">isDup(B1824,B1825, 0.7)</f>
        <v>0</v>
      </c>
    </row>
    <row r="1825" spans="1:9" ht="17" x14ac:dyDescent="0.2">
      <c r="A1825" t="s">
        <v>5616</v>
      </c>
      <c r="B1825" s="1" t="s">
        <v>5617</v>
      </c>
      <c r="C1825" t="s">
        <v>5618</v>
      </c>
      <c r="D1825" s="1" t="s">
        <v>2</v>
      </c>
      <c r="E1825" t="b">
        <v>0</v>
      </c>
      <c r="F1825">
        <v>204</v>
      </c>
      <c r="G1825">
        <v>137</v>
      </c>
      <c r="H1825" t="s">
        <v>11</v>
      </c>
      <c r="I1825" t="b" cm="1">
        <f t="array" ref="I1825">isDup(B1825,B1826, 0.7)</f>
        <v>0</v>
      </c>
    </row>
    <row r="1826" spans="1:9" ht="17" x14ac:dyDescent="0.2">
      <c r="A1826" t="s">
        <v>3593</v>
      </c>
      <c r="B1826" s="1" t="s">
        <v>3594</v>
      </c>
      <c r="C1826" t="s">
        <v>289</v>
      </c>
      <c r="D1826" s="1" t="s">
        <v>2</v>
      </c>
      <c r="E1826" t="b">
        <v>0</v>
      </c>
      <c r="F1826">
        <v>3634</v>
      </c>
      <c r="G1826">
        <v>3732</v>
      </c>
      <c r="H1826" t="s">
        <v>11</v>
      </c>
      <c r="I1826" t="b" cm="1">
        <f t="array" ref="I1826">isDup(B1826,B1827, 0.7)</f>
        <v>0</v>
      </c>
    </row>
    <row r="1827" spans="1:9" ht="17" x14ac:dyDescent="0.2">
      <c r="A1827" t="s">
        <v>5726</v>
      </c>
      <c r="B1827" s="1" t="s">
        <v>5727</v>
      </c>
      <c r="C1827" t="s">
        <v>4452</v>
      </c>
      <c r="D1827" s="1" t="s">
        <v>399</v>
      </c>
      <c r="E1827" t="b">
        <v>0</v>
      </c>
      <c r="F1827">
        <v>2878</v>
      </c>
      <c r="G1827">
        <v>4986</v>
      </c>
      <c r="H1827" t="s">
        <v>11</v>
      </c>
      <c r="I1827" t="b" cm="1">
        <f t="array" ref="I1827">isDup(B1827,B1828, 0.7)</f>
        <v>0</v>
      </c>
    </row>
    <row r="1828" spans="1:9" ht="34" x14ac:dyDescent="0.2">
      <c r="A1828" t="s">
        <v>2793</v>
      </c>
      <c r="B1828" s="1" t="s">
        <v>2794</v>
      </c>
      <c r="C1828" t="s">
        <v>260</v>
      </c>
      <c r="D1828" s="1" t="s">
        <v>2</v>
      </c>
      <c r="E1828" t="b">
        <v>0</v>
      </c>
      <c r="F1828">
        <v>41</v>
      </c>
      <c r="G1828">
        <v>34</v>
      </c>
      <c r="H1828" t="s">
        <v>11</v>
      </c>
      <c r="I1828" t="b" cm="1">
        <f t="array" ref="I1828">isDup(B1828,B1829, 0.7)</f>
        <v>0</v>
      </c>
    </row>
    <row r="1829" spans="1:9" ht="34" x14ac:dyDescent="0.2">
      <c r="A1829" t="s">
        <v>115</v>
      </c>
      <c r="B1829" s="1" t="s">
        <v>116</v>
      </c>
      <c r="C1829" t="s">
        <v>117</v>
      </c>
      <c r="D1829" s="1" t="s">
        <v>118</v>
      </c>
      <c r="E1829" t="b">
        <v>0</v>
      </c>
      <c r="F1829">
        <v>1032</v>
      </c>
      <c r="G1829">
        <v>981</v>
      </c>
      <c r="H1829" t="s">
        <v>11</v>
      </c>
      <c r="I1829" t="b" cm="1">
        <f t="array" ref="I1829">isDup(B1829,B1830, 0.7)</f>
        <v>0</v>
      </c>
    </row>
    <row r="1830" spans="1:9" ht="17" x14ac:dyDescent="0.2">
      <c r="A1830" t="s">
        <v>6858</v>
      </c>
      <c r="B1830" s="1" t="s">
        <v>6859</v>
      </c>
      <c r="C1830" t="s">
        <v>5926</v>
      </c>
      <c r="D1830" s="1" t="s">
        <v>6860</v>
      </c>
      <c r="E1830" t="b">
        <v>0</v>
      </c>
      <c r="F1830">
        <v>8594</v>
      </c>
      <c r="G1830">
        <v>5249</v>
      </c>
      <c r="H1830" t="s">
        <v>11</v>
      </c>
      <c r="I1830" t="b" cm="1">
        <f t="array" ref="I1830">isDup(B1830,B1831, 0.7)</f>
        <v>0</v>
      </c>
    </row>
    <row r="1831" spans="1:9" ht="17" x14ac:dyDescent="0.2">
      <c r="A1831" t="s">
        <v>5106</v>
      </c>
      <c r="B1831" s="1" t="s">
        <v>5107</v>
      </c>
      <c r="C1831" t="s">
        <v>557</v>
      </c>
      <c r="D1831" s="1" t="s">
        <v>2</v>
      </c>
      <c r="E1831" t="b">
        <v>0</v>
      </c>
      <c r="F1831">
        <v>4</v>
      </c>
      <c r="G1831">
        <v>37</v>
      </c>
      <c r="H1831" t="s">
        <v>11</v>
      </c>
      <c r="I1831" t="b" cm="1">
        <f t="array" ref="I1831">isDup(B1831,B1832, 0.7)</f>
        <v>0</v>
      </c>
    </row>
    <row r="1832" spans="1:9" ht="34" x14ac:dyDescent="0.2">
      <c r="A1832" t="s">
        <v>6874</v>
      </c>
      <c r="B1832" s="1" t="s">
        <v>6875</v>
      </c>
      <c r="C1832" t="s">
        <v>3848</v>
      </c>
      <c r="D1832" s="1" t="s">
        <v>6876</v>
      </c>
      <c r="E1832" t="b">
        <v>0</v>
      </c>
      <c r="F1832">
        <v>26</v>
      </c>
      <c r="G1832">
        <v>36</v>
      </c>
      <c r="H1832" t="s">
        <v>11</v>
      </c>
      <c r="I1832" t="b" cm="1">
        <f t="array" ref="I1832">isDup(B1832,B1833, 0.7)</f>
        <v>0</v>
      </c>
    </row>
    <row r="1833" spans="1:9" ht="17" x14ac:dyDescent="0.2">
      <c r="A1833" t="s">
        <v>6114</v>
      </c>
      <c r="B1833" s="1" t="s">
        <v>6115</v>
      </c>
      <c r="C1833" t="s">
        <v>5414</v>
      </c>
      <c r="D1833" s="1" t="s">
        <v>322</v>
      </c>
      <c r="E1833" t="b">
        <v>0</v>
      </c>
      <c r="F1833">
        <v>1123</v>
      </c>
      <c r="G1833">
        <v>902</v>
      </c>
      <c r="H1833" t="s">
        <v>11</v>
      </c>
      <c r="I1833" t="b" cm="1">
        <f t="array" ref="I1833">isDup(B1833,B1834, 0.7)</f>
        <v>0</v>
      </c>
    </row>
    <row r="1834" spans="1:9" ht="17" x14ac:dyDescent="0.2">
      <c r="A1834" t="s">
        <v>1168</v>
      </c>
      <c r="B1834" s="1" t="s">
        <v>1169</v>
      </c>
      <c r="C1834" t="s">
        <v>1170</v>
      </c>
      <c r="D1834" s="1" t="s">
        <v>87</v>
      </c>
      <c r="E1834" t="b">
        <v>0</v>
      </c>
      <c r="F1834">
        <v>1427</v>
      </c>
      <c r="G1834">
        <v>649</v>
      </c>
      <c r="H1834" t="s">
        <v>11</v>
      </c>
      <c r="I1834" t="b" cm="1">
        <f t="array" ref="I1834">isDup(B1834,B1835, 0.7)</f>
        <v>0</v>
      </c>
    </row>
    <row r="1835" spans="1:9" ht="17" x14ac:dyDescent="0.2">
      <c r="A1835" t="s">
        <v>4470</v>
      </c>
      <c r="B1835" s="1" t="s">
        <v>4471</v>
      </c>
      <c r="C1835" t="s">
        <v>319</v>
      </c>
      <c r="D1835" s="1" t="s">
        <v>2</v>
      </c>
      <c r="E1835" t="b">
        <v>0</v>
      </c>
      <c r="F1835">
        <v>5</v>
      </c>
      <c r="G1835">
        <v>9</v>
      </c>
      <c r="H1835" t="s">
        <v>11</v>
      </c>
      <c r="I1835" t="b" cm="1">
        <f t="array" ref="I1835">isDup(B1835,B1836, 0.7)</f>
        <v>0</v>
      </c>
    </row>
    <row r="1836" spans="1:9" ht="34" x14ac:dyDescent="0.2">
      <c r="A1836" t="s">
        <v>761</v>
      </c>
      <c r="B1836" s="1" t="s">
        <v>762</v>
      </c>
      <c r="C1836" t="s">
        <v>763</v>
      </c>
      <c r="D1836" s="1" t="s">
        <v>740</v>
      </c>
      <c r="E1836" t="b">
        <v>0</v>
      </c>
      <c r="F1836">
        <v>56</v>
      </c>
      <c r="G1836">
        <v>272</v>
      </c>
      <c r="H1836" t="s">
        <v>11</v>
      </c>
      <c r="I1836" t="b" cm="1">
        <f t="array" ref="I1836">isDup(B1836,B1837, 0.7)</f>
        <v>0</v>
      </c>
    </row>
    <row r="1837" spans="1:9" ht="17" x14ac:dyDescent="0.2">
      <c r="A1837" t="s">
        <v>2916</v>
      </c>
      <c r="B1837" s="1" t="s">
        <v>2917</v>
      </c>
      <c r="C1837" t="s">
        <v>368</v>
      </c>
      <c r="D1837" s="1" t="s">
        <v>2918</v>
      </c>
      <c r="E1837" t="b">
        <v>0</v>
      </c>
      <c r="F1837">
        <v>41</v>
      </c>
      <c r="G1837">
        <v>165</v>
      </c>
      <c r="H1837" t="s">
        <v>2919</v>
      </c>
      <c r="I1837" t="b" cm="1">
        <f t="array" ref="I1837">isDup(B1837,B1838, 0.7)</f>
        <v>0</v>
      </c>
    </row>
    <row r="1838" spans="1:9" ht="34" x14ac:dyDescent="0.2">
      <c r="A1838" t="s">
        <v>5806</v>
      </c>
      <c r="B1838" s="1" t="s">
        <v>5807</v>
      </c>
      <c r="C1838" t="s">
        <v>5808</v>
      </c>
      <c r="D1838" s="1" t="s">
        <v>2</v>
      </c>
      <c r="E1838" t="b">
        <v>0</v>
      </c>
      <c r="F1838">
        <v>208</v>
      </c>
      <c r="G1838">
        <v>166</v>
      </c>
      <c r="H1838" t="s">
        <v>11</v>
      </c>
      <c r="I1838" t="b" cm="1">
        <f t="array" ref="I1838">isDup(B1838,B1839, 0.7)</f>
        <v>0</v>
      </c>
    </row>
    <row r="1839" spans="1:9" ht="34" x14ac:dyDescent="0.2">
      <c r="A1839" t="s">
        <v>5750</v>
      </c>
      <c r="B1839" s="1" t="s">
        <v>5751</v>
      </c>
      <c r="C1839" t="s">
        <v>3886</v>
      </c>
      <c r="D1839" s="1" t="s">
        <v>2</v>
      </c>
      <c r="E1839" t="b">
        <v>0</v>
      </c>
      <c r="F1839">
        <v>103</v>
      </c>
      <c r="G1839">
        <v>137</v>
      </c>
      <c r="H1839" t="s">
        <v>11</v>
      </c>
      <c r="I1839" t="b" cm="1">
        <f t="array" ref="I1839">isDup(B1839,B1840, 0.7)</f>
        <v>0</v>
      </c>
    </row>
    <row r="1840" spans="1:9" ht="17" x14ac:dyDescent="0.2">
      <c r="A1840" t="s">
        <v>4733</v>
      </c>
      <c r="B1840" s="1" t="s">
        <v>4734</v>
      </c>
      <c r="C1840" t="s">
        <v>522</v>
      </c>
      <c r="D1840" s="1" t="s">
        <v>4735</v>
      </c>
      <c r="E1840" t="b">
        <v>0</v>
      </c>
      <c r="F1840">
        <v>2177</v>
      </c>
      <c r="G1840">
        <v>679</v>
      </c>
      <c r="H1840" t="s">
        <v>11</v>
      </c>
      <c r="I1840" t="b" cm="1">
        <f t="array" ref="I1840">isDup(B1840,B1841, 0.7)</f>
        <v>0</v>
      </c>
    </row>
    <row r="1841" spans="1:9" ht="17" x14ac:dyDescent="0.2">
      <c r="A1841" t="s">
        <v>3978</v>
      </c>
      <c r="B1841" s="1" t="s">
        <v>3979</v>
      </c>
      <c r="C1841" t="s">
        <v>3980</v>
      </c>
      <c r="D1841" s="1" t="s">
        <v>2</v>
      </c>
      <c r="E1841" t="b">
        <v>0</v>
      </c>
      <c r="F1841">
        <v>160</v>
      </c>
      <c r="G1841">
        <v>540</v>
      </c>
      <c r="H1841" t="s">
        <v>11</v>
      </c>
      <c r="I1841" t="b" cm="1">
        <f t="array" ref="I1841">isDup(B1841,B1842, 0.7)</f>
        <v>0</v>
      </c>
    </row>
    <row r="1842" spans="1:9" ht="17" x14ac:dyDescent="0.2">
      <c r="A1842" t="s">
        <v>92</v>
      </c>
      <c r="B1842" s="1" t="s">
        <v>93</v>
      </c>
      <c r="C1842" t="s">
        <v>94</v>
      </c>
      <c r="D1842" s="1" t="s">
        <v>95</v>
      </c>
      <c r="E1842" t="b">
        <v>0</v>
      </c>
      <c r="F1842">
        <v>118</v>
      </c>
      <c r="G1842">
        <v>122</v>
      </c>
      <c r="H1842" t="s">
        <v>11</v>
      </c>
      <c r="I1842" t="b" cm="1">
        <f t="array" ref="I1842">isDup(B1842,B1843, 0.7)</f>
        <v>0</v>
      </c>
    </row>
    <row r="1843" spans="1:9" ht="17" x14ac:dyDescent="0.2">
      <c r="A1843" t="s">
        <v>4170</v>
      </c>
      <c r="B1843" s="1" t="s">
        <v>4171</v>
      </c>
      <c r="C1843" t="s">
        <v>468</v>
      </c>
      <c r="D1843" s="1" t="s">
        <v>2923</v>
      </c>
      <c r="E1843" t="b">
        <v>0</v>
      </c>
      <c r="F1843">
        <v>9</v>
      </c>
      <c r="G1843">
        <v>27</v>
      </c>
      <c r="H1843" t="s">
        <v>47</v>
      </c>
      <c r="I1843" t="b" cm="1">
        <f t="array" ref="I1843">isDup(B1843,B1844, 0.7)</f>
        <v>0</v>
      </c>
    </row>
    <row r="1844" spans="1:9" ht="34" x14ac:dyDescent="0.2">
      <c r="A1844" t="s">
        <v>1676</v>
      </c>
      <c r="B1844" s="1" t="s">
        <v>1677</v>
      </c>
      <c r="C1844" t="s">
        <v>1678</v>
      </c>
      <c r="D1844" s="1" t="s">
        <v>2</v>
      </c>
      <c r="E1844" t="b">
        <v>0</v>
      </c>
      <c r="F1844">
        <v>4</v>
      </c>
      <c r="G1844">
        <v>4</v>
      </c>
      <c r="H1844" t="s">
        <v>11</v>
      </c>
      <c r="I1844" t="b" cm="1">
        <f t="array" ref="I1844">isDup(B1844,B1845, 0.7)</f>
        <v>0</v>
      </c>
    </row>
    <row r="1845" spans="1:9" ht="34" x14ac:dyDescent="0.2">
      <c r="A1845" t="s">
        <v>303</v>
      </c>
      <c r="B1845" s="1" t="s">
        <v>304</v>
      </c>
      <c r="C1845" t="s">
        <v>305</v>
      </c>
      <c r="D1845" s="1" t="s">
        <v>2</v>
      </c>
      <c r="E1845" t="b">
        <v>0</v>
      </c>
      <c r="F1845">
        <v>29</v>
      </c>
      <c r="G1845">
        <v>152</v>
      </c>
      <c r="H1845" t="s">
        <v>11</v>
      </c>
      <c r="I1845" t="b" cm="1">
        <f t="array" ref="I1845">isDup(B1845,B1846, 0.7)</f>
        <v>0</v>
      </c>
    </row>
    <row r="1846" spans="1:9" ht="17" x14ac:dyDescent="0.2">
      <c r="A1846" t="s">
        <v>5087</v>
      </c>
      <c r="B1846" s="1" t="s">
        <v>5088</v>
      </c>
      <c r="C1846" t="s">
        <v>189</v>
      </c>
      <c r="D1846" s="1" t="s">
        <v>1251</v>
      </c>
      <c r="E1846" t="b">
        <v>0</v>
      </c>
      <c r="F1846">
        <v>45</v>
      </c>
      <c r="G1846">
        <v>37</v>
      </c>
      <c r="H1846" t="s">
        <v>11</v>
      </c>
      <c r="I1846" t="b" cm="1">
        <f t="array" ref="I1846">isDup(B1846,B1847, 0.7)</f>
        <v>0</v>
      </c>
    </row>
    <row r="1847" spans="1:9" ht="17" x14ac:dyDescent="0.2">
      <c r="A1847" t="s">
        <v>899</v>
      </c>
      <c r="B1847" s="1" t="s">
        <v>900</v>
      </c>
      <c r="C1847" t="s">
        <v>700</v>
      </c>
      <c r="D1847" s="1" t="s">
        <v>2</v>
      </c>
      <c r="E1847" t="b">
        <v>0</v>
      </c>
      <c r="F1847">
        <v>6</v>
      </c>
      <c r="G1847">
        <v>33</v>
      </c>
      <c r="H1847" t="s">
        <v>110</v>
      </c>
      <c r="I1847" t="b" cm="1">
        <f t="array" ref="I1847">isDup(B1847,B1848, 0.7)</f>
        <v>0</v>
      </c>
    </row>
    <row r="1848" spans="1:9" ht="34" x14ac:dyDescent="0.2">
      <c r="A1848" t="s">
        <v>269</v>
      </c>
      <c r="B1848" s="1" t="s">
        <v>270</v>
      </c>
      <c r="C1848" t="s">
        <v>271</v>
      </c>
      <c r="D1848" s="1" t="s">
        <v>272</v>
      </c>
      <c r="E1848" t="b">
        <v>0</v>
      </c>
      <c r="F1848">
        <v>49</v>
      </c>
      <c r="G1848">
        <v>68</v>
      </c>
      <c r="H1848" t="s">
        <v>11</v>
      </c>
      <c r="I1848" t="b" cm="1">
        <f t="array" ref="I1848">isDup(B1848,B1849, 0.7)</f>
        <v>0</v>
      </c>
    </row>
    <row r="1849" spans="1:9" ht="34" x14ac:dyDescent="0.2">
      <c r="A1849" t="s">
        <v>2613</v>
      </c>
      <c r="B1849" s="1" t="s">
        <v>2614</v>
      </c>
      <c r="C1849" t="s">
        <v>2600</v>
      </c>
      <c r="D1849" s="1" t="s">
        <v>2601</v>
      </c>
      <c r="E1849" t="b">
        <v>0</v>
      </c>
      <c r="F1849">
        <v>503</v>
      </c>
      <c r="G1849">
        <v>673</v>
      </c>
      <c r="H1849" t="s">
        <v>47</v>
      </c>
      <c r="I1849" t="b" cm="1">
        <f t="array" ref="I1849">isDup(B1849,B1850, 0.7)</f>
        <v>0</v>
      </c>
    </row>
    <row r="1850" spans="1:9" ht="17" x14ac:dyDescent="0.2">
      <c r="A1850" t="s">
        <v>5189</v>
      </c>
      <c r="B1850" s="1" t="s">
        <v>5191</v>
      </c>
      <c r="C1850" t="s">
        <v>1287</v>
      </c>
      <c r="D1850" s="1" t="s">
        <v>2</v>
      </c>
      <c r="E1850" t="b">
        <v>0</v>
      </c>
      <c r="F1850">
        <v>204</v>
      </c>
      <c r="G1850">
        <v>196</v>
      </c>
      <c r="H1850" t="s">
        <v>11</v>
      </c>
      <c r="I1850" t="b" cm="1">
        <f t="array" ref="I1850">isDup(B1850,B1851, 0.7)</f>
        <v>0</v>
      </c>
    </row>
    <row r="1851" spans="1:9" ht="17" x14ac:dyDescent="0.2">
      <c r="A1851" t="s">
        <v>4736</v>
      </c>
      <c r="B1851" s="1" t="s">
        <v>4737</v>
      </c>
      <c r="C1851" t="s">
        <v>446</v>
      </c>
      <c r="D1851" s="1" t="s">
        <v>2</v>
      </c>
      <c r="E1851" t="b">
        <v>0</v>
      </c>
      <c r="F1851">
        <v>451</v>
      </c>
      <c r="G1851">
        <v>260</v>
      </c>
      <c r="H1851" t="s">
        <v>11</v>
      </c>
      <c r="I1851" t="b" cm="1">
        <f t="array" ref="I1851">isDup(B1851,B1852, 0.7)</f>
        <v>0</v>
      </c>
    </row>
    <row r="1852" spans="1:9" ht="17" x14ac:dyDescent="0.2">
      <c r="A1852" t="s">
        <v>4988</v>
      </c>
      <c r="B1852" s="1" t="s">
        <v>4989</v>
      </c>
      <c r="C1852" t="s">
        <v>4990</v>
      </c>
      <c r="D1852" s="1" t="s">
        <v>2</v>
      </c>
      <c r="E1852" t="b">
        <v>0</v>
      </c>
      <c r="F1852">
        <v>158</v>
      </c>
      <c r="G1852">
        <v>274</v>
      </c>
      <c r="H1852" t="s">
        <v>11</v>
      </c>
      <c r="I1852" t="b" cm="1">
        <f t="array" ref="I1852">isDup(B1852,B1853, 0.7)</f>
        <v>0</v>
      </c>
    </row>
    <row r="1853" spans="1:9" ht="17" x14ac:dyDescent="0.2">
      <c r="A1853" t="s">
        <v>6411</v>
      </c>
      <c r="B1853" s="1" t="s">
        <v>6412</v>
      </c>
      <c r="C1853" t="s">
        <v>5220</v>
      </c>
      <c r="D1853" s="1" t="s">
        <v>2</v>
      </c>
      <c r="E1853" t="b">
        <v>0</v>
      </c>
      <c r="F1853">
        <v>49</v>
      </c>
      <c r="G1853">
        <v>610</v>
      </c>
      <c r="H1853" t="s">
        <v>11</v>
      </c>
      <c r="I1853" t="b" cm="1">
        <f t="array" ref="I1853">isDup(B1853,B1854, 0.7)</f>
        <v>0</v>
      </c>
    </row>
    <row r="1854" spans="1:9" ht="17" x14ac:dyDescent="0.2">
      <c r="A1854" t="s">
        <v>2065</v>
      </c>
      <c r="B1854" s="1" t="s">
        <v>2066</v>
      </c>
      <c r="C1854" t="s">
        <v>2067</v>
      </c>
      <c r="D1854" s="1" t="s">
        <v>2</v>
      </c>
      <c r="E1854" t="b">
        <v>0</v>
      </c>
      <c r="F1854">
        <v>617</v>
      </c>
      <c r="G1854">
        <v>1754</v>
      </c>
      <c r="H1854" t="s">
        <v>11</v>
      </c>
      <c r="I1854" t="b" cm="1">
        <f t="array" ref="I1854">isDup(B1854,B1855, 0.7)</f>
        <v>0</v>
      </c>
    </row>
    <row r="1855" spans="1:9" ht="17" x14ac:dyDescent="0.2">
      <c r="A1855" t="s">
        <v>5265</v>
      </c>
      <c r="B1855" s="1" t="s">
        <v>5266</v>
      </c>
      <c r="C1855" t="s">
        <v>2087</v>
      </c>
      <c r="D1855" s="1" t="s">
        <v>5267</v>
      </c>
      <c r="E1855" t="b">
        <v>0</v>
      </c>
      <c r="F1855">
        <v>63</v>
      </c>
      <c r="G1855">
        <v>242</v>
      </c>
      <c r="H1855" t="s">
        <v>11</v>
      </c>
      <c r="I1855" t="b" cm="1">
        <f t="array" ref="I1855">isDup(B1855,B1856, 0.7)</f>
        <v>0</v>
      </c>
    </row>
    <row r="1856" spans="1:9" ht="17" x14ac:dyDescent="0.2">
      <c r="A1856" t="s">
        <v>437</v>
      </c>
      <c r="B1856" s="1" t="s">
        <v>438</v>
      </c>
      <c r="C1856" t="s">
        <v>439</v>
      </c>
      <c r="D1856" s="1" t="s">
        <v>2</v>
      </c>
      <c r="E1856" t="b">
        <v>0</v>
      </c>
      <c r="F1856">
        <v>3</v>
      </c>
      <c r="G1856">
        <v>10</v>
      </c>
      <c r="H1856" t="s">
        <v>11</v>
      </c>
      <c r="I1856" t="b" cm="1">
        <f t="array" ref="I1856">isDup(B1856,B1857, 0.7)</f>
        <v>0</v>
      </c>
    </row>
    <row r="1857" spans="1:9" ht="17" x14ac:dyDescent="0.2">
      <c r="A1857" t="s">
        <v>6930</v>
      </c>
      <c r="B1857" s="1" t="s">
        <v>6931</v>
      </c>
      <c r="C1857" t="s">
        <v>1226</v>
      </c>
      <c r="D1857" s="1" t="s">
        <v>6932</v>
      </c>
      <c r="E1857" t="b">
        <v>0</v>
      </c>
      <c r="F1857">
        <v>485</v>
      </c>
      <c r="G1857">
        <v>1409</v>
      </c>
      <c r="H1857" t="s">
        <v>11</v>
      </c>
      <c r="I1857" t="b" cm="1">
        <f t="array" ref="I1857">isDup(B1857,B1858, 0.7)</f>
        <v>0</v>
      </c>
    </row>
    <row r="1858" spans="1:9" ht="17" x14ac:dyDescent="0.2">
      <c r="A1858" t="s">
        <v>1519</v>
      </c>
      <c r="B1858" s="1" t="s">
        <v>1520</v>
      </c>
      <c r="C1858" t="s">
        <v>1521</v>
      </c>
      <c r="D1858" s="1" t="s">
        <v>2</v>
      </c>
      <c r="E1858" t="b">
        <v>0</v>
      </c>
      <c r="F1858">
        <v>9642</v>
      </c>
      <c r="G1858">
        <v>27</v>
      </c>
      <c r="H1858" t="s">
        <v>11</v>
      </c>
      <c r="I1858" t="b" cm="1">
        <f t="array" ref="I1858">isDup(B1858,B1859, 0.7)</f>
        <v>0</v>
      </c>
    </row>
    <row r="1859" spans="1:9" ht="17" x14ac:dyDescent="0.2">
      <c r="A1859" t="s">
        <v>5646</v>
      </c>
      <c r="B1859" s="1" t="s">
        <v>5647</v>
      </c>
      <c r="C1859" t="s">
        <v>2321</v>
      </c>
      <c r="D1859" s="1" t="s">
        <v>2</v>
      </c>
      <c r="E1859" t="b">
        <v>0</v>
      </c>
      <c r="F1859">
        <v>75</v>
      </c>
      <c r="G1859">
        <v>335</v>
      </c>
      <c r="H1859" t="s">
        <v>11</v>
      </c>
      <c r="I1859" t="b" cm="1">
        <f t="array" ref="I1859">isDup(B1859,B1860, 0.7)</f>
        <v>0</v>
      </c>
    </row>
    <row r="1860" spans="1:9" ht="34" x14ac:dyDescent="0.2">
      <c r="A1860" t="s">
        <v>2308</v>
      </c>
      <c r="B1860" s="1" t="s">
        <v>2309</v>
      </c>
      <c r="C1860" t="s">
        <v>2310</v>
      </c>
      <c r="D1860" s="1" t="s">
        <v>2311</v>
      </c>
      <c r="E1860" t="b">
        <v>0</v>
      </c>
      <c r="F1860">
        <v>157</v>
      </c>
      <c r="G1860">
        <v>83</v>
      </c>
      <c r="H1860" t="s">
        <v>11</v>
      </c>
      <c r="I1860" t="b" cm="1">
        <f t="array" ref="I1860">isDup(B1860,B1861, 0.7)</f>
        <v>0</v>
      </c>
    </row>
    <row r="1861" spans="1:9" ht="17" x14ac:dyDescent="0.2">
      <c r="A1861" t="s">
        <v>783</v>
      </c>
      <c r="B1861" s="1" t="s">
        <v>784</v>
      </c>
      <c r="C1861" t="s">
        <v>289</v>
      </c>
      <c r="D1861" s="1" t="s">
        <v>2</v>
      </c>
      <c r="E1861" t="b">
        <v>0</v>
      </c>
      <c r="F1861">
        <v>3632</v>
      </c>
      <c r="G1861">
        <v>3728</v>
      </c>
      <c r="H1861" t="s">
        <v>11</v>
      </c>
      <c r="I1861" t="b" cm="1">
        <f t="array" ref="I1861">isDup(B1861,B1862, 0.7)</f>
        <v>0</v>
      </c>
    </row>
    <row r="1862" spans="1:9" ht="34" x14ac:dyDescent="0.2">
      <c r="A1862" t="s">
        <v>3643</v>
      </c>
      <c r="B1862" s="1" t="s">
        <v>3644</v>
      </c>
      <c r="C1862" t="s">
        <v>3645</v>
      </c>
      <c r="D1862" s="1" t="s">
        <v>3646</v>
      </c>
      <c r="E1862" t="b">
        <v>0</v>
      </c>
      <c r="F1862">
        <v>472</v>
      </c>
      <c r="G1862">
        <v>366</v>
      </c>
      <c r="H1862" t="s">
        <v>11</v>
      </c>
      <c r="I1862" t="b" cm="1">
        <f t="array" ref="I1862">isDup(B1862,B1863, 0.7)</f>
        <v>1</v>
      </c>
    </row>
    <row r="1863" spans="1:9" ht="34" x14ac:dyDescent="0.2">
      <c r="A1863" t="s">
        <v>3655</v>
      </c>
      <c r="B1863" s="1" t="s">
        <v>3656</v>
      </c>
      <c r="C1863" t="s">
        <v>3645</v>
      </c>
      <c r="D1863" s="1" t="s">
        <v>3646</v>
      </c>
      <c r="E1863" t="b">
        <v>0</v>
      </c>
      <c r="F1863">
        <v>472</v>
      </c>
      <c r="G1863">
        <v>366</v>
      </c>
      <c r="H1863" t="s">
        <v>11</v>
      </c>
      <c r="I1863" t="b" cm="1">
        <f t="array" ref="I1863">isDup(B1863,B1864, 0.7)</f>
        <v>0</v>
      </c>
    </row>
    <row r="1864" spans="1:9" ht="34" x14ac:dyDescent="0.2">
      <c r="A1864" t="s">
        <v>6076</v>
      </c>
      <c r="B1864" s="1" t="s">
        <v>6077</v>
      </c>
      <c r="C1864" t="s">
        <v>6078</v>
      </c>
      <c r="D1864" s="1" t="s">
        <v>6079</v>
      </c>
      <c r="E1864" t="b">
        <v>0</v>
      </c>
      <c r="F1864">
        <v>6979</v>
      </c>
      <c r="G1864">
        <v>6186</v>
      </c>
      <c r="H1864" t="s">
        <v>11</v>
      </c>
      <c r="I1864" t="b" cm="1">
        <f t="array" ref="I1864">isDup(B1864,B1865, 0.7)</f>
        <v>0</v>
      </c>
    </row>
    <row r="1865" spans="1:9" ht="17" x14ac:dyDescent="0.2">
      <c r="A1865" t="s">
        <v>488</v>
      </c>
      <c r="B1865" s="1" t="s">
        <v>489</v>
      </c>
      <c r="C1865" t="s">
        <v>490</v>
      </c>
      <c r="D1865" s="1" t="s">
        <v>2</v>
      </c>
      <c r="E1865" t="b">
        <v>0</v>
      </c>
      <c r="F1865">
        <v>333</v>
      </c>
      <c r="G1865">
        <v>410</v>
      </c>
      <c r="H1865" t="s">
        <v>11</v>
      </c>
      <c r="I1865" t="b" cm="1">
        <f t="array" ref="I1865">isDup(B1865,B1866, 0.7)</f>
        <v>0</v>
      </c>
    </row>
    <row r="1866" spans="1:9" ht="17" x14ac:dyDescent="0.2">
      <c r="A1866" t="s">
        <v>4053</v>
      </c>
      <c r="B1866" s="1" t="s">
        <v>4054</v>
      </c>
      <c r="C1866" t="s">
        <v>173</v>
      </c>
      <c r="D1866" s="1" t="s">
        <v>2</v>
      </c>
      <c r="E1866" t="b">
        <v>0</v>
      </c>
      <c r="F1866">
        <v>61</v>
      </c>
      <c r="G1866">
        <v>225</v>
      </c>
      <c r="H1866" t="s">
        <v>11</v>
      </c>
      <c r="I1866" t="b" cm="1">
        <f t="array" ref="I1866">isDup(B1866,B1867, 0.7)</f>
        <v>0</v>
      </c>
    </row>
    <row r="1867" spans="1:9" ht="34" x14ac:dyDescent="0.2">
      <c r="A1867" t="s">
        <v>5307</v>
      </c>
      <c r="B1867" s="1" t="s">
        <v>5308</v>
      </c>
      <c r="C1867" t="s">
        <v>4872</v>
      </c>
      <c r="D1867" s="1" t="s">
        <v>4873</v>
      </c>
      <c r="E1867" t="b">
        <v>0</v>
      </c>
      <c r="F1867">
        <v>90</v>
      </c>
      <c r="G1867">
        <v>446</v>
      </c>
      <c r="H1867" t="s">
        <v>11</v>
      </c>
      <c r="I1867" t="b" cm="1">
        <f t="array" ref="I1867">isDup(B1867,B1868, 0.7)</f>
        <v>0</v>
      </c>
    </row>
    <row r="1868" spans="1:9" ht="17" x14ac:dyDescent="0.2">
      <c r="A1868" t="s">
        <v>280</v>
      </c>
      <c r="B1868" s="1" t="s">
        <v>281</v>
      </c>
      <c r="C1868" t="s">
        <v>282</v>
      </c>
      <c r="D1868" s="1" t="s">
        <v>2</v>
      </c>
      <c r="E1868" t="b">
        <v>0</v>
      </c>
      <c r="F1868">
        <v>413</v>
      </c>
      <c r="G1868">
        <v>557</v>
      </c>
      <c r="H1868" t="s">
        <v>11</v>
      </c>
      <c r="I1868" t="b" cm="1">
        <f t="array" ref="I1868">isDup(B1868,B1869, 0.7)</f>
        <v>0</v>
      </c>
    </row>
    <row r="1869" spans="1:9" ht="34" x14ac:dyDescent="0.2">
      <c r="A1869" t="s">
        <v>3063</v>
      </c>
      <c r="B1869" s="1" t="s">
        <v>3064</v>
      </c>
      <c r="C1869" t="s">
        <v>3065</v>
      </c>
      <c r="D1869" s="1" t="s">
        <v>3066</v>
      </c>
      <c r="E1869" t="b">
        <v>0</v>
      </c>
      <c r="F1869">
        <v>245</v>
      </c>
      <c r="G1869">
        <v>494</v>
      </c>
      <c r="H1869" t="s">
        <v>11</v>
      </c>
      <c r="I1869" t="b" cm="1">
        <f t="array" ref="I1869">isDup(B1869,B1870, 0.7)</f>
        <v>0</v>
      </c>
    </row>
    <row r="1870" spans="1:9" ht="17" x14ac:dyDescent="0.2">
      <c r="A1870" t="s">
        <v>6167</v>
      </c>
      <c r="B1870" s="1" t="s">
        <v>6168</v>
      </c>
      <c r="C1870" t="s">
        <v>1287</v>
      </c>
      <c r="D1870" s="1" t="s">
        <v>4659</v>
      </c>
      <c r="E1870" t="b">
        <v>0</v>
      </c>
      <c r="F1870">
        <v>24</v>
      </c>
      <c r="G1870">
        <v>164</v>
      </c>
      <c r="H1870" t="s">
        <v>11</v>
      </c>
      <c r="I1870" t="b" cm="1">
        <f t="array" ref="I1870">isDup(B1870,B1871, 0.7)</f>
        <v>0</v>
      </c>
    </row>
    <row r="1871" spans="1:9" ht="17" x14ac:dyDescent="0.2">
      <c r="A1871" t="s">
        <v>3280</v>
      </c>
      <c r="B1871" s="1" t="s">
        <v>3281</v>
      </c>
      <c r="C1871" t="s">
        <v>3282</v>
      </c>
      <c r="D1871" s="1" t="s">
        <v>3283</v>
      </c>
      <c r="E1871" t="b">
        <v>0</v>
      </c>
      <c r="F1871">
        <v>1977</v>
      </c>
      <c r="G1871">
        <v>964</v>
      </c>
      <c r="H1871" t="s">
        <v>11</v>
      </c>
      <c r="I1871" t="b" cm="1">
        <f t="array" ref="I1871">isDup(B1871,B1872, 0.7)</f>
        <v>0</v>
      </c>
    </row>
    <row r="1872" spans="1:9" ht="17" x14ac:dyDescent="0.2">
      <c r="A1872" t="s">
        <v>6406</v>
      </c>
      <c r="B1872" s="1" t="s">
        <v>6407</v>
      </c>
      <c r="C1872" t="s">
        <v>1082</v>
      </c>
      <c r="D1872" s="1" t="s">
        <v>1251</v>
      </c>
      <c r="E1872" t="b">
        <v>0</v>
      </c>
      <c r="F1872">
        <v>195</v>
      </c>
      <c r="G1872">
        <v>173</v>
      </c>
      <c r="H1872" t="s">
        <v>11</v>
      </c>
      <c r="I1872" t="b" cm="1">
        <f t="array" ref="I1872">isDup(B1872,B1873, 0.7)</f>
        <v>0</v>
      </c>
    </row>
    <row r="1873" spans="1:9" ht="34" x14ac:dyDescent="0.2">
      <c r="A1873" t="s">
        <v>1646</v>
      </c>
      <c r="B1873" s="1" t="s">
        <v>1647</v>
      </c>
      <c r="C1873" t="s">
        <v>1648</v>
      </c>
      <c r="D1873" s="1" t="s">
        <v>1649</v>
      </c>
      <c r="E1873" t="b">
        <v>0</v>
      </c>
      <c r="F1873">
        <v>2697</v>
      </c>
      <c r="G1873">
        <v>1249</v>
      </c>
      <c r="H1873" t="s">
        <v>11</v>
      </c>
      <c r="I1873" t="b" cm="1">
        <f t="array" ref="I1873">isDup(B1873,B1874, 0.7)</f>
        <v>0</v>
      </c>
    </row>
    <row r="1874" spans="1:9" ht="17" x14ac:dyDescent="0.2">
      <c r="A1874" t="s">
        <v>2791</v>
      </c>
      <c r="B1874" s="1" t="s">
        <v>2792</v>
      </c>
      <c r="C1874" t="s">
        <v>1099</v>
      </c>
      <c r="D1874" s="1" t="s">
        <v>2</v>
      </c>
      <c r="E1874" t="b">
        <v>0</v>
      </c>
      <c r="F1874">
        <v>1</v>
      </c>
      <c r="G1874">
        <v>0</v>
      </c>
      <c r="H1874" t="s">
        <v>11</v>
      </c>
      <c r="I1874" t="b" cm="1">
        <f t="array" ref="I1874">isDup(B1874,B1875, 0.7)</f>
        <v>0</v>
      </c>
    </row>
    <row r="1875" spans="1:9" ht="17" x14ac:dyDescent="0.2">
      <c r="A1875" t="s">
        <v>3682</v>
      </c>
      <c r="B1875" s="1" t="s">
        <v>3683</v>
      </c>
      <c r="C1875" t="s">
        <v>1838</v>
      </c>
      <c r="D1875" s="1" t="s">
        <v>2167</v>
      </c>
      <c r="E1875" t="b">
        <v>0</v>
      </c>
      <c r="F1875">
        <v>36</v>
      </c>
      <c r="G1875">
        <v>175</v>
      </c>
      <c r="H1875" t="s">
        <v>11</v>
      </c>
      <c r="I1875" t="b" cm="1">
        <f t="array" ref="I1875">isDup(B1875,B1876, 0.7)</f>
        <v>0</v>
      </c>
    </row>
    <row r="1876" spans="1:9" ht="17" x14ac:dyDescent="0.2">
      <c r="A1876" t="s">
        <v>933</v>
      </c>
      <c r="B1876" s="1" t="s">
        <v>934</v>
      </c>
      <c r="C1876" t="s">
        <v>935</v>
      </c>
      <c r="D1876" s="1" t="s">
        <v>487</v>
      </c>
      <c r="E1876" t="b">
        <v>0</v>
      </c>
      <c r="F1876">
        <v>150</v>
      </c>
      <c r="G1876">
        <v>367</v>
      </c>
      <c r="H1876" t="s">
        <v>11</v>
      </c>
      <c r="I1876" t="b" cm="1">
        <f t="array" ref="I1876">isDup(B1876,B1877, 0.7)</f>
        <v>0</v>
      </c>
    </row>
    <row r="1877" spans="1:9" ht="17" x14ac:dyDescent="0.2">
      <c r="A1877" t="s">
        <v>6672</v>
      </c>
      <c r="B1877" s="1" t="s">
        <v>6673</v>
      </c>
      <c r="C1877" t="s">
        <v>6674</v>
      </c>
      <c r="D1877" s="1" t="s">
        <v>6675</v>
      </c>
      <c r="E1877" t="b">
        <v>0</v>
      </c>
      <c r="F1877">
        <v>22</v>
      </c>
      <c r="G1877">
        <v>109</v>
      </c>
      <c r="H1877" t="s">
        <v>83</v>
      </c>
      <c r="I1877" t="b" cm="1">
        <f t="array" ref="I1877">isDup(B1877,B1878, 0.7)</f>
        <v>0</v>
      </c>
    </row>
    <row r="1878" spans="1:9" ht="17" x14ac:dyDescent="0.2">
      <c r="A1878" t="s">
        <v>1878</v>
      </c>
      <c r="B1878" s="1" t="s">
        <v>1879</v>
      </c>
      <c r="C1878" t="s">
        <v>1880</v>
      </c>
      <c r="D1878" s="1" t="s">
        <v>924</v>
      </c>
      <c r="E1878" t="b">
        <v>0</v>
      </c>
      <c r="F1878">
        <v>511</v>
      </c>
      <c r="G1878">
        <v>1334</v>
      </c>
      <c r="H1878" t="s">
        <v>83</v>
      </c>
      <c r="I1878" t="b" cm="1">
        <f t="array" ref="I1878">isDup(B1878,B1879, 0.7)</f>
        <v>0</v>
      </c>
    </row>
    <row r="1879" spans="1:9" ht="34" x14ac:dyDescent="0.2">
      <c r="A1879" t="s">
        <v>2891</v>
      </c>
      <c r="B1879" s="1" t="s">
        <v>2892</v>
      </c>
      <c r="C1879" t="s">
        <v>2893</v>
      </c>
      <c r="D1879" s="1" t="s">
        <v>2</v>
      </c>
      <c r="E1879" t="b">
        <v>0</v>
      </c>
      <c r="F1879">
        <v>180</v>
      </c>
      <c r="G1879">
        <v>844</v>
      </c>
      <c r="H1879" t="s">
        <v>11</v>
      </c>
      <c r="I1879" t="b" cm="1">
        <f t="array" ref="I1879">isDup(B1879,B1880, 0.7)</f>
        <v>0</v>
      </c>
    </row>
    <row r="1880" spans="1:9" ht="17" x14ac:dyDescent="0.2">
      <c r="A1880" t="s">
        <v>1039</v>
      </c>
      <c r="B1880" s="1" t="s">
        <v>1040</v>
      </c>
      <c r="C1880" t="s">
        <v>319</v>
      </c>
      <c r="D1880" s="1" t="s">
        <v>1041</v>
      </c>
      <c r="E1880" t="b">
        <v>0</v>
      </c>
      <c r="F1880">
        <v>2638</v>
      </c>
      <c r="G1880">
        <v>428</v>
      </c>
      <c r="H1880" t="s">
        <v>11</v>
      </c>
      <c r="I1880" t="b" cm="1">
        <f t="array" ref="I1880">isDup(B1880,B1881, 0.7)</f>
        <v>0</v>
      </c>
    </row>
    <row r="1881" spans="1:9" ht="34" x14ac:dyDescent="0.2">
      <c r="A1881" t="s">
        <v>6752</v>
      </c>
      <c r="B1881" s="1" t="s">
        <v>6753</v>
      </c>
      <c r="C1881" t="s">
        <v>1398</v>
      </c>
      <c r="D1881" s="1" t="s">
        <v>61</v>
      </c>
      <c r="E1881" t="b">
        <v>0</v>
      </c>
      <c r="F1881">
        <v>1078</v>
      </c>
      <c r="G1881">
        <v>93</v>
      </c>
      <c r="H1881" t="s">
        <v>11</v>
      </c>
      <c r="I1881" t="b" cm="1">
        <f t="array" ref="I1881">isDup(B1881,B1882, 0.7)</f>
        <v>0</v>
      </c>
    </row>
    <row r="1882" spans="1:9" ht="17" x14ac:dyDescent="0.2">
      <c r="A1882" t="s">
        <v>5643</v>
      </c>
      <c r="B1882" s="1" t="s">
        <v>5644</v>
      </c>
      <c r="C1882" t="s">
        <v>5645</v>
      </c>
      <c r="D1882" s="1" t="s">
        <v>2</v>
      </c>
      <c r="E1882" t="b">
        <v>0</v>
      </c>
      <c r="F1882">
        <v>281</v>
      </c>
      <c r="G1882">
        <v>414</v>
      </c>
      <c r="H1882" t="s">
        <v>11</v>
      </c>
      <c r="I1882" t="b" cm="1">
        <f t="array" ref="I1882">isDup(B1882,B1883, 0.7)</f>
        <v>0</v>
      </c>
    </row>
    <row r="1883" spans="1:9" ht="17" x14ac:dyDescent="0.2">
      <c r="A1883" t="s">
        <v>6543</v>
      </c>
      <c r="B1883" s="1" t="s">
        <v>6544</v>
      </c>
      <c r="C1883" t="s">
        <v>782</v>
      </c>
      <c r="D1883" s="1" t="s">
        <v>2</v>
      </c>
      <c r="E1883" t="b">
        <v>0</v>
      </c>
      <c r="F1883">
        <v>298</v>
      </c>
      <c r="G1883">
        <v>262</v>
      </c>
      <c r="H1883" t="s">
        <v>11</v>
      </c>
      <c r="I1883" t="b" cm="1">
        <f t="array" ref="I1883">isDup(B1883,B1884, 0.7)</f>
        <v>0</v>
      </c>
    </row>
    <row r="1884" spans="1:9" ht="34" x14ac:dyDescent="0.2">
      <c r="A1884" t="s">
        <v>5540</v>
      </c>
      <c r="B1884" s="1" t="s">
        <v>5541</v>
      </c>
      <c r="C1884" t="s">
        <v>94</v>
      </c>
      <c r="D1884" s="1" t="s">
        <v>2</v>
      </c>
      <c r="E1884" t="b">
        <v>0</v>
      </c>
      <c r="F1884">
        <v>12423</v>
      </c>
      <c r="G1884">
        <v>537</v>
      </c>
      <c r="H1884" t="s">
        <v>11</v>
      </c>
      <c r="I1884" t="b" cm="1">
        <f t="array" ref="I1884">isDup(B1884,B1885, 0.7)</f>
        <v>0</v>
      </c>
    </row>
    <row r="1885" spans="1:9" ht="34" x14ac:dyDescent="0.2">
      <c r="A1885" t="s">
        <v>2524</v>
      </c>
      <c r="B1885" s="1" t="s">
        <v>2525</v>
      </c>
      <c r="C1885" t="s">
        <v>2526</v>
      </c>
      <c r="D1885" s="1" t="s">
        <v>2527</v>
      </c>
      <c r="E1885" t="b">
        <v>0</v>
      </c>
      <c r="F1885">
        <v>10</v>
      </c>
      <c r="G1885">
        <v>57</v>
      </c>
      <c r="H1885" t="s">
        <v>262</v>
      </c>
      <c r="I1885" t="b" cm="1">
        <f t="array" ref="I1885">isDup(B1885,B1886, 0.7)</f>
        <v>0</v>
      </c>
    </row>
    <row r="1886" spans="1:9" ht="34" x14ac:dyDescent="0.2">
      <c r="A1886" t="s">
        <v>3375</v>
      </c>
      <c r="B1886" s="1" t="s">
        <v>3376</v>
      </c>
      <c r="C1886" t="s">
        <v>3377</v>
      </c>
      <c r="D1886" s="1" t="s">
        <v>2</v>
      </c>
      <c r="E1886" t="b">
        <v>0</v>
      </c>
      <c r="F1886">
        <v>138</v>
      </c>
      <c r="G1886">
        <v>150</v>
      </c>
      <c r="H1886" t="s">
        <v>11</v>
      </c>
      <c r="I1886" t="b" cm="1">
        <f t="array" ref="I1886">isDup(B1886,B1887, 0.7)</f>
        <v>0</v>
      </c>
    </row>
    <row r="1887" spans="1:9" ht="17" x14ac:dyDescent="0.2">
      <c r="A1887" t="s">
        <v>1839</v>
      </c>
      <c r="B1887" s="1" t="s">
        <v>1840</v>
      </c>
      <c r="C1887" t="s">
        <v>1170</v>
      </c>
      <c r="D1887" s="1" t="s">
        <v>1841</v>
      </c>
      <c r="E1887" t="b">
        <v>0</v>
      </c>
      <c r="F1887">
        <v>7630</v>
      </c>
      <c r="G1887">
        <v>933</v>
      </c>
      <c r="H1887" t="s">
        <v>11</v>
      </c>
      <c r="I1887" t="b" cm="1">
        <f t="array" ref="I1887">isDup(B1887,B1888, 0.7)</f>
        <v>0</v>
      </c>
    </row>
    <row r="1888" spans="1:9" ht="17" x14ac:dyDescent="0.2">
      <c r="A1888" t="s">
        <v>5903</v>
      </c>
      <c r="B1888" s="1" t="s">
        <v>5904</v>
      </c>
      <c r="C1888" t="s">
        <v>4359</v>
      </c>
      <c r="D1888" s="1" t="s">
        <v>5905</v>
      </c>
      <c r="E1888" t="b">
        <v>0</v>
      </c>
      <c r="F1888">
        <v>416</v>
      </c>
      <c r="G1888">
        <v>778</v>
      </c>
      <c r="H1888" t="s">
        <v>11</v>
      </c>
      <c r="I1888" t="b" cm="1">
        <f t="array" ref="I1888">isDup(B1888,B1889, 0.7)</f>
        <v>0</v>
      </c>
    </row>
    <row r="1889" spans="1:9" ht="34" x14ac:dyDescent="0.2">
      <c r="A1889" t="s">
        <v>330</v>
      </c>
      <c r="B1889" s="1" t="s">
        <v>331</v>
      </c>
      <c r="C1889" t="s">
        <v>332</v>
      </c>
      <c r="D1889" s="1" t="s">
        <v>333</v>
      </c>
      <c r="E1889" t="b">
        <v>0</v>
      </c>
      <c r="F1889">
        <v>824</v>
      </c>
      <c r="G1889">
        <v>660</v>
      </c>
      <c r="H1889" t="s">
        <v>11</v>
      </c>
      <c r="I1889" t="b" cm="1">
        <f t="array" ref="I1889">isDup(B1889,B1890, 0.7)</f>
        <v>0</v>
      </c>
    </row>
    <row r="1890" spans="1:9" ht="34" x14ac:dyDescent="0.2">
      <c r="A1890" t="s">
        <v>2316</v>
      </c>
      <c r="B1890" s="1" t="s">
        <v>2317</v>
      </c>
      <c r="C1890" t="s">
        <v>2318</v>
      </c>
      <c r="D1890" s="1" t="s">
        <v>2</v>
      </c>
      <c r="E1890" t="b">
        <v>0</v>
      </c>
      <c r="F1890">
        <v>392</v>
      </c>
      <c r="G1890">
        <v>494</v>
      </c>
      <c r="H1890" t="s">
        <v>11</v>
      </c>
      <c r="I1890" t="b" cm="1">
        <f t="array" ref="I1890">isDup(B1890,B1891, 0.7)</f>
        <v>0</v>
      </c>
    </row>
    <row r="1891" spans="1:9" ht="17" x14ac:dyDescent="0.2">
      <c r="A1891" t="s">
        <v>2334</v>
      </c>
      <c r="B1891" s="1" t="s">
        <v>2335</v>
      </c>
      <c r="C1891" t="s">
        <v>2336</v>
      </c>
      <c r="D1891" s="1" t="s">
        <v>562</v>
      </c>
      <c r="E1891" t="b">
        <v>0</v>
      </c>
      <c r="F1891">
        <v>1883</v>
      </c>
      <c r="G1891">
        <v>4861</v>
      </c>
      <c r="H1891" t="s">
        <v>11</v>
      </c>
      <c r="I1891" t="b" cm="1">
        <f t="array" ref="I1891">isDup(B1891,B1892, 0.7)</f>
        <v>0</v>
      </c>
    </row>
    <row r="1892" spans="1:9" ht="34" x14ac:dyDescent="0.2">
      <c r="A1892" t="s">
        <v>1156</v>
      </c>
      <c r="B1892" s="1" t="s">
        <v>1157</v>
      </c>
      <c r="C1892" t="s">
        <v>1158</v>
      </c>
      <c r="D1892" s="1" t="s">
        <v>1159</v>
      </c>
      <c r="E1892" t="b">
        <v>0</v>
      </c>
      <c r="F1892">
        <v>142</v>
      </c>
      <c r="G1892">
        <v>137</v>
      </c>
      <c r="H1892" t="s">
        <v>11</v>
      </c>
      <c r="I1892" t="b" cm="1">
        <f t="array" ref="I1892">isDup(B1892,B1893, 0.7)</f>
        <v>1</v>
      </c>
    </row>
    <row r="1893" spans="1:9" ht="34" x14ac:dyDescent="0.2">
      <c r="A1893" t="s">
        <v>1180</v>
      </c>
      <c r="B1893" s="1" t="s">
        <v>1181</v>
      </c>
      <c r="C1893" t="s">
        <v>1158</v>
      </c>
      <c r="D1893" s="1" t="s">
        <v>1159</v>
      </c>
      <c r="E1893" t="b">
        <v>0</v>
      </c>
      <c r="F1893">
        <v>142</v>
      </c>
      <c r="G1893">
        <v>137</v>
      </c>
      <c r="H1893" t="s">
        <v>11</v>
      </c>
      <c r="I1893" t="b" cm="1">
        <f t="array" ref="I1893">isDup(B1893,B1894, 0.7)</f>
        <v>0</v>
      </c>
    </row>
    <row r="1894" spans="1:9" ht="34" x14ac:dyDescent="0.2">
      <c r="A1894" t="s">
        <v>1599</v>
      </c>
      <c r="B1894" s="1" t="s">
        <v>1600</v>
      </c>
      <c r="C1894" t="s">
        <v>564</v>
      </c>
      <c r="D1894" s="1" t="s">
        <v>109</v>
      </c>
      <c r="E1894" t="b">
        <v>0</v>
      </c>
      <c r="F1894">
        <v>361</v>
      </c>
      <c r="G1894">
        <v>1799</v>
      </c>
      <c r="H1894" t="s">
        <v>11</v>
      </c>
      <c r="I1894" t="b" cm="1">
        <f t="array" ref="I1894">isDup(B1894,B1895, 0.7)</f>
        <v>0</v>
      </c>
    </row>
    <row r="1895" spans="1:9" ht="34" x14ac:dyDescent="0.2">
      <c r="A1895" t="s">
        <v>127</v>
      </c>
      <c r="B1895" s="1" t="s">
        <v>128</v>
      </c>
      <c r="C1895" t="s">
        <v>129</v>
      </c>
      <c r="D1895" s="1" t="s">
        <v>130</v>
      </c>
      <c r="E1895" t="b">
        <v>0</v>
      </c>
      <c r="F1895">
        <v>1230</v>
      </c>
      <c r="G1895">
        <v>140</v>
      </c>
      <c r="H1895" t="s">
        <v>11</v>
      </c>
      <c r="I1895" t="b" cm="1">
        <f t="array" ref="I1895">isDup(B1895,B1896, 0.7)</f>
        <v>0</v>
      </c>
    </row>
    <row r="1896" spans="1:9" ht="17" x14ac:dyDescent="0.2">
      <c r="A1896" t="s">
        <v>925</v>
      </c>
      <c r="B1896" s="1" t="s">
        <v>926</v>
      </c>
      <c r="C1896" t="s">
        <v>927</v>
      </c>
      <c r="D1896" s="1" t="s">
        <v>928</v>
      </c>
      <c r="E1896" t="b">
        <v>0</v>
      </c>
      <c r="F1896">
        <v>101</v>
      </c>
      <c r="G1896">
        <v>295</v>
      </c>
      <c r="H1896" t="s">
        <v>11</v>
      </c>
      <c r="I1896" t="b" cm="1">
        <f t="array" ref="I1896">isDup(B1896,B1897, 0.7)</f>
        <v>0</v>
      </c>
    </row>
    <row r="1897" spans="1:9" ht="34" x14ac:dyDescent="0.2">
      <c r="A1897" t="s">
        <v>5568</v>
      </c>
      <c r="B1897" s="1" t="s">
        <v>5569</v>
      </c>
      <c r="C1897" t="s">
        <v>3999</v>
      </c>
      <c r="D1897" s="1" t="s">
        <v>1768</v>
      </c>
      <c r="E1897" t="b">
        <v>0</v>
      </c>
      <c r="F1897">
        <v>97</v>
      </c>
      <c r="G1897">
        <v>183</v>
      </c>
      <c r="H1897" t="s">
        <v>11</v>
      </c>
      <c r="I1897" t="b" cm="1">
        <f t="array" ref="I1897">isDup(B1897,B1898, 0.7)</f>
        <v>0</v>
      </c>
    </row>
    <row r="1898" spans="1:9" ht="17" x14ac:dyDescent="0.2">
      <c r="A1898" t="s">
        <v>1160</v>
      </c>
      <c r="B1898" s="1" t="s">
        <v>1161</v>
      </c>
      <c r="C1898" t="s">
        <v>1162</v>
      </c>
      <c r="D1898" s="1" t="s">
        <v>1163</v>
      </c>
      <c r="E1898" t="b">
        <v>0</v>
      </c>
      <c r="F1898">
        <v>187</v>
      </c>
      <c r="G1898">
        <v>98</v>
      </c>
      <c r="H1898" t="s">
        <v>83</v>
      </c>
      <c r="I1898" t="b" cm="1">
        <f t="array" ref="I1898">isDup(B1898,B1899, 0.7)</f>
        <v>0</v>
      </c>
    </row>
    <row r="1899" spans="1:9" ht="17" x14ac:dyDescent="0.2">
      <c r="A1899" t="s">
        <v>6821</v>
      </c>
      <c r="B1899" s="1" t="s">
        <v>6822</v>
      </c>
      <c r="C1899" t="s">
        <v>2151</v>
      </c>
      <c r="D1899" s="1" t="s">
        <v>118</v>
      </c>
      <c r="E1899" t="b">
        <v>0</v>
      </c>
      <c r="F1899">
        <v>4696</v>
      </c>
      <c r="G1899">
        <v>2751</v>
      </c>
      <c r="H1899" t="s">
        <v>11</v>
      </c>
      <c r="I1899" t="b" cm="1">
        <f t="array" ref="I1899">isDup(B1899,B1900, 0.7)</f>
        <v>0</v>
      </c>
    </row>
    <row r="1900" spans="1:9" ht="17" x14ac:dyDescent="0.2">
      <c r="A1900" t="s">
        <v>2132</v>
      </c>
      <c r="B1900" s="1" t="s">
        <v>2133</v>
      </c>
      <c r="C1900" t="s">
        <v>2134</v>
      </c>
      <c r="D1900" s="1" t="s">
        <v>2135</v>
      </c>
      <c r="E1900" t="b">
        <v>0</v>
      </c>
      <c r="F1900">
        <v>19</v>
      </c>
      <c r="G1900">
        <v>70</v>
      </c>
      <c r="H1900" t="s">
        <v>11</v>
      </c>
      <c r="I1900" t="b" cm="1">
        <f t="array" ref="I1900">isDup(B1900,B1901, 0.7)</f>
        <v>0</v>
      </c>
    </row>
    <row r="1901" spans="1:9" ht="34" x14ac:dyDescent="0.2">
      <c r="A1901" t="s">
        <v>5353</v>
      </c>
      <c r="B1901" s="1" t="s">
        <v>5354</v>
      </c>
      <c r="C1901" t="s">
        <v>468</v>
      </c>
      <c r="D1901" s="1" t="s">
        <v>469</v>
      </c>
      <c r="E1901" t="b">
        <v>0</v>
      </c>
      <c r="F1901">
        <v>366</v>
      </c>
      <c r="G1901">
        <v>225</v>
      </c>
      <c r="H1901" t="s">
        <v>11</v>
      </c>
      <c r="I1901" t="b" cm="1">
        <f t="array" ref="I1901">isDup(B1901,B1902, 0.7)</f>
        <v>1</v>
      </c>
    </row>
    <row r="1902" spans="1:9" ht="34" x14ac:dyDescent="0.2">
      <c r="A1902" t="s">
        <v>4721</v>
      </c>
      <c r="B1902" s="1" t="s">
        <v>4722</v>
      </c>
      <c r="C1902" t="s">
        <v>468</v>
      </c>
      <c r="D1902" s="1" t="s">
        <v>469</v>
      </c>
      <c r="E1902" t="b">
        <v>0</v>
      </c>
      <c r="F1902">
        <v>366</v>
      </c>
      <c r="G1902">
        <v>225</v>
      </c>
      <c r="H1902" t="s">
        <v>11</v>
      </c>
      <c r="I1902" t="b" cm="1">
        <f t="array" ref="I1902">isDup(B1902,B1903, 0.7)</f>
        <v>1</v>
      </c>
    </row>
    <row r="1903" spans="1:9" ht="34" x14ac:dyDescent="0.2">
      <c r="A1903" t="s">
        <v>6784</v>
      </c>
      <c r="B1903" s="1" t="s">
        <v>6785</v>
      </c>
      <c r="C1903" t="s">
        <v>468</v>
      </c>
      <c r="D1903" s="1" t="s">
        <v>469</v>
      </c>
      <c r="E1903" t="b">
        <v>0</v>
      </c>
      <c r="F1903">
        <v>366</v>
      </c>
      <c r="G1903">
        <v>225</v>
      </c>
      <c r="H1903" t="s">
        <v>11</v>
      </c>
      <c r="I1903" t="b" cm="1">
        <f t="array" ref="I1903">isDup(B1903,B1904, 0.7)</f>
        <v>1</v>
      </c>
    </row>
    <row r="1904" spans="1:9" ht="34" x14ac:dyDescent="0.2">
      <c r="A1904" t="s">
        <v>466</v>
      </c>
      <c r="B1904" s="1" t="s">
        <v>467</v>
      </c>
      <c r="C1904" t="s">
        <v>468</v>
      </c>
      <c r="D1904" s="1" t="s">
        <v>469</v>
      </c>
      <c r="E1904" t="b">
        <v>0</v>
      </c>
      <c r="F1904">
        <v>366</v>
      </c>
      <c r="G1904">
        <v>225</v>
      </c>
      <c r="H1904" t="s">
        <v>11</v>
      </c>
      <c r="I1904" t="b" cm="1">
        <f t="array" ref="I1904">isDup(B1904,B1905, 0.7)</f>
        <v>1</v>
      </c>
    </row>
    <row r="1905" spans="1:9" ht="34" x14ac:dyDescent="0.2">
      <c r="A1905" t="s">
        <v>1771</v>
      </c>
      <c r="B1905" s="1" t="s">
        <v>1772</v>
      </c>
      <c r="C1905" t="s">
        <v>468</v>
      </c>
      <c r="D1905" s="1" t="s">
        <v>469</v>
      </c>
      <c r="E1905" t="b">
        <v>0</v>
      </c>
      <c r="F1905">
        <v>366</v>
      </c>
      <c r="G1905">
        <v>225</v>
      </c>
      <c r="H1905" t="s">
        <v>11</v>
      </c>
      <c r="I1905" t="b" cm="1">
        <f t="array" ref="I1905">isDup(B1905,B1906, 0.7)</f>
        <v>1</v>
      </c>
    </row>
    <row r="1906" spans="1:9" ht="34" x14ac:dyDescent="0.2">
      <c r="A1906" t="s">
        <v>3960</v>
      </c>
      <c r="B1906" s="1" t="s">
        <v>3961</v>
      </c>
      <c r="C1906" t="s">
        <v>468</v>
      </c>
      <c r="D1906" s="1" t="s">
        <v>469</v>
      </c>
      <c r="E1906" t="b">
        <v>0</v>
      </c>
      <c r="F1906">
        <v>365</v>
      </c>
      <c r="G1906">
        <v>225</v>
      </c>
      <c r="H1906" t="s">
        <v>11</v>
      </c>
      <c r="I1906" t="b" cm="1">
        <f t="array" ref="I1906">isDup(B1906,B1907, 0.7)</f>
        <v>1</v>
      </c>
    </row>
    <row r="1907" spans="1:9" ht="34" x14ac:dyDescent="0.2">
      <c r="A1907" t="s">
        <v>2519</v>
      </c>
      <c r="B1907" s="1" t="s">
        <v>2520</v>
      </c>
      <c r="C1907" t="s">
        <v>468</v>
      </c>
      <c r="D1907" s="1" t="s">
        <v>469</v>
      </c>
      <c r="E1907" t="b">
        <v>0</v>
      </c>
      <c r="F1907">
        <v>366</v>
      </c>
      <c r="G1907">
        <v>225</v>
      </c>
      <c r="H1907" t="s">
        <v>11</v>
      </c>
      <c r="I1907" t="b" cm="1">
        <f t="array" ref="I1907">isDup(B1907,B1908, 0.7)</f>
        <v>1</v>
      </c>
    </row>
    <row r="1908" spans="1:9" ht="34" x14ac:dyDescent="0.2">
      <c r="A1908" t="s">
        <v>6022</v>
      </c>
      <c r="B1908" s="1" t="s">
        <v>6023</v>
      </c>
      <c r="C1908" t="s">
        <v>468</v>
      </c>
      <c r="D1908" s="1" t="s">
        <v>469</v>
      </c>
      <c r="E1908" t="b">
        <v>0</v>
      </c>
      <c r="F1908">
        <v>366</v>
      </c>
      <c r="G1908">
        <v>225</v>
      </c>
      <c r="H1908" t="s">
        <v>11</v>
      </c>
      <c r="I1908" t="b" cm="1">
        <f t="array" ref="I1908">isDup(B1908,B1909, 0.7)</f>
        <v>1</v>
      </c>
    </row>
    <row r="1909" spans="1:9" ht="34" x14ac:dyDescent="0.2">
      <c r="A1909" t="s">
        <v>1069</v>
      </c>
      <c r="B1909" s="1" t="s">
        <v>1070</v>
      </c>
      <c r="C1909" t="s">
        <v>468</v>
      </c>
      <c r="D1909" s="1" t="s">
        <v>469</v>
      </c>
      <c r="E1909" t="b">
        <v>0</v>
      </c>
      <c r="F1909">
        <v>366</v>
      </c>
      <c r="G1909">
        <v>225</v>
      </c>
      <c r="H1909" t="s">
        <v>11</v>
      </c>
      <c r="I1909" t="b" cm="1">
        <f t="array" ref="I1909">isDup(B1909,B1910, 0.7)</f>
        <v>1</v>
      </c>
    </row>
    <row r="1910" spans="1:9" ht="34" x14ac:dyDescent="0.2">
      <c r="A1910" t="s">
        <v>3263</v>
      </c>
      <c r="B1910" s="1" t="s">
        <v>3264</v>
      </c>
      <c r="C1910" t="s">
        <v>468</v>
      </c>
      <c r="D1910" s="1" t="s">
        <v>469</v>
      </c>
      <c r="E1910" t="b">
        <v>0</v>
      </c>
      <c r="F1910">
        <v>366</v>
      </c>
      <c r="G1910">
        <v>225</v>
      </c>
      <c r="H1910" t="s">
        <v>11</v>
      </c>
      <c r="I1910" t="b" cm="1">
        <f t="array" ref="I1910">isDup(B1910,B1911, 0.7)</f>
        <v>0</v>
      </c>
    </row>
    <row r="1911" spans="1:9" ht="17" x14ac:dyDescent="0.2">
      <c r="A1911" t="s">
        <v>5239</v>
      </c>
      <c r="B1911" s="1" t="s">
        <v>5240</v>
      </c>
      <c r="C1911" t="s">
        <v>5241</v>
      </c>
      <c r="D1911" s="1" t="s">
        <v>2</v>
      </c>
      <c r="E1911" t="b">
        <v>0</v>
      </c>
      <c r="F1911">
        <v>101</v>
      </c>
      <c r="G1911">
        <v>367</v>
      </c>
      <c r="H1911" t="s">
        <v>11</v>
      </c>
      <c r="I1911" t="b" cm="1">
        <f t="array" ref="I1911">isDup(B1911,B1912, 0.7)</f>
        <v>0</v>
      </c>
    </row>
    <row r="1912" spans="1:9" ht="17" x14ac:dyDescent="0.2">
      <c r="A1912" t="s">
        <v>1673</v>
      </c>
      <c r="B1912" s="1" t="s">
        <v>1674</v>
      </c>
      <c r="C1912" t="s">
        <v>1675</v>
      </c>
      <c r="D1912" s="1" t="s">
        <v>2</v>
      </c>
      <c r="E1912" t="b">
        <v>0</v>
      </c>
      <c r="F1912">
        <v>231</v>
      </c>
      <c r="G1912">
        <v>453</v>
      </c>
      <c r="H1912" t="s">
        <v>11</v>
      </c>
      <c r="I1912" t="b" cm="1">
        <f t="array" ref="I1912">isDup(B1912,B1913, 0.7)</f>
        <v>0</v>
      </c>
    </row>
    <row r="1913" spans="1:9" ht="34" x14ac:dyDescent="0.2">
      <c r="A1913" t="s">
        <v>7234</v>
      </c>
      <c r="B1913" s="1" t="s">
        <v>7235</v>
      </c>
      <c r="C1913" t="s">
        <v>7236</v>
      </c>
      <c r="D1913" s="1" t="s">
        <v>5915</v>
      </c>
      <c r="E1913" t="b">
        <v>0</v>
      </c>
      <c r="F1913">
        <v>567</v>
      </c>
      <c r="G1913">
        <v>746</v>
      </c>
      <c r="H1913" t="s">
        <v>11</v>
      </c>
      <c r="I1913" t="b" cm="1">
        <f t="array" ref="I1913">isDup(B1913,B1914, 0.7)</f>
        <v>0</v>
      </c>
    </row>
    <row r="1914" spans="1:9" ht="17" x14ac:dyDescent="0.2">
      <c r="A1914" t="s">
        <v>4204</v>
      </c>
      <c r="B1914" s="1" t="s">
        <v>4205</v>
      </c>
      <c r="C1914" t="s">
        <v>2607</v>
      </c>
      <c r="D1914" s="1" t="s">
        <v>2</v>
      </c>
      <c r="E1914" t="b">
        <v>0</v>
      </c>
      <c r="F1914">
        <v>9721</v>
      </c>
      <c r="G1914">
        <v>45</v>
      </c>
      <c r="H1914" t="s">
        <v>11</v>
      </c>
      <c r="I1914" t="b" cm="1">
        <f t="array" ref="I1914">isDup(B1914,B1915, 0.7)</f>
        <v>0</v>
      </c>
    </row>
    <row r="1915" spans="1:9" ht="34" x14ac:dyDescent="0.2">
      <c r="A1915" t="s">
        <v>433</v>
      </c>
      <c r="B1915" s="1" t="s">
        <v>434</v>
      </c>
      <c r="C1915" t="s">
        <v>435</v>
      </c>
      <c r="D1915" s="1" t="s">
        <v>436</v>
      </c>
      <c r="E1915" t="b">
        <v>0</v>
      </c>
      <c r="F1915">
        <v>1268</v>
      </c>
      <c r="G1915">
        <v>375</v>
      </c>
      <c r="H1915" t="s">
        <v>11</v>
      </c>
      <c r="I1915" t="b" cm="1">
        <f t="array" ref="I1915">isDup(B1915,B1916, 0.7)</f>
        <v>0</v>
      </c>
    </row>
    <row r="1916" spans="1:9" ht="34" x14ac:dyDescent="0.2">
      <c r="A1916" t="s">
        <v>2484</v>
      </c>
      <c r="B1916" s="1" t="s">
        <v>2485</v>
      </c>
      <c r="C1916" t="s">
        <v>2486</v>
      </c>
      <c r="D1916" s="1" t="s">
        <v>2487</v>
      </c>
      <c r="E1916" t="b">
        <v>0</v>
      </c>
      <c r="F1916">
        <v>162</v>
      </c>
      <c r="G1916">
        <v>418</v>
      </c>
      <c r="H1916" t="s">
        <v>11</v>
      </c>
      <c r="I1916" t="b" cm="1">
        <f t="array" ref="I1916">isDup(B1916,B1917, 0.7)</f>
        <v>0</v>
      </c>
    </row>
    <row r="1917" spans="1:9" ht="17" x14ac:dyDescent="0.2">
      <c r="A1917" t="s">
        <v>4874</v>
      </c>
      <c r="B1917" s="1" t="s">
        <v>4875</v>
      </c>
      <c r="C1917" t="s">
        <v>4876</v>
      </c>
      <c r="D1917" s="1" t="s">
        <v>4877</v>
      </c>
      <c r="E1917" t="b">
        <v>0</v>
      </c>
      <c r="F1917">
        <v>928</v>
      </c>
      <c r="G1917">
        <v>437</v>
      </c>
      <c r="H1917" t="s">
        <v>11</v>
      </c>
      <c r="I1917" t="b" cm="1">
        <f t="array" ref="I1917">isDup(B1917,B1918, 0.7)</f>
        <v>0</v>
      </c>
    </row>
    <row r="1918" spans="1:9" ht="17" x14ac:dyDescent="0.2">
      <c r="A1918" t="s">
        <v>6729</v>
      </c>
      <c r="B1918" s="1" t="s">
        <v>6730</v>
      </c>
      <c r="C1918" t="s">
        <v>581</v>
      </c>
      <c r="D1918" s="1" t="s">
        <v>2</v>
      </c>
      <c r="E1918" t="b">
        <v>0</v>
      </c>
      <c r="F1918">
        <v>2545</v>
      </c>
      <c r="G1918">
        <v>984</v>
      </c>
      <c r="H1918" t="s">
        <v>11</v>
      </c>
      <c r="I1918" t="b" cm="1">
        <f t="array" ref="I1918">isDup(B1918,B1919, 0.7)</f>
        <v>0</v>
      </c>
    </row>
    <row r="1919" spans="1:9" ht="17" x14ac:dyDescent="0.2">
      <c r="A1919" t="s">
        <v>4216</v>
      </c>
      <c r="B1919" s="1" t="s">
        <v>4217</v>
      </c>
      <c r="C1919" t="s">
        <v>4218</v>
      </c>
      <c r="D1919" s="1" t="s">
        <v>2</v>
      </c>
      <c r="E1919" t="b">
        <v>0</v>
      </c>
      <c r="F1919">
        <v>263</v>
      </c>
      <c r="G1919">
        <v>731</v>
      </c>
      <c r="H1919" t="s">
        <v>11</v>
      </c>
      <c r="I1919" t="b" cm="1">
        <f t="array" ref="I1919">isDup(B1919,B1920, 0.7)</f>
        <v>0</v>
      </c>
    </row>
    <row r="1920" spans="1:9" ht="34" x14ac:dyDescent="0.2">
      <c r="A1920" t="s">
        <v>5666</v>
      </c>
      <c r="B1920" s="1" t="s">
        <v>5667</v>
      </c>
      <c r="C1920" t="s">
        <v>644</v>
      </c>
      <c r="D1920" s="1" t="s">
        <v>5668</v>
      </c>
      <c r="E1920" t="b">
        <v>1</v>
      </c>
      <c r="F1920">
        <v>7388</v>
      </c>
      <c r="G1920">
        <v>1325</v>
      </c>
      <c r="H1920" t="s">
        <v>11</v>
      </c>
      <c r="I1920" t="b" cm="1">
        <f t="array" ref="I1920">isDup(B1920,B1921, 0.7)</f>
        <v>0</v>
      </c>
    </row>
    <row r="1921" spans="1:9" ht="17" x14ac:dyDescent="0.2">
      <c r="A1921" t="s">
        <v>5222</v>
      </c>
      <c r="B1921" s="1" t="s">
        <v>5223</v>
      </c>
      <c r="C1921" t="s">
        <v>974</v>
      </c>
      <c r="D1921" s="1" t="s">
        <v>3133</v>
      </c>
      <c r="E1921" t="b">
        <v>0</v>
      </c>
      <c r="F1921">
        <v>353</v>
      </c>
      <c r="G1921">
        <v>189</v>
      </c>
      <c r="H1921" t="s">
        <v>11</v>
      </c>
      <c r="I1921" t="b" cm="1">
        <f t="array" ref="I1921">isDup(B1921,B1922, 0.7)</f>
        <v>0</v>
      </c>
    </row>
    <row r="1922" spans="1:9" ht="34" x14ac:dyDescent="0.2">
      <c r="A1922" t="s">
        <v>6758</v>
      </c>
      <c r="B1922" s="1" t="s">
        <v>6759</v>
      </c>
      <c r="C1922" t="s">
        <v>6760</v>
      </c>
      <c r="D1922" s="1" t="s">
        <v>322</v>
      </c>
      <c r="E1922" t="b">
        <v>0</v>
      </c>
      <c r="F1922">
        <v>227</v>
      </c>
      <c r="G1922">
        <v>1740</v>
      </c>
      <c r="H1922" t="s">
        <v>11</v>
      </c>
      <c r="I1922" t="b" cm="1">
        <f t="array" ref="I1922">isDup(B1922,B1923, 0.7)</f>
        <v>0</v>
      </c>
    </row>
    <row r="1923" spans="1:9" ht="17" x14ac:dyDescent="0.2">
      <c r="A1923" t="s">
        <v>5563</v>
      </c>
      <c r="B1923" s="1" t="s">
        <v>5564</v>
      </c>
      <c r="C1923" t="s">
        <v>464</v>
      </c>
      <c r="D1923" s="1" t="s">
        <v>465</v>
      </c>
      <c r="E1923" t="b">
        <v>0</v>
      </c>
      <c r="F1923">
        <v>5</v>
      </c>
      <c r="G1923">
        <v>13</v>
      </c>
      <c r="H1923" t="s">
        <v>11</v>
      </c>
      <c r="I1923" t="b" cm="1">
        <f t="array" ref="I1923">isDup(B1923,B1924, 0.7)</f>
        <v>0</v>
      </c>
    </row>
    <row r="1924" spans="1:9" ht="34" x14ac:dyDescent="0.2">
      <c r="A1924" t="s">
        <v>4360</v>
      </c>
      <c r="B1924" s="1" t="s">
        <v>4361</v>
      </c>
      <c r="C1924" t="s">
        <v>898</v>
      </c>
      <c r="D1924" s="1" t="s">
        <v>68</v>
      </c>
      <c r="E1924" t="b">
        <v>0</v>
      </c>
      <c r="F1924">
        <v>56540</v>
      </c>
      <c r="G1924">
        <v>645</v>
      </c>
      <c r="H1924" t="s">
        <v>11</v>
      </c>
      <c r="I1924" t="b" cm="1">
        <f t="array" ref="I1924">isDup(B1924,B1925, 0.7)</f>
        <v>1</v>
      </c>
    </row>
    <row r="1925" spans="1:9" ht="34" x14ac:dyDescent="0.2">
      <c r="A1925" t="s">
        <v>5194</v>
      </c>
      <c r="B1925" s="1" t="s">
        <v>5195</v>
      </c>
      <c r="C1925" t="s">
        <v>4516</v>
      </c>
      <c r="D1925" s="1" t="s">
        <v>5196</v>
      </c>
      <c r="E1925" t="b">
        <v>0</v>
      </c>
      <c r="F1925">
        <v>147</v>
      </c>
      <c r="G1925">
        <v>293</v>
      </c>
      <c r="H1925" t="s">
        <v>370</v>
      </c>
      <c r="I1925" t="b" cm="1">
        <f t="array" ref="I1925">isDup(B1925,B1926, 0.7)</f>
        <v>0</v>
      </c>
    </row>
    <row r="1926" spans="1:9" ht="34" x14ac:dyDescent="0.2">
      <c r="A1926" t="s">
        <v>1988</v>
      </c>
      <c r="B1926" s="1" t="s">
        <v>1989</v>
      </c>
      <c r="C1926" t="s">
        <v>1990</v>
      </c>
      <c r="D1926" s="1" t="s">
        <v>2</v>
      </c>
      <c r="E1926" t="b">
        <v>0</v>
      </c>
      <c r="F1926">
        <v>357</v>
      </c>
      <c r="G1926">
        <v>494</v>
      </c>
      <c r="H1926" t="s">
        <v>11</v>
      </c>
      <c r="I1926" t="b" cm="1">
        <f t="array" ref="I1926">isDup(B1926,B1927, 0.7)</f>
        <v>0</v>
      </c>
    </row>
    <row r="1927" spans="1:9" ht="17" x14ac:dyDescent="0.2">
      <c r="A1927" t="s">
        <v>6042</v>
      </c>
      <c r="B1927" s="1" t="s">
        <v>6043</v>
      </c>
      <c r="C1927" t="s">
        <v>1568</v>
      </c>
      <c r="D1927" s="1" t="s">
        <v>6044</v>
      </c>
      <c r="E1927" t="b">
        <v>0</v>
      </c>
      <c r="F1927">
        <v>1105</v>
      </c>
      <c r="G1927">
        <v>510</v>
      </c>
      <c r="H1927" t="s">
        <v>11</v>
      </c>
      <c r="I1927" t="b" cm="1">
        <f t="array" ref="I1927">isDup(B1927,B1928, 0.7)</f>
        <v>0</v>
      </c>
    </row>
    <row r="1928" spans="1:9" ht="34" x14ac:dyDescent="0.2">
      <c r="A1928" t="s">
        <v>4126</v>
      </c>
      <c r="B1928" s="1" t="s">
        <v>4127</v>
      </c>
      <c r="C1928" t="s">
        <v>4128</v>
      </c>
      <c r="D1928" s="1" t="s">
        <v>4129</v>
      </c>
      <c r="E1928" t="b">
        <v>0</v>
      </c>
      <c r="F1928">
        <v>9385</v>
      </c>
      <c r="G1928">
        <v>118</v>
      </c>
      <c r="H1928" t="s">
        <v>11</v>
      </c>
      <c r="I1928" t="b" cm="1">
        <f t="array" ref="I1928">isDup(B1928,B1929, 0.7)</f>
        <v>0</v>
      </c>
    </row>
    <row r="1929" spans="1:9" ht="34" x14ac:dyDescent="0.2">
      <c r="A1929" t="s">
        <v>4548</v>
      </c>
      <c r="B1929" s="1" t="s">
        <v>4549</v>
      </c>
      <c r="C1929" t="s">
        <v>2516</v>
      </c>
      <c r="D1929" s="1" t="s">
        <v>2</v>
      </c>
      <c r="E1929" t="b">
        <v>0</v>
      </c>
      <c r="F1929">
        <v>143</v>
      </c>
      <c r="G1929">
        <v>166</v>
      </c>
      <c r="H1929" t="s">
        <v>641</v>
      </c>
      <c r="I1929" t="b" cm="1">
        <f t="array" ref="I1929">isDup(B1929,B1930, 0.7)</f>
        <v>0</v>
      </c>
    </row>
    <row r="1930" spans="1:9" ht="17" x14ac:dyDescent="0.2">
      <c r="A1930" t="s">
        <v>5201</v>
      </c>
      <c r="B1930" s="1" t="s">
        <v>5202</v>
      </c>
      <c r="C1930" t="s">
        <v>1086</v>
      </c>
      <c r="D1930" s="1" t="s">
        <v>701</v>
      </c>
      <c r="E1930" t="b">
        <v>0</v>
      </c>
      <c r="F1930">
        <v>16</v>
      </c>
      <c r="G1930">
        <v>37</v>
      </c>
      <c r="H1930" t="s">
        <v>11</v>
      </c>
      <c r="I1930" t="b" cm="1">
        <f t="array" ref="I1930">isDup(B1930,B1931, 0.7)</f>
        <v>0</v>
      </c>
    </row>
    <row r="1931" spans="1:9" ht="34" x14ac:dyDescent="0.2">
      <c r="A1931" t="s">
        <v>3475</v>
      </c>
      <c r="B1931" s="1" t="s">
        <v>3476</v>
      </c>
      <c r="C1931" t="s">
        <v>3059</v>
      </c>
      <c r="D1931" s="1" t="s">
        <v>3477</v>
      </c>
      <c r="E1931" t="b">
        <v>0</v>
      </c>
      <c r="F1931">
        <v>5038</v>
      </c>
      <c r="G1931">
        <v>289</v>
      </c>
      <c r="H1931" t="s">
        <v>11</v>
      </c>
      <c r="I1931" t="b" cm="1">
        <f t="array" ref="I1931">isDup(B1931,B1932, 0.7)</f>
        <v>0</v>
      </c>
    </row>
    <row r="1932" spans="1:9" ht="34" x14ac:dyDescent="0.2">
      <c r="A1932" t="s">
        <v>4608</v>
      </c>
      <c r="B1932" s="1" t="s">
        <v>4609</v>
      </c>
      <c r="C1932" t="s">
        <v>193</v>
      </c>
      <c r="D1932" s="1" t="s">
        <v>4610</v>
      </c>
      <c r="E1932" t="b">
        <v>0</v>
      </c>
      <c r="F1932">
        <v>88</v>
      </c>
      <c r="G1932">
        <v>160</v>
      </c>
      <c r="H1932" t="s">
        <v>11</v>
      </c>
      <c r="I1932" t="b" cm="1">
        <f t="array" ref="I1932">isDup(B1932,B1933, 0.7)</f>
        <v>0</v>
      </c>
    </row>
    <row r="1933" spans="1:9" ht="34" x14ac:dyDescent="0.2">
      <c r="A1933" t="s">
        <v>7083</v>
      </c>
      <c r="B1933" s="1" t="s">
        <v>7084</v>
      </c>
      <c r="C1933" t="s">
        <v>2729</v>
      </c>
      <c r="D1933" s="1" t="s">
        <v>7085</v>
      </c>
      <c r="E1933" t="b">
        <v>0</v>
      </c>
      <c r="F1933">
        <v>46</v>
      </c>
      <c r="G1933">
        <v>338</v>
      </c>
      <c r="H1933" t="s">
        <v>11</v>
      </c>
      <c r="I1933" t="b" cm="1">
        <f t="array" ref="I1933">isDup(B1933,B1934, 0.7)</f>
        <v>0</v>
      </c>
    </row>
    <row r="1934" spans="1:9" ht="17" x14ac:dyDescent="0.2">
      <c r="A1934" t="s">
        <v>1475</v>
      </c>
      <c r="B1934" s="1" t="s">
        <v>1476</v>
      </c>
      <c r="C1934" t="s">
        <v>1477</v>
      </c>
      <c r="D1934" s="1" t="s">
        <v>1478</v>
      </c>
      <c r="E1934" t="b">
        <v>0</v>
      </c>
      <c r="F1934">
        <v>4162</v>
      </c>
      <c r="G1934">
        <v>4148</v>
      </c>
      <c r="H1934" t="s">
        <v>11</v>
      </c>
      <c r="I1934" t="b" cm="1">
        <f t="array" ref="I1934">isDup(B1934,B1935, 0.7)</f>
        <v>0</v>
      </c>
    </row>
    <row r="1935" spans="1:9" ht="17" x14ac:dyDescent="0.2">
      <c r="A1935" t="s">
        <v>2091</v>
      </c>
      <c r="B1935" s="1" t="s">
        <v>2092</v>
      </c>
      <c r="C1935" t="s">
        <v>1902</v>
      </c>
      <c r="D1935" s="1" t="s">
        <v>1809</v>
      </c>
      <c r="E1935" t="b">
        <v>0</v>
      </c>
      <c r="F1935">
        <v>184</v>
      </c>
      <c r="G1935">
        <v>300</v>
      </c>
      <c r="H1935" t="s">
        <v>11</v>
      </c>
      <c r="I1935" t="b" cm="1">
        <f t="array" ref="I1935">isDup(B1935,B1936, 0.7)</f>
        <v>0</v>
      </c>
    </row>
    <row r="1936" spans="1:9" ht="17" x14ac:dyDescent="0.2">
      <c r="A1936" t="s">
        <v>3537</v>
      </c>
      <c r="B1936" s="1" t="s">
        <v>3538</v>
      </c>
      <c r="C1936" t="s">
        <v>38</v>
      </c>
      <c r="D1936" s="1" t="s">
        <v>3539</v>
      </c>
      <c r="E1936" t="b">
        <v>0</v>
      </c>
      <c r="F1936">
        <v>58</v>
      </c>
      <c r="G1936">
        <v>142</v>
      </c>
      <c r="H1936" t="s">
        <v>11</v>
      </c>
      <c r="I1936" t="b" cm="1">
        <f t="array" ref="I1936">isDup(B1936,B1937, 0.7)</f>
        <v>0</v>
      </c>
    </row>
    <row r="1937" spans="1:9" ht="17" x14ac:dyDescent="0.2">
      <c r="A1937" t="s">
        <v>2279</v>
      </c>
      <c r="B1937" s="1" t="s">
        <v>2280</v>
      </c>
      <c r="C1937" t="s">
        <v>836</v>
      </c>
      <c r="D1937" s="1" t="s">
        <v>2</v>
      </c>
      <c r="E1937" t="b">
        <v>0</v>
      </c>
      <c r="F1937">
        <v>9</v>
      </c>
      <c r="G1937">
        <v>113</v>
      </c>
      <c r="H1937" t="s">
        <v>11</v>
      </c>
      <c r="I1937" t="b" cm="1">
        <f t="array" ref="I1937">isDup(B1937,B1938, 0.7)</f>
        <v>0</v>
      </c>
    </row>
    <row r="1938" spans="1:9" ht="17" x14ac:dyDescent="0.2">
      <c r="A1938" t="s">
        <v>3238</v>
      </c>
      <c r="B1938" s="1" t="s">
        <v>3239</v>
      </c>
      <c r="C1938" t="s">
        <v>1998</v>
      </c>
      <c r="D1938" s="1" t="s">
        <v>2</v>
      </c>
      <c r="E1938" t="b">
        <v>0</v>
      </c>
      <c r="F1938">
        <v>30</v>
      </c>
      <c r="G1938">
        <v>33</v>
      </c>
      <c r="H1938" t="s">
        <v>11</v>
      </c>
      <c r="I1938" t="b" cm="1">
        <f t="array" ref="I1938">isDup(B1938,B1939, 0.7)</f>
        <v>0</v>
      </c>
    </row>
    <row r="1939" spans="1:9" ht="17" x14ac:dyDescent="0.2">
      <c r="A1939" t="s">
        <v>6071</v>
      </c>
      <c r="B1939" s="1" t="s">
        <v>6072</v>
      </c>
      <c r="C1939" t="s">
        <v>1008</v>
      </c>
      <c r="D1939" s="1" t="s">
        <v>1813</v>
      </c>
      <c r="E1939" t="b">
        <v>0</v>
      </c>
      <c r="F1939">
        <v>636</v>
      </c>
      <c r="G1939">
        <v>1186</v>
      </c>
      <c r="H1939" t="s">
        <v>11</v>
      </c>
      <c r="I1939" t="b" cm="1">
        <f t="array" ref="I1939">isDup(B1939,B1940, 0.7)</f>
        <v>0</v>
      </c>
    </row>
    <row r="1940" spans="1:9" ht="34" x14ac:dyDescent="0.2">
      <c r="A1940" t="s">
        <v>2503</v>
      </c>
      <c r="B1940" s="1" t="s">
        <v>2504</v>
      </c>
      <c r="C1940" t="s">
        <v>623</v>
      </c>
      <c r="D1940" s="1" t="s">
        <v>624</v>
      </c>
      <c r="E1940" t="b">
        <v>0</v>
      </c>
      <c r="F1940">
        <v>3565</v>
      </c>
      <c r="G1940">
        <v>88</v>
      </c>
      <c r="H1940" t="s">
        <v>11</v>
      </c>
      <c r="I1940" t="b" cm="1">
        <f t="array" ref="I1940">isDup(B1940,B1941, 0.7)</f>
        <v>0</v>
      </c>
    </row>
    <row r="1941" spans="1:9" ht="17" x14ac:dyDescent="0.2">
      <c r="A1941" t="s">
        <v>7071</v>
      </c>
      <c r="B1941" s="1" t="s">
        <v>7072</v>
      </c>
      <c r="C1941" t="s">
        <v>581</v>
      </c>
      <c r="D1941" s="1" t="s">
        <v>2</v>
      </c>
      <c r="E1941" t="b">
        <v>0</v>
      </c>
      <c r="F1941">
        <v>1930</v>
      </c>
      <c r="G1941">
        <v>186</v>
      </c>
      <c r="H1941" t="s">
        <v>370</v>
      </c>
      <c r="I1941" t="b" cm="1">
        <f t="array" ref="I1941">isDup(B1941,B1942, 0.7)</f>
        <v>0</v>
      </c>
    </row>
    <row r="1942" spans="1:9" ht="17" x14ac:dyDescent="0.2">
      <c r="A1942" t="s">
        <v>1446</v>
      </c>
      <c r="B1942" s="1" t="s">
        <v>1447</v>
      </c>
      <c r="C1942" t="s">
        <v>1448</v>
      </c>
      <c r="D1942" s="1" t="s">
        <v>1449</v>
      </c>
      <c r="E1942" t="b">
        <v>0</v>
      </c>
      <c r="F1942">
        <v>1100</v>
      </c>
      <c r="G1942">
        <v>512</v>
      </c>
      <c r="H1942" t="s">
        <v>11</v>
      </c>
      <c r="I1942" t="b" cm="1">
        <f t="array" ref="I1942">isDup(B1942,B1943, 0.7)</f>
        <v>0</v>
      </c>
    </row>
    <row r="1943" spans="1:9" ht="17" x14ac:dyDescent="0.2">
      <c r="A1943" t="s">
        <v>40</v>
      </c>
      <c r="B1943" s="1" t="s">
        <v>41</v>
      </c>
      <c r="C1943" t="s">
        <v>42</v>
      </c>
      <c r="D1943" s="1" t="s">
        <v>2</v>
      </c>
      <c r="E1943" t="b">
        <v>0</v>
      </c>
      <c r="F1943">
        <v>1134</v>
      </c>
      <c r="G1943">
        <v>821</v>
      </c>
      <c r="H1943" t="s">
        <v>11</v>
      </c>
      <c r="I1943" t="b" cm="1">
        <f t="array" ref="I1943">isDup(B1943,B1944, 0.7)</f>
        <v>0</v>
      </c>
    </row>
    <row r="1944" spans="1:9" ht="17" x14ac:dyDescent="0.2">
      <c r="A1944" t="s">
        <v>1825</v>
      </c>
      <c r="B1944" s="1" t="s">
        <v>1826</v>
      </c>
      <c r="C1944" t="s">
        <v>373</v>
      </c>
      <c r="D1944" s="1" t="s">
        <v>1827</v>
      </c>
      <c r="E1944" t="b">
        <v>0</v>
      </c>
      <c r="F1944">
        <v>111</v>
      </c>
      <c r="G1944">
        <v>294</v>
      </c>
      <c r="H1944" t="s">
        <v>11</v>
      </c>
      <c r="I1944" t="b" cm="1">
        <f t="array" ref="I1944">isDup(B1944,B1945, 0.7)</f>
        <v>0</v>
      </c>
    </row>
    <row r="1945" spans="1:9" ht="34" x14ac:dyDescent="0.2">
      <c r="A1945" t="s">
        <v>1042</v>
      </c>
      <c r="B1945" s="1" t="s">
        <v>1043</v>
      </c>
      <c r="C1945" t="s">
        <v>1044</v>
      </c>
      <c r="D1945" s="1" t="s">
        <v>1045</v>
      </c>
      <c r="E1945" t="b">
        <v>0</v>
      </c>
      <c r="F1945">
        <v>389</v>
      </c>
      <c r="G1945">
        <v>3145</v>
      </c>
      <c r="H1945" t="s">
        <v>11</v>
      </c>
      <c r="I1945" t="b" cm="1">
        <f t="array" ref="I1945">isDup(B1945,B1946, 0.7)</f>
        <v>0</v>
      </c>
    </row>
    <row r="1946" spans="1:9" ht="34" x14ac:dyDescent="0.2">
      <c r="A1946" t="s">
        <v>2296</v>
      </c>
      <c r="B1946" s="1" t="s">
        <v>2297</v>
      </c>
      <c r="C1946" t="s">
        <v>2169</v>
      </c>
      <c r="D1946" s="1" t="s">
        <v>2170</v>
      </c>
      <c r="E1946" t="b">
        <v>0</v>
      </c>
      <c r="F1946">
        <v>62083</v>
      </c>
      <c r="G1946">
        <v>346</v>
      </c>
      <c r="H1946" t="s">
        <v>83</v>
      </c>
      <c r="I1946" t="b" cm="1">
        <f t="array" ref="I1946">isDup(B1946,B1947, 0.7)</f>
        <v>1</v>
      </c>
    </row>
    <row r="1947" spans="1:9" ht="34" x14ac:dyDescent="0.2">
      <c r="A1947" t="s">
        <v>2262</v>
      </c>
      <c r="B1947" s="1" t="s">
        <v>2263</v>
      </c>
      <c r="C1947" t="s">
        <v>2169</v>
      </c>
      <c r="D1947" s="1" t="s">
        <v>2170</v>
      </c>
      <c r="E1947" t="b">
        <v>0</v>
      </c>
      <c r="F1947">
        <v>62084</v>
      </c>
      <c r="G1947">
        <v>346</v>
      </c>
      <c r="H1947" t="s">
        <v>83</v>
      </c>
      <c r="I1947" t="b" cm="1">
        <f t="array" ref="I1947">isDup(B1947,B1948, 0.7)</f>
        <v>0</v>
      </c>
    </row>
    <row r="1948" spans="1:9" ht="17" x14ac:dyDescent="0.2">
      <c r="A1948" t="s">
        <v>2149</v>
      </c>
      <c r="B1948" s="1" t="s">
        <v>2150</v>
      </c>
      <c r="C1948" t="s">
        <v>2151</v>
      </c>
      <c r="D1948" s="1" t="s">
        <v>2</v>
      </c>
      <c r="E1948" t="b">
        <v>0</v>
      </c>
      <c r="F1948">
        <v>10</v>
      </c>
      <c r="G1948">
        <v>1</v>
      </c>
      <c r="H1948" t="s">
        <v>11</v>
      </c>
      <c r="I1948" t="b" cm="1">
        <f t="array" ref="I1948">isDup(B1948,B1949, 0.7)</f>
        <v>0</v>
      </c>
    </row>
    <row r="1949" spans="1:9" ht="17" x14ac:dyDescent="0.2">
      <c r="A1949" t="s">
        <v>1606</v>
      </c>
      <c r="B1949" s="1" t="s">
        <v>1607</v>
      </c>
      <c r="C1949" t="s">
        <v>305</v>
      </c>
      <c r="D1949" s="1" t="s">
        <v>1608</v>
      </c>
      <c r="E1949" t="b">
        <v>0</v>
      </c>
      <c r="F1949">
        <v>53</v>
      </c>
      <c r="G1949">
        <v>210</v>
      </c>
      <c r="H1949" t="s">
        <v>11</v>
      </c>
      <c r="I1949" t="b" cm="1">
        <f t="array" ref="I1949">isDup(B1949,B1950, 0.7)</f>
        <v>0</v>
      </c>
    </row>
    <row r="1950" spans="1:9" ht="34" x14ac:dyDescent="0.2">
      <c r="A1950" t="s">
        <v>444</v>
      </c>
      <c r="B1950" s="1" t="s">
        <v>445</v>
      </c>
      <c r="C1950" t="s">
        <v>446</v>
      </c>
      <c r="D1950" s="1" t="s">
        <v>2</v>
      </c>
      <c r="E1950" t="b">
        <v>0</v>
      </c>
      <c r="F1950">
        <v>98</v>
      </c>
      <c r="G1950">
        <v>564</v>
      </c>
      <c r="H1950" t="s">
        <v>83</v>
      </c>
      <c r="I1950" t="b" cm="1">
        <f t="array" ref="I1950">isDup(B1950,B1951, 0.7)</f>
        <v>0</v>
      </c>
    </row>
    <row r="1951" spans="1:9" ht="17" x14ac:dyDescent="0.2">
      <c r="A1951" t="s">
        <v>5410</v>
      </c>
      <c r="B1951" s="1" t="s">
        <v>5411</v>
      </c>
      <c r="C1951" t="s">
        <v>584</v>
      </c>
      <c r="D1951" s="1" t="s">
        <v>4541</v>
      </c>
      <c r="E1951" t="b">
        <v>0</v>
      </c>
      <c r="F1951">
        <v>13</v>
      </c>
      <c r="G1951">
        <v>58</v>
      </c>
      <c r="H1951" t="s">
        <v>11</v>
      </c>
      <c r="I1951" t="b" cm="1">
        <f t="array" ref="I1951">isDup(B1951,B1952, 0.7)</f>
        <v>0</v>
      </c>
    </row>
    <row r="1952" spans="1:9" ht="34" x14ac:dyDescent="0.2">
      <c r="A1952" t="s">
        <v>2646</v>
      </c>
      <c r="B1952" s="1" t="s">
        <v>2647</v>
      </c>
      <c r="C1952" t="s">
        <v>76</v>
      </c>
      <c r="D1952" s="1" t="s">
        <v>2648</v>
      </c>
      <c r="E1952" t="b">
        <v>0</v>
      </c>
      <c r="F1952">
        <v>8737</v>
      </c>
      <c r="G1952">
        <v>784</v>
      </c>
      <c r="H1952" t="s">
        <v>11</v>
      </c>
      <c r="I1952" t="b" cm="1">
        <f t="array" ref="I1952">isDup(B1952,B1953, 0.7)</f>
        <v>0</v>
      </c>
    </row>
    <row r="1953" spans="1:9" ht="17" x14ac:dyDescent="0.2">
      <c r="A1953" t="s">
        <v>677</v>
      </c>
      <c r="B1953" s="1" t="s">
        <v>678</v>
      </c>
      <c r="C1953" t="s">
        <v>679</v>
      </c>
      <c r="D1953" s="1" t="s">
        <v>487</v>
      </c>
      <c r="E1953" t="b">
        <v>0</v>
      </c>
      <c r="F1953">
        <v>1784</v>
      </c>
      <c r="G1953">
        <v>914</v>
      </c>
      <c r="H1953" t="s">
        <v>11</v>
      </c>
      <c r="I1953" t="b" cm="1">
        <f t="array" ref="I1953">isDup(B1953,B1954, 0.7)</f>
        <v>0</v>
      </c>
    </row>
    <row r="1954" spans="1:9" ht="17" x14ac:dyDescent="0.2">
      <c r="A1954" t="s">
        <v>5229</v>
      </c>
      <c r="B1954" s="1" t="s">
        <v>5230</v>
      </c>
      <c r="C1954" t="s">
        <v>410</v>
      </c>
      <c r="D1954" s="1" t="s">
        <v>2</v>
      </c>
      <c r="E1954" t="b">
        <v>0</v>
      </c>
      <c r="F1954">
        <v>637</v>
      </c>
      <c r="G1954">
        <v>862</v>
      </c>
      <c r="H1954" t="s">
        <v>11</v>
      </c>
      <c r="I1954" t="b" cm="1">
        <f t="array" ref="I1954">isDup(B1954,B1955, 0.7)</f>
        <v>0</v>
      </c>
    </row>
    <row r="1955" spans="1:9" ht="17" x14ac:dyDescent="0.2">
      <c r="A1955" t="s">
        <v>2427</v>
      </c>
      <c r="B1955" s="1" t="s">
        <v>2428</v>
      </c>
      <c r="C1955" t="s">
        <v>2429</v>
      </c>
      <c r="D1955" s="1" t="s">
        <v>2430</v>
      </c>
      <c r="E1955" t="b">
        <v>0</v>
      </c>
      <c r="F1955">
        <v>776</v>
      </c>
      <c r="G1955">
        <v>517</v>
      </c>
      <c r="H1955" t="s">
        <v>11</v>
      </c>
      <c r="I1955" t="b" cm="1">
        <f t="array" ref="I1955">isDup(B1955,B1956, 0.7)</f>
        <v>0</v>
      </c>
    </row>
    <row r="1956" spans="1:9" ht="34" x14ac:dyDescent="0.2">
      <c r="A1956" t="s">
        <v>6578</v>
      </c>
      <c r="B1956" s="1" t="s">
        <v>6579</v>
      </c>
      <c r="C1956" t="s">
        <v>513</v>
      </c>
      <c r="D1956" s="1" t="s">
        <v>2</v>
      </c>
      <c r="E1956" t="b">
        <v>0</v>
      </c>
      <c r="F1956">
        <v>13</v>
      </c>
      <c r="G1956">
        <v>15</v>
      </c>
      <c r="H1956" t="s">
        <v>11</v>
      </c>
      <c r="I1956" t="b" cm="1">
        <f t="array" ref="I1956">isDup(B1956,B1957, 0.7)</f>
        <v>0</v>
      </c>
    </row>
    <row r="1957" spans="1:9" ht="34" x14ac:dyDescent="0.2">
      <c r="A1957" t="s">
        <v>6122</v>
      </c>
      <c r="B1957" s="1" t="s">
        <v>6123</v>
      </c>
      <c r="C1957" t="s">
        <v>6078</v>
      </c>
      <c r="D1957" s="1" t="s">
        <v>6079</v>
      </c>
      <c r="E1957" t="b">
        <v>0</v>
      </c>
      <c r="F1957">
        <v>6979</v>
      </c>
      <c r="G1957">
        <v>6188</v>
      </c>
      <c r="H1957" t="s">
        <v>11</v>
      </c>
      <c r="I1957" t="b" cm="1">
        <f t="array" ref="I1957">isDup(B1957,B1958, 0.7)</f>
        <v>0</v>
      </c>
    </row>
    <row r="1958" spans="1:9" ht="34" x14ac:dyDescent="0.2">
      <c r="A1958" t="s">
        <v>287</v>
      </c>
      <c r="B1958" s="1" t="s">
        <v>288</v>
      </c>
      <c r="C1958" t="s">
        <v>289</v>
      </c>
      <c r="D1958" s="1" t="s">
        <v>2</v>
      </c>
      <c r="E1958" t="b">
        <v>0</v>
      </c>
      <c r="F1958">
        <v>3633</v>
      </c>
      <c r="G1958">
        <v>3728</v>
      </c>
      <c r="H1958" t="s">
        <v>11</v>
      </c>
      <c r="I1958" t="b" cm="1">
        <f t="array" ref="I1958">isDup(B1958,B1959, 0.7)</f>
        <v>0</v>
      </c>
    </row>
    <row r="1959" spans="1:9" ht="34" x14ac:dyDescent="0.2">
      <c r="A1959" t="s">
        <v>6909</v>
      </c>
      <c r="B1959" s="1" t="s">
        <v>6910</v>
      </c>
      <c r="C1959" t="s">
        <v>6911</v>
      </c>
      <c r="D1959" s="1" t="s">
        <v>2</v>
      </c>
      <c r="E1959" t="b">
        <v>0</v>
      </c>
      <c r="F1959">
        <v>2374</v>
      </c>
      <c r="G1959">
        <v>75</v>
      </c>
      <c r="H1959" t="s">
        <v>11</v>
      </c>
      <c r="I1959" t="b" cm="1">
        <f t="array" ref="I1959">isDup(B1959,B1960, 0.7)</f>
        <v>0</v>
      </c>
    </row>
    <row r="1960" spans="1:9" ht="17" x14ac:dyDescent="0.2">
      <c r="A1960" t="s">
        <v>6516</v>
      </c>
      <c r="B1960" s="1" t="s">
        <v>6517</v>
      </c>
      <c r="C1960" t="s">
        <v>1568</v>
      </c>
      <c r="D1960" s="1" t="s">
        <v>2</v>
      </c>
      <c r="E1960" t="b">
        <v>0</v>
      </c>
      <c r="F1960">
        <v>162</v>
      </c>
      <c r="G1960">
        <v>58</v>
      </c>
      <c r="H1960" t="s">
        <v>47</v>
      </c>
      <c r="I1960" t="b" cm="1">
        <f t="array" ref="I1960">isDup(B1960,B1961, 0.7)</f>
        <v>0</v>
      </c>
    </row>
    <row r="1961" spans="1:9" ht="34" x14ac:dyDescent="0.2">
      <c r="A1961" t="s">
        <v>1282</v>
      </c>
      <c r="B1961" s="1" t="s">
        <v>1283</v>
      </c>
      <c r="C1961" t="s">
        <v>167</v>
      </c>
      <c r="D1961" s="1" t="s">
        <v>1284</v>
      </c>
      <c r="E1961" t="b">
        <v>0</v>
      </c>
      <c r="F1961">
        <v>3794</v>
      </c>
      <c r="G1961">
        <v>186</v>
      </c>
      <c r="H1961" t="s">
        <v>11</v>
      </c>
      <c r="I1961" t="b" cm="1">
        <f t="array" ref="I1961">isDup(B1961,B1962, 0.7)</f>
        <v>0</v>
      </c>
    </row>
    <row r="1962" spans="1:9" ht="34" x14ac:dyDescent="0.2">
      <c r="A1962" t="s">
        <v>377</v>
      </c>
      <c r="B1962" s="1" t="s">
        <v>378</v>
      </c>
      <c r="C1962" t="s">
        <v>379</v>
      </c>
      <c r="D1962" s="1" t="s">
        <v>380</v>
      </c>
      <c r="E1962" t="b">
        <v>0</v>
      </c>
      <c r="F1962">
        <v>1060</v>
      </c>
      <c r="G1962">
        <v>362</v>
      </c>
      <c r="H1962" t="s">
        <v>11</v>
      </c>
      <c r="I1962" t="b" cm="1">
        <f t="array" ref="I1962">isDup(B1962,B1963, 0.7)</f>
        <v>0</v>
      </c>
    </row>
    <row r="1963" spans="1:9" ht="34" x14ac:dyDescent="0.2">
      <c r="A1963" t="s">
        <v>5184</v>
      </c>
      <c r="B1963" s="1" t="s">
        <v>5185</v>
      </c>
      <c r="C1963" t="s">
        <v>526</v>
      </c>
      <c r="D1963" s="1" t="s">
        <v>2</v>
      </c>
      <c r="E1963" t="b">
        <v>0</v>
      </c>
      <c r="F1963">
        <v>184</v>
      </c>
      <c r="G1963">
        <v>210</v>
      </c>
      <c r="H1963" t="s">
        <v>11</v>
      </c>
      <c r="I1963" t="b" cm="1">
        <f t="array" ref="I1963">isDup(B1963,B1964, 0.7)</f>
        <v>0</v>
      </c>
    </row>
    <row r="1964" spans="1:9" ht="34" x14ac:dyDescent="0.2">
      <c r="A1964" t="s">
        <v>6379</v>
      </c>
      <c r="B1964" s="1" t="s">
        <v>6380</v>
      </c>
      <c r="C1964" t="s">
        <v>2255</v>
      </c>
      <c r="D1964" s="1" t="s">
        <v>6381</v>
      </c>
      <c r="E1964" t="b">
        <v>0</v>
      </c>
      <c r="F1964">
        <v>4291</v>
      </c>
      <c r="G1964">
        <v>39</v>
      </c>
      <c r="H1964" t="s">
        <v>11</v>
      </c>
      <c r="I1964" t="b" cm="1">
        <f t="array" ref="I1964">isDup(B1964,B1965, 0.7)</f>
        <v>0</v>
      </c>
    </row>
    <row r="1965" spans="1:9" ht="34" x14ac:dyDescent="0.2">
      <c r="A1965" t="s">
        <v>1340</v>
      </c>
      <c r="B1965" s="1" t="s">
        <v>1341</v>
      </c>
      <c r="C1965" t="s">
        <v>1342</v>
      </c>
      <c r="D1965" s="1" t="s">
        <v>1343</v>
      </c>
      <c r="E1965" t="b">
        <v>0</v>
      </c>
      <c r="F1965">
        <v>4352</v>
      </c>
      <c r="G1965">
        <v>349</v>
      </c>
      <c r="H1965" t="s">
        <v>11</v>
      </c>
      <c r="I1965" t="b" cm="1">
        <f t="array" ref="I1965">isDup(B1965,B1966, 0.7)</f>
        <v>0</v>
      </c>
    </row>
    <row r="1966" spans="1:9" ht="17" x14ac:dyDescent="0.2">
      <c r="A1966" t="s">
        <v>3452</v>
      </c>
      <c r="B1966" s="1" t="s">
        <v>3453</v>
      </c>
      <c r="C1966" t="s">
        <v>410</v>
      </c>
      <c r="D1966" s="1" t="s">
        <v>3454</v>
      </c>
      <c r="E1966" t="b">
        <v>0</v>
      </c>
      <c r="F1966">
        <v>813</v>
      </c>
      <c r="G1966">
        <v>789</v>
      </c>
      <c r="H1966" t="s">
        <v>11</v>
      </c>
      <c r="I1966" t="b" cm="1">
        <f t="array" ref="I1966">isDup(B1966,B1967, 0.7)</f>
        <v>0</v>
      </c>
    </row>
    <row r="1967" spans="1:9" ht="17" x14ac:dyDescent="0.2">
      <c r="A1967" t="s">
        <v>2285</v>
      </c>
      <c r="B1967" s="1" t="s">
        <v>2286</v>
      </c>
      <c r="C1967" t="s">
        <v>2287</v>
      </c>
      <c r="D1967" s="1" t="s">
        <v>2</v>
      </c>
      <c r="E1967" t="b">
        <v>0</v>
      </c>
      <c r="F1967">
        <v>1014</v>
      </c>
      <c r="G1967">
        <v>1404</v>
      </c>
      <c r="H1967" t="s">
        <v>11</v>
      </c>
      <c r="I1967" t="b" cm="1">
        <f t="array" ref="I1967">isDup(B1967,B1968, 0.7)</f>
        <v>0</v>
      </c>
    </row>
    <row r="1968" spans="1:9" ht="34" x14ac:dyDescent="0.2">
      <c r="A1968" t="s">
        <v>4746</v>
      </c>
      <c r="B1968" s="1" t="s">
        <v>4747</v>
      </c>
      <c r="C1968" t="s">
        <v>289</v>
      </c>
      <c r="D1968" s="1" t="s">
        <v>2</v>
      </c>
      <c r="E1968" t="b">
        <v>0</v>
      </c>
      <c r="F1968">
        <v>3634</v>
      </c>
      <c r="G1968">
        <v>3732</v>
      </c>
      <c r="H1968" t="s">
        <v>11</v>
      </c>
      <c r="I1968" t="b" cm="1">
        <f t="array" ref="I1968">isDup(B1968,B1969, 0.7)</f>
        <v>0</v>
      </c>
    </row>
    <row r="1969" spans="1:9" ht="17" x14ac:dyDescent="0.2">
      <c r="A1969" t="s">
        <v>1504</v>
      </c>
      <c r="B1969" s="1" t="s">
        <v>1505</v>
      </c>
      <c r="C1969" t="s">
        <v>1506</v>
      </c>
      <c r="D1969" s="1" t="s">
        <v>1507</v>
      </c>
      <c r="E1969" t="b">
        <v>0</v>
      </c>
      <c r="F1969">
        <v>682</v>
      </c>
      <c r="G1969">
        <v>1430</v>
      </c>
      <c r="H1969" t="s">
        <v>11</v>
      </c>
      <c r="I1969" t="b" cm="1">
        <f t="array" ref="I1969">isDup(B1969,B1970, 0.7)</f>
        <v>0</v>
      </c>
    </row>
    <row r="1970" spans="1:9" ht="17" x14ac:dyDescent="0.2">
      <c r="A1970" t="s">
        <v>1235</v>
      </c>
      <c r="B1970" s="1" t="s">
        <v>1236</v>
      </c>
      <c r="C1970" t="s">
        <v>1237</v>
      </c>
      <c r="D1970" s="1" t="s">
        <v>1238</v>
      </c>
      <c r="E1970" t="b">
        <v>0</v>
      </c>
      <c r="F1970">
        <v>17</v>
      </c>
      <c r="G1970">
        <v>439</v>
      </c>
      <c r="H1970" t="s">
        <v>11</v>
      </c>
      <c r="I1970" t="b" cm="1">
        <f t="array" ref="I1970">isDup(B1970,B1971, 0.7)</f>
        <v>0</v>
      </c>
    </row>
    <row r="1971" spans="1:9" ht="17" x14ac:dyDescent="0.2">
      <c r="A1971" t="s">
        <v>1231</v>
      </c>
      <c r="B1971" s="1" t="s">
        <v>1232</v>
      </c>
      <c r="C1971" t="s">
        <v>1226</v>
      </c>
      <c r="D1971" s="1" t="s">
        <v>1227</v>
      </c>
      <c r="E1971" t="b">
        <v>0</v>
      </c>
      <c r="F1971">
        <v>425</v>
      </c>
      <c r="G1971">
        <v>768</v>
      </c>
      <c r="H1971" t="s">
        <v>11</v>
      </c>
      <c r="I1971" t="b" cm="1">
        <f t="array" ref="I1971">isDup(B1971,B1972, 0.7)</f>
        <v>0</v>
      </c>
    </row>
    <row r="1972" spans="1:9" ht="34" x14ac:dyDescent="0.2">
      <c r="A1972" t="s">
        <v>2631</v>
      </c>
      <c r="B1972" s="1" t="s">
        <v>2632</v>
      </c>
      <c r="C1972" t="s">
        <v>2633</v>
      </c>
      <c r="D1972" s="1" t="s">
        <v>2634</v>
      </c>
      <c r="E1972" t="b">
        <v>0</v>
      </c>
      <c r="F1972">
        <v>1118</v>
      </c>
      <c r="G1972">
        <v>1528</v>
      </c>
      <c r="H1972" t="s">
        <v>3</v>
      </c>
      <c r="I1972" t="b" cm="1">
        <f t="array" ref="I1972">isDup(B1972,B1973, 0.7)</f>
        <v>0</v>
      </c>
    </row>
    <row r="1973" spans="1:9" ht="17" x14ac:dyDescent="0.2">
      <c r="A1973" t="s">
        <v>609</v>
      </c>
      <c r="B1973" s="1" t="s">
        <v>610</v>
      </c>
      <c r="C1973" t="s">
        <v>611</v>
      </c>
      <c r="D1973" s="1" t="s">
        <v>612</v>
      </c>
      <c r="E1973" t="b">
        <v>0</v>
      </c>
      <c r="F1973">
        <v>14</v>
      </c>
      <c r="G1973">
        <v>27</v>
      </c>
      <c r="H1973" t="s">
        <v>47</v>
      </c>
      <c r="I1973" t="b" cm="1">
        <f t="array" ref="I1973">isDup(B1973,B1974, 0.7)</f>
        <v>0</v>
      </c>
    </row>
    <row r="1974" spans="1:9" ht="34" x14ac:dyDescent="0.2">
      <c r="A1974" t="s">
        <v>6922</v>
      </c>
      <c r="B1974" s="1" t="s">
        <v>6923</v>
      </c>
      <c r="C1974" t="s">
        <v>6924</v>
      </c>
      <c r="D1974" s="1" t="s">
        <v>2</v>
      </c>
      <c r="E1974" t="b">
        <v>0</v>
      </c>
      <c r="F1974">
        <v>242</v>
      </c>
      <c r="G1974">
        <v>102</v>
      </c>
      <c r="H1974" t="s">
        <v>11</v>
      </c>
      <c r="I1974" t="b" cm="1">
        <f t="array" ref="I1974">isDup(B1974,B1975, 0.7)</f>
        <v>0</v>
      </c>
    </row>
    <row r="1975" spans="1:9" ht="17" x14ac:dyDescent="0.2">
      <c r="A1975" t="s">
        <v>6139</v>
      </c>
      <c r="B1975" s="1" t="s">
        <v>6140</v>
      </c>
      <c r="C1975" t="s">
        <v>2425</v>
      </c>
      <c r="D1975" s="1" t="s">
        <v>6141</v>
      </c>
      <c r="E1975" t="b">
        <v>0</v>
      </c>
      <c r="F1975">
        <v>21</v>
      </c>
      <c r="G1975">
        <v>171</v>
      </c>
      <c r="H1975" t="s">
        <v>11</v>
      </c>
      <c r="I1975" t="b" cm="1">
        <f t="array" ref="I1975">isDup(B1975,B1976, 0.7)</f>
        <v>0</v>
      </c>
    </row>
    <row r="1976" spans="1:9" ht="34" x14ac:dyDescent="0.2">
      <c r="A1976" t="s">
        <v>1722</v>
      </c>
      <c r="B1976" s="1" t="s">
        <v>1723</v>
      </c>
      <c r="C1976" t="s">
        <v>1724</v>
      </c>
      <c r="D1976" s="1" t="s">
        <v>1725</v>
      </c>
      <c r="E1976" t="b">
        <v>0</v>
      </c>
      <c r="F1976">
        <v>169</v>
      </c>
      <c r="G1976">
        <v>280</v>
      </c>
      <c r="H1976" t="s">
        <v>11</v>
      </c>
      <c r="I1976" t="b" cm="1">
        <f t="array" ref="I1976">isDup(B1976,B1977, 0.7)</f>
        <v>0</v>
      </c>
    </row>
    <row r="1977" spans="1:9" ht="17" x14ac:dyDescent="0.2">
      <c r="A1977" t="s">
        <v>3224</v>
      </c>
      <c r="B1977" s="1" t="s">
        <v>3225</v>
      </c>
      <c r="C1977" t="s">
        <v>3226</v>
      </c>
      <c r="D1977" s="1" t="s">
        <v>2</v>
      </c>
      <c r="E1977" t="b">
        <v>0</v>
      </c>
      <c r="F1977">
        <v>30001</v>
      </c>
      <c r="G1977">
        <v>629</v>
      </c>
      <c r="H1977" t="s">
        <v>11</v>
      </c>
      <c r="I1977" t="b" cm="1">
        <f t="array" ref="I1977">isDup(B1977,B1978, 0.7)</f>
        <v>0</v>
      </c>
    </row>
    <row r="1978" spans="1:9" ht="17" x14ac:dyDescent="0.2">
      <c r="A1978" t="s">
        <v>6981</v>
      </c>
      <c r="B1978" s="1" t="s">
        <v>6982</v>
      </c>
      <c r="C1978" t="s">
        <v>6239</v>
      </c>
      <c r="D1978" s="1" t="s">
        <v>6983</v>
      </c>
      <c r="E1978" t="b">
        <v>0</v>
      </c>
      <c r="F1978">
        <v>89</v>
      </c>
      <c r="G1978">
        <v>166</v>
      </c>
      <c r="H1978" t="s">
        <v>11</v>
      </c>
      <c r="I1978" t="b" cm="1">
        <f t="array" ref="I1978">isDup(B1978,B1979, 0.7)</f>
        <v>0</v>
      </c>
    </row>
    <row r="1979" spans="1:9" ht="17" x14ac:dyDescent="0.2">
      <c r="A1979" t="s">
        <v>5147</v>
      </c>
      <c r="B1979" s="1" t="s">
        <v>5148</v>
      </c>
      <c r="C1979" t="s">
        <v>5137</v>
      </c>
      <c r="D1979" s="1" t="s">
        <v>2</v>
      </c>
      <c r="E1979" t="b">
        <v>0</v>
      </c>
      <c r="F1979">
        <v>27</v>
      </c>
      <c r="G1979">
        <v>28</v>
      </c>
      <c r="H1979" t="s">
        <v>11</v>
      </c>
      <c r="I1979" t="b" cm="1">
        <f t="array" ref="I1979">isDup(B1979,B1980, 0.7)</f>
        <v>0</v>
      </c>
    </row>
    <row r="1980" spans="1:9" ht="34" x14ac:dyDescent="0.2">
      <c r="A1980" t="s">
        <v>4381</v>
      </c>
      <c r="B1980" s="1" t="s">
        <v>4382</v>
      </c>
      <c r="C1980" t="s">
        <v>3261</v>
      </c>
      <c r="D1980" s="1" t="s">
        <v>4383</v>
      </c>
      <c r="E1980" t="b">
        <v>0</v>
      </c>
      <c r="F1980">
        <v>532</v>
      </c>
      <c r="G1980">
        <v>371</v>
      </c>
      <c r="H1980" t="s">
        <v>11</v>
      </c>
      <c r="I1980" t="b" cm="1">
        <f t="array" ref="I1980">isDup(B1980,B1981, 0.7)</f>
        <v>0</v>
      </c>
    </row>
    <row r="1981" spans="1:9" ht="34" x14ac:dyDescent="0.2">
      <c r="A1981" t="s">
        <v>7024</v>
      </c>
      <c r="B1981" s="1" t="s">
        <v>7025</v>
      </c>
      <c r="C1981" t="s">
        <v>2421</v>
      </c>
      <c r="D1981" s="1" t="s">
        <v>6051</v>
      </c>
      <c r="E1981" t="b">
        <v>0</v>
      </c>
      <c r="F1981">
        <v>1055</v>
      </c>
      <c r="G1981">
        <v>1475</v>
      </c>
      <c r="H1981" t="s">
        <v>11</v>
      </c>
      <c r="I1981" t="b" cm="1">
        <f t="array" ref="I1981">isDup(B1981,B1982, 0.7)</f>
        <v>0</v>
      </c>
    </row>
    <row r="1982" spans="1:9" ht="34" x14ac:dyDescent="0.2">
      <c r="A1982" t="s">
        <v>4287</v>
      </c>
      <c r="B1982" s="1" t="s">
        <v>4288</v>
      </c>
      <c r="C1982" t="s">
        <v>193</v>
      </c>
      <c r="D1982" s="1" t="s">
        <v>322</v>
      </c>
      <c r="E1982" t="b">
        <v>0</v>
      </c>
      <c r="F1982">
        <v>15</v>
      </c>
      <c r="G1982">
        <v>59</v>
      </c>
      <c r="H1982" t="s">
        <v>11</v>
      </c>
      <c r="I1982" t="b" cm="1">
        <f t="array" ref="I1982">isDup(B1982,B1983, 0.7)</f>
        <v>0</v>
      </c>
    </row>
    <row r="1983" spans="1:9" ht="17" x14ac:dyDescent="0.2">
      <c r="A1983" t="s">
        <v>7022</v>
      </c>
      <c r="B1983" s="1" t="s">
        <v>7023</v>
      </c>
      <c r="C1983" t="s">
        <v>157</v>
      </c>
      <c r="D1983" s="1" t="s">
        <v>158</v>
      </c>
      <c r="E1983" t="b">
        <v>0</v>
      </c>
      <c r="F1983">
        <v>132</v>
      </c>
      <c r="G1983">
        <v>57</v>
      </c>
      <c r="H1983" t="s">
        <v>11</v>
      </c>
      <c r="I1983" t="b" cm="1">
        <f t="array" ref="I1983">isDup(B1983,B1984, 0.7)</f>
        <v>0</v>
      </c>
    </row>
    <row r="1984" spans="1:9" ht="17" x14ac:dyDescent="0.2">
      <c r="A1984" t="s">
        <v>1103</v>
      </c>
      <c r="B1984" s="1" t="s">
        <v>1104</v>
      </c>
      <c r="C1984" t="s">
        <v>345</v>
      </c>
      <c r="D1984" s="1" t="s">
        <v>1105</v>
      </c>
      <c r="E1984" t="b">
        <v>0</v>
      </c>
      <c r="F1984">
        <v>414</v>
      </c>
      <c r="G1984">
        <v>206</v>
      </c>
      <c r="H1984" t="s">
        <v>11</v>
      </c>
      <c r="I1984" t="b" cm="1">
        <f t="array" ref="I1984">isDup(B1984,B1985, 0.7)</f>
        <v>0</v>
      </c>
    </row>
    <row r="1985" spans="1:9" ht="34" x14ac:dyDescent="0.2">
      <c r="A1985" t="s">
        <v>6210</v>
      </c>
      <c r="B1985" s="1" t="s">
        <v>6211</v>
      </c>
      <c r="C1985" t="s">
        <v>6212</v>
      </c>
      <c r="D1985" s="1" t="s">
        <v>6213</v>
      </c>
      <c r="E1985" t="b">
        <v>0</v>
      </c>
      <c r="F1985">
        <v>5123</v>
      </c>
      <c r="G1985">
        <v>5586</v>
      </c>
      <c r="H1985" t="s">
        <v>11</v>
      </c>
      <c r="I1985" t="b" cm="1">
        <f t="array" ref="I1985">isDup(B1985,B1986, 0.7)</f>
        <v>0</v>
      </c>
    </row>
    <row r="1986" spans="1:9" ht="17" x14ac:dyDescent="0.2">
      <c r="A1986" t="s">
        <v>5094</v>
      </c>
      <c r="B1986" s="1" t="s">
        <v>5096</v>
      </c>
      <c r="C1986" t="s">
        <v>5097</v>
      </c>
      <c r="D1986" s="1" t="s">
        <v>5098</v>
      </c>
      <c r="E1986" t="b">
        <v>0</v>
      </c>
      <c r="F1986">
        <v>488</v>
      </c>
      <c r="G1986">
        <v>540</v>
      </c>
      <c r="H1986" t="s">
        <v>11</v>
      </c>
      <c r="I1986" t="b" cm="1">
        <f t="array" ref="I1986">isDup(B1986,B1987, 0.7)</f>
        <v>0</v>
      </c>
    </row>
    <row r="1987" spans="1:9" ht="17" x14ac:dyDescent="0.2">
      <c r="A1987" t="s">
        <v>4067</v>
      </c>
      <c r="B1987" s="1" t="s">
        <v>4068</v>
      </c>
      <c r="C1987" t="s">
        <v>472</v>
      </c>
      <c r="D1987" s="1" t="s">
        <v>2</v>
      </c>
      <c r="E1987" t="b">
        <v>0</v>
      </c>
      <c r="F1987">
        <v>190</v>
      </c>
      <c r="G1987">
        <v>92</v>
      </c>
      <c r="H1987" t="s">
        <v>11</v>
      </c>
      <c r="I1987" t="b" cm="1">
        <f t="array" ref="I1987">isDup(B1987,B1988, 0.7)</f>
        <v>0</v>
      </c>
    </row>
    <row r="1988" spans="1:9" ht="17" x14ac:dyDescent="0.2">
      <c r="A1988" t="s">
        <v>6339</v>
      </c>
      <c r="B1988" s="1" t="s">
        <v>6340</v>
      </c>
      <c r="C1988" t="s">
        <v>1237</v>
      </c>
      <c r="D1988" s="1" t="s">
        <v>6341</v>
      </c>
      <c r="E1988" t="b">
        <v>0</v>
      </c>
      <c r="F1988">
        <v>8301</v>
      </c>
      <c r="G1988">
        <v>510</v>
      </c>
      <c r="H1988" t="s">
        <v>370</v>
      </c>
      <c r="I1988" t="b" cm="1">
        <f t="array" ref="I1988">isDup(B1988,B1989, 0.7)</f>
        <v>0</v>
      </c>
    </row>
    <row r="1989" spans="1:9" ht="17" x14ac:dyDescent="0.2">
      <c r="A1989" t="s">
        <v>1532</v>
      </c>
      <c r="B1989" s="1" t="s">
        <v>1533</v>
      </c>
      <c r="C1989" t="s">
        <v>222</v>
      </c>
      <c r="D1989" s="1" t="s">
        <v>223</v>
      </c>
      <c r="E1989" t="b">
        <v>0</v>
      </c>
      <c r="F1989">
        <v>9227</v>
      </c>
      <c r="G1989">
        <v>7170</v>
      </c>
      <c r="H1989" t="s">
        <v>11</v>
      </c>
      <c r="I1989" t="b" cm="1">
        <f t="array" ref="I1989">isDup(B1989,B1990, 0.7)</f>
        <v>0</v>
      </c>
    </row>
    <row r="1990" spans="1:9" ht="17" x14ac:dyDescent="0.2">
      <c r="A1990" t="s">
        <v>652</v>
      </c>
      <c r="B1990" s="1" t="s">
        <v>653</v>
      </c>
      <c r="C1990" t="s">
        <v>654</v>
      </c>
      <c r="D1990" s="1" t="s">
        <v>655</v>
      </c>
      <c r="E1990" t="b">
        <v>0</v>
      </c>
      <c r="F1990">
        <v>6</v>
      </c>
      <c r="G1990">
        <v>62</v>
      </c>
      <c r="H1990" t="s">
        <v>641</v>
      </c>
      <c r="I1990" t="b" cm="1">
        <f t="array" ref="I1990">isDup(B1990,B1991, 0.7)</f>
        <v>0</v>
      </c>
    </row>
    <row r="1991" spans="1:9" ht="34" x14ac:dyDescent="0.2">
      <c r="A1991" t="s">
        <v>4309</v>
      </c>
      <c r="B1991" s="1" t="s">
        <v>4310</v>
      </c>
      <c r="C1991" t="s">
        <v>2973</v>
      </c>
      <c r="D1991" s="1" t="s">
        <v>4311</v>
      </c>
      <c r="E1991" t="b">
        <v>0</v>
      </c>
      <c r="F1991">
        <v>5593</v>
      </c>
      <c r="G1991">
        <v>203</v>
      </c>
      <c r="H1991" t="s">
        <v>11</v>
      </c>
      <c r="I1991" t="b" cm="1">
        <f t="array" ref="I1991">isDup(B1991,B1992, 0.7)</f>
        <v>0</v>
      </c>
    </row>
    <row r="1992" spans="1:9" ht="34" x14ac:dyDescent="0.2">
      <c r="A1992" t="s">
        <v>4063</v>
      </c>
      <c r="B1992" s="1" t="s">
        <v>4064</v>
      </c>
      <c r="C1992" t="s">
        <v>1419</v>
      </c>
      <c r="D1992" s="1" t="s">
        <v>2873</v>
      </c>
      <c r="E1992" t="b">
        <v>0</v>
      </c>
      <c r="F1992">
        <v>2264</v>
      </c>
      <c r="G1992">
        <v>2352</v>
      </c>
      <c r="H1992" t="s">
        <v>11</v>
      </c>
      <c r="I1992" t="b" cm="1">
        <f t="array" ref="I1992">isDup(B1992,B1993, 0.7)</f>
        <v>0</v>
      </c>
    </row>
    <row r="1993" spans="1:9" ht="17" x14ac:dyDescent="0.2">
      <c r="A1993" t="s">
        <v>5685</v>
      </c>
      <c r="B1993" s="1" t="s">
        <v>5686</v>
      </c>
      <c r="C1993" t="s">
        <v>230</v>
      </c>
      <c r="D1993" s="1" t="s">
        <v>2</v>
      </c>
      <c r="E1993" t="b">
        <v>0</v>
      </c>
      <c r="F1993">
        <v>10</v>
      </c>
      <c r="G1993">
        <v>125</v>
      </c>
      <c r="H1993" t="s">
        <v>11</v>
      </c>
      <c r="I1993" t="b" cm="1">
        <f t="array" ref="I1993">isDup(B1993,B1994, 0.7)</f>
        <v>0</v>
      </c>
    </row>
    <row r="1994" spans="1:9" ht="17" x14ac:dyDescent="0.2">
      <c r="A1994" t="s">
        <v>2879</v>
      </c>
      <c r="B1994" s="1" t="s">
        <v>2880</v>
      </c>
      <c r="C1994" t="s">
        <v>2881</v>
      </c>
      <c r="D1994" s="1" t="s">
        <v>2882</v>
      </c>
      <c r="E1994" t="b">
        <v>0</v>
      </c>
      <c r="F1994">
        <v>107</v>
      </c>
      <c r="G1994">
        <v>127</v>
      </c>
      <c r="H1994" t="s">
        <v>11</v>
      </c>
      <c r="I1994" t="b" cm="1">
        <f t="array" ref="I1994">isDup(B1994,B1995, 0.7)</f>
        <v>0</v>
      </c>
    </row>
    <row r="1995" spans="1:9" ht="17" x14ac:dyDescent="0.2">
      <c r="A1995" t="s">
        <v>6042</v>
      </c>
      <c r="B1995" s="1" t="s">
        <v>6045</v>
      </c>
      <c r="C1995" t="s">
        <v>6046</v>
      </c>
      <c r="D1995" s="1" t="s">
        <v>2</v>
      </c>
      <c r="E1995" t="b">
        <v>0</v>
      </c>
      <c r="F1995">
        <v>15</v>
      </c>
      <c r="G1995">
        <v>24</v>
      </c>
      <c r="H1995" t="s">
        <v>11</v>
      </c>
      <c r="I1995" t="b" cm="1">
        <f t="array" ref="I1995">isDup(B1995,B1996, 0.7)</f>
        <v>0</v>
      </c>
    </row>
    <row r="1996" spans="1:9" ht="34" x14ac:dyDescent="0.2">
      <c r="A1996" t="s">
        <v>3519</v>
      </c>
      <c r="B1996" s="1" t="s">
        <v>3520</v>
      </c>
      <c r="C1996" t="s">
        <v>3521</v>
      </c>
      <c r="D1996" s="1" t="s">
        <v>2</v>
      </c>
      <c r="E1996" t="b">
        <v>0</v>
      </c>
      <c r="F1996">
        <v>0</v>
      </c>
      <c r="G1996">
        <v>17</v>
      </c>
      <c r="H1996" t="s">
        <v>11</v>
      </c>
      <c r="I1996" t="b" cm="1">
        <f t="array" ref="I1996">isDup(B1996,B1997, 0.7)</f>
        <v>0</v>
      </c>
    </row>
    <row r="1997" spans="1:9" ht="17" x14ac:dyDescent="0.2">
      <c r="A1997" t="s">
        <v>4817</v>
      </c>
      <c r="B1997" s="1" t="s">
        <v>4818</v>
      </c>
      <c r="C1997" t="s">
        <v>564</v>
      </c>
      <c r="D1997" s="1" t="s">
        <v>4665</v>
      </c>
      <c r="E1997" t="b">
        <v>0</v>
      </c>
      <c r="F1997">
        <v>174</v>
      </c>
      <c r="G1997">
        <v>240</v>
      </c>
      <c r="H1997" t="s">
        <v>11</v>
      </c>
      <c r="I1997" t="b" cm="1">
        <f t="array" ref="I1997">isDup(B1997,B1998, 0.7)</f>
        <v>0</v>
      </c>
    </row>
    <row r="1998" spans="1:9" ht="17" x14ac:dyDescent="0.2">
      <c r="A1998" t="s">
        <v>3391</v>
      </c>
      <c r="B1998" s="1" t="s">
        <v>3392</v>
      </c>
      <c r="C1998" t="s">
        <v>1419</v>
      </c>
      <c r="D1998" s="1" t="s">
        <v>2</v>
      </c>
      <c r="E1998" t="b">
        <v>0</v>
      </c>
      <c r="F1998">
        <v>38</v>
      </c>
      <c r="G1998">
        <v>116</v>
      </c>
      <c r="H1998" t="s">
        <v>11</v>
      </c>
      <c r="I1998" t="b" cm="1">
        <f t="array" ref="I1998">isDup(B1998,B1999, 0.7)</f>
        <v>0</v>
      </c>
    </row>
    <row r="1999" spans="1:9" ht="17" x14ac:dyDescent="0.2">
      <c r="A1999" t="s">
        <v>5482</v>
      </c>
      <c r="B1999" s="1" t="s">
        <v>5483</v>
      </c>
      <c r="C1999" t="s">
        <v>5484</v>
      </c>
      <c r="D1999" s="1" t="s">
        <v>2</v>
      </c>
      <c r="E1999" t="b">
        <v>0</v>
      </c>
      <c r="F1999">
        <v>25</v>
      </c>
      <c r="G1999">
        <v>115</v>
      </c>
      <c r="H1999" t="s">
        <v>11</v>
      </c>
      <c r="I1999" t="b" cm="1">
        <f t="array" ref="I1999">isDup(B1999,B2000, 0.7)</f>
        <v>0</v>
      </c>
    </row>
    <row r="2000" spans="1:9" ht="17" x14ac:dyDescent="0.2">
      <c r="A2000" t="s">
        <v>3191</v>
      </c>
      <c r="B2000" s="1" t="s">
        <v>3192</v>
      </c>
      <c r="C2000" t="s">
        <v>3193</v>
      </c>
      <c r="D2000" s="1" t="s">
        <v>2</v>
      </c>
      <c r="E2000" t="b">
        <v>0</v>
      </c>
      <c r="F2000">
        <v>360</v>
      </c>
      <c r="G2000">
        <v>27</v>
      </c>
      <c r="H2000" t="s">
        <v>11</v>
      </c>
      <c r="I2000" t="b" cm="1">
        <f t="array" ref="I2000">isDup(B2000,B2001, 0.7)</f>
        <v>0</v>
      </c>
    </row>
    <row r="2001" spans="1:9" ht="17" x14ac:dyDescent="0.2">
      <c r="A2001" t="s">
        <v>2531</v>
      </c>
      <c r="B2001" s="1" t="s">
        <v>2532</v>
      </c>
      <c r="C2001" t="s">
        <v>2533</v>
      </c>
      <c r="D2001" s="1" t="s">
        <v>1343</v>
      </c>
      <c r="E2001" t="b">
        <v>0</v>
      </c>
      <c r="F2001">
        <v>9</v>
      </c>
      <c r="G2001">
        <v>30</v>
      </c>
      <c r="H2001" t="s">
        <v>11</v>
      </c>
      <c r="I2001" t="b" cm="1">
        <f t="array" ref="I2001">isDup(B2001,B2002, 0.7)</f>
        <v>0</v>
      </c>
    </row>
    <row r="2002" spans="1:9" ht="34" x14ac:dyDescent="0.2">
      <c r="A2002" t="s">
        <v>4239</v>
      </c>
      <c r="B2002" s="1" t="s">
        <v>4240</v>
      </c>
      <c r="C2002" t="s">
        <v>1263</v>
      </c>
      <c r="D2002" s="1" t="s">
        <v>4241</v>
      </c>
      <c r="E2002" t="b">
        <v>0</v>
      </c>
      <c r="F2002">
        <v>899</v>
      </c>
      <c r="G2002">
        <v>382</v>
      </c>
      <c r="H2002" t="s">
        <v>11</v>
      </c>
      <c r="I2002" t="b" cm="1">
        <f t="array" ref="I2002">isDup(B2002,B2003, 0.7)</f>
        <v>0</v>
      </c>
    </row>
    <row r="2003" spans="1:9" ht="34" x14ac:dyDescent="0.2">
      <c r="A2003" t="s">
        <v>5870</v>
      </c>
      <c r="B2003" s="1" t="s">
        <v>5871</v>
      </c>
      <c r="C2003" t="s">
        <v>564</v>
      </c>
      <c r="D2003" s="1" t="s">
        <v>5872</v>
      </c>
      <c r="E2003" t="b">
        <v>0</v>
      </c>
      <c r="F2003">
        <v>1037</v>
      </c>
      <c r="G2003">
        <v>381</v>
      </c>
      <c r="H2003" t="s">
        <v>11</v>
      </c>
      <c r="I2003" t="b" cm="1">
        <f t="array" ref="I2003">isDup(B2003,B2004, 0.7)</f>
        <v>0</v>
      </c>
    </row>
    <row r="2004" spans="1:9" ht="17" x14ac:dyDescent="0.2">
      <c r="A2004" t="s">
        <v>6791</v>
      </c>
      <c r="B2004" s="1" t="s">
        <v>6792</v>
      </c>
      <c r="C2004" t="s">
        <v>476</v>
      </c>
      <c r="D2004" s="1" t="s">
        <v>6793</v>
      </c>
      <c r="E2004" t="b">
        <v>0</v>
      </c>
      <c r="F2004">
        <v>112</v>
      </c>
      <c r="G2004">
        <v>162</v>
      </c>
      <c r="H2004" t="s">
        <v>11</v>
      </c>
      <c r="I2004" t="b" cm="1">
        <f t="array" ref="I2004">isDup(B2004,B2005, 0.7)</f>
        <v>0</v>
      </c>
    </row>
    <row r="2005" spans="1:9" ht="34" x14ac:dyDescent="0.2">
      <c r="A2005" t="s">
        <v>323</v>
      </c>
      <c r="B2005" s="1" t="s">
        <v>324</v>
      </c>
      <c r="C2005" t="s">
        <v>325</v>
      </c>
      <c r="D2005" s="1" t="s">
        <v>2</v>
      </c>
      <c r="E2005" t="b">
        <v>0</v>
      </c>
      <c r="F2005">
        <v>156</v>
      </c>
      <c r="G2005">
        <v>960</v>
      </c>
      <c r="H2005" t="s">
        <v>11</v>
      </c>
      <c r="I2005" t="b" cm="1">
        <f t="array" ref="I2005">isDup(B2005,B2006, 0.7)</f>
        <v>0</v>
      </c>
    </row>
    <row r="2006" spans="1:9" ht="17" x14ac:dyDescent="0.2">
      <c r="A2006" t="s">
        <v>5109</v>
      </c>
      <c r="B2006" s="1" t="s">
        <v>5110</v>
      </c>
      <c r="C2006" t="s">
        <v>1342</v>
      </c>
      <c r="D2006" s="1" t="s">
        <v>1264</v>
      </c>
      <c r="E2006" t="b">
        <v>0</v>
      </c>
      <c r="F2006">
        <v>10594</v>
      </c>
      <c r="G2006">
        <v>158</v>
      </c>
      <c r="H2006" t="s">
        <v>359</v>
      </c>
      <c r="I2006" t="b" cm="1">
        <f t="array" ref="I2006">isDup(B2006,B2007, 0.7)</f>
        <v>0</v>
      </c>
    </row>
    <row r="2007" spans="1:9" ht="17" x14ac:dyDescent="0.2">
      <c r="A2007" t="s">
        <v>3091</v>
      </c>
      <c r="B2007" s="1" t="s">
        <v>3092</v>
      </c>
      <c r="C2007" t="s">
        <v>1099</v>
      </c>
      <c r="D2007" s="1" t="s">
        <v>2</v>
      </c>
      <c r="E2007" t="b">
        <v>0</v>
      </c>
      <c r="F2007">
        <v>1</v>
      </c>
      <c r="G2007">
        <v>0</v>
      </c>
      <c r="H2007" t="s">
        <v>11</v>
      </c>
      <c r="I2007" t="b" cm="1">
        <f t="array" ref="I2007">isDup(B2007,B2008, 0.7)</f>
        <v>0</v>
      </c>
    </row>
    <row r="2008" spans="1:9" ht="34" x14ac:dyDescent="0.2">
      <c r="A2008" t="s">
        <v>6788</v>
      </c>
      <c r="B2008" s="1" t="s">
        <v>6789</v>
      </c>
      <c r="C2008" t="s">
        <v>802</v>
      </c>
      <c r="D2008" s="1" t="s">
        <v>6790</v>
      </c>
      <c r="E2008" t="b">
        <v>0</v>
      </c>
      <c r="F2008">
        <v>452</v>
      </c>
      <c r="G2008">
        <v>694</v>
      </c>
      <c r="H2008" t="s">
        <v>11</v>
      </c>
      <c r="I2008" t="b" cm="1">
        <f t="array" ref="I2008">isDup(B2008,B2009, 0.7)</f>
        <v>0</v>
      </c>
    </row>
    <row r="2009" spans="1:9" ht="17" x14ac:dyDescent="0.2">
      <c r="A2009" t="s">
        <v>4651</v>
      </c>
      <c r="B2009" s="1" t="s">
        <v>4652</v>
      </c>
      <c r="C2009" t="s">
        <v>4589</v>
      </c>
      <c r="D2009" s="1" t="s">
        <v>4590</v>
      </c>
      <c r="E2009" t="b">
        <v>0</v>
      </c>
      <c r="F2009">
        <v>94</v>
      </c>
      <c r="G2009">
        <v>54</v>
      </c>
      <c r="H2009" t="s">
        <v>11</v>
      </c>
      <c r="I2009" t="b" cm="1">
        <f t="array" ref="I2009">isDup(B2009,B2010, 0.7)</f>
        <v>0</v>
      </c>
    </row>
    <row r="2010" spans="1:9" ht="17" x14ac:dyDescent="0.2">
      <c r="A2010" t="s">
        <v>5551</v>
      </c>
      <c r="B2010" s="1" t="s">
        <v>5552</v>
      </c>
      <c r="C2010" t="s">
        <v>769</v>
      </c>
      <c r="D2010" s="1" t="s">
        <v>2</v>
      </c>
      <c r="E2010" t="b">
        <v>0</v>
      </c>
      <c r="F2010">
        <v>4</v>
      </c>
      <c r="G2010">
        <v>0</v>
      </c>
      <c r="H2010" t="s">
        <v>11</v>
      </c>
      <c r="I2010" t="b" cm="1">
        <f t="array" ref="I2010">isDup(B2010,B2011, 0.7)</f>
        <v>0</v>
      </c>
    </row>
    <row r="2011" spans="1:9" ht="34" x14ac:dyDescent="0.2">
      <c r="A2011" t="s">
        <v>6756</v>
      </c>
      <c r="B2011" s="1" t="s">
        <v>6757</v>
      </c>
      <c r="C2011" t="s">
        <v>275</v>
      </c>
      <c r="D2011" s="1" t="s">
        <v>565</v>
      </c>
      <c r="E2011" t="b">
        <v>0</v>
      </c>
      <c r="F2011">
        <v>299</v>
      </c>
      <c r="G2011">
        <v>310</v>
      </c>
      <c r="H2011" t="s">
        <v>11</v>
      </c>
      <c r="I2011" t="b" cm="1">
        <f t="array" ref="I2011">isDup(B2011,B2012, 0.7)</f>
        <v>0</v>
      </c>
    </row>
    <row r="2012" spans="1:9" ht="17" x14ac:dyDescent="0.2">
      <c r="A2012" t="s">
        <v>1539</v>
      </c>
      <c r="B2012" s="1" t="s">
        <v>1540</v>
      </c>
      <c r="C2012" t="s">
        <v>1541</v>
      </c>
      <c r="D2012" s="1" t="s">
        <v>2</v>
      </c>
      <c r="E2012" t="b">
        <v>0</v>
      </c>
      <c r="F2012">
        <v>15</v>
      </c>
      <c r="G2012">
        <v>196</v>
      </c>
      <c r="H2012" t="s">
        <v>11</v>
      </c>
      <c r="I2012" t="b" cm="1">
        <f t="array" ref="I2012">isDup(B2012,B2013, 0.7)</f>
        <v>0</v>
      </c>
    </row>
    <row r="2013" spans="1:9" ht="17" x14ac:dyDescent="0.2">
      <c r="A2013" t="s">
        <v>3165</v>
      </c>
      <c r="B2013" s="1" t="s">
        <v>3166</v>
      </c>
      <c r="C2013" t="s">
        <v>3167</v>
      </c>
      <c r="D2013" s="1" t="s">
        <v>2</v>
      </c>
      <c r="E2013" t="b">
        <v>0</v>
      </c>
      <c r="F2013">
        <v>88</v>
      </c>
      <c r="G2013">
        <v>72</v>
      </c>
      <c r="H2013" t="s">
        <v>11</v>
      </c>
      <c r="I2013" t="b" cm="1">
        <f t="array" ref="I2013">isDup(B2013,B2014, 0.7)</f>
        <v>0</v>
      </c>
    </row>
    <row r="2014" spans="1:9" ht="17" x14ac:dyDescent="0.2">
      <c r="A2014" t="s">
        <v>4593</v>
      </c>
      <c r="B2014" s="1" t="s">
        <v>4594</v>
      </c>
      <c r="C2014" t="s">
        <v>4595</v>
      </c>
      <c r="D2014" s="1" t="s">
        <v>996</v>
      </c>
      <c r="E2014" t="b">
        <v>0</v>
      </c>
      <c r="F2014">
        <v>7</v>
      </c>
      <c r="G2014">
        <v>59</v>
      </c>
      <c r="H2014" t="s">
        <v>11</v>
      </c>
      <c r="I2014" t="b" cm="1">
        <f t="array" ref="I2014">isDup(B2014,B2015, 0.7)</f>
        <v>1</v>
      </c>
    </row>
    <row r="2015" spans="1:9" ht="17" x14ac:dyDescent="0.2">
      <c r="A2015" t="s">
        <v>2140</v>
      </c>
      <c r="B2015" s="1" t="s">
        <v>2141</v>
      </c>
      <c r="C2015" t="s">
        <v>2142</v>
      </c>
      <c r="D2015" s="1" t="s">
        <v>2</v>
      </c>
      <c r="E2015" t="b">
        <v>0</v>
      </c>
      <c r="F2015">
        <v>217</v>
      </c>
      <c r="G2015">
        <v>369</v>
      </c>
      <c r="H2015" t="s">
        <v>11</v>
      </c>
      <c r="I2015" t="b" cm="1">
        <f t="array" ref="I2015">isDup(B2015,B2016, 0.7)</f>
        <v>0</v>
      </c>
    </row>
    <row r="2016" spans="1:9" ht="17" x14ac:dyDescent="0.2">
      <c r="A2016" t="s">
        <v>953</v>
      </c>
      <c r="B2016" s="1" t="s">
        <v>954</v>
      </c>
      <c r="C2016" t="s">
        <v>955</v>
      </c>
      <c r="D2016" s="1" t="s">
        <v>2</v>
      </c>
      <c r="E2016" t="b">
        <v>0</v>
      </c>
      <c r="F2016">
        <v>13</v>
      </c>
      <c r="G2016">
        <v>213</v>
      </c>
      <c r="H2016" t="s">
        <v>11</v>
      </c>
      <c r="I2016" t="b" cm="1">
        <f t="array" ref="I2016">isDup(B2016,B2017, 0.7)</f>
        <v>0</v>
      </c>
    </row>
    <row r="2017" spans="1:9" ht="17" x14ac:dyDescent="0.2">
      <c r="A2017" t="s">
        <v>3138</v>
      </c>
      <c r="B2017" s="1" t="s">
        <v>3139</v>
      </c>
      <c r="C2017" t="s">
        <v>3140</v>
      </c>
      <c r="D2017" s="1" t="s">
        <v>2</v>
      </c>
      <c r="E2017" t="b">
        <v>0</v>
      </c>
      <c r="F2017">
        <v>38</v>
      </c>
      <c r="G2017">
        <v>196</v>
      </c>
      <c r="H2017" t="s">
        <v>11</v>
      </c>
      <c r="I2017" t="b" cm="1">
        <f t="array" ref="I2017">isDup(B2017,B2018, 0.7)</f>
        <v>0</v>
      </c>
    </row>
    <row r="2018" spans="1:9" ht="17" x14ac:dyDescent="0.2">
      <c r="A2018" t="s">
        <v>1658</v>
      </c>
      <c r="B2018" s="1" t="s">
        <v>1659</v>
      </c>
      <c r="C2018" t="s">
        <v>541</v>
      </c>
      <c r="D2018" s="1" t="s">
        <v>542</v>
      </c>
      <c r="E2018" t="b">
        <v>0</v>
      </c>
      <c r="F2018">
        <v>213</v>
      </c>
      <c r="G2018">
        <v>343</v>
      </c>
      <c r="H2018" t="s">
        <v>122</v>
      </c>
      <c r="I2018" t="b" cm="1">
        <f t="array" ref="I2018">isDup(B2018,B2019, 0.7)</f>
        <v>0</v>
      </c>
    </row>
    <row r="2019" spans="1:9" ht="34" x14ac:dyDescent="0.2">
      <c r="A2019" t="s">
        <v>3343</v>
      </c>
      <c r="B2019" s="1" t="s">
        <v>3344</v>
      </c>
      <c r="C2019" t="s">
        <v>3345</v>
      </c>
      <c r="D2019" s="1" t="s">
        <v>825</v>
      </c>
      <c r="E2019" t="b">
        <v>0</v>
      </c>
      <c r="F2019">
        <v>15</v>
      </c>
      <c r="G2019">
        <v>40</v>
      </c>
      <c r="H2019" t="s">
        <v>11</v>
      </c>
      <c r="I2019" t="b" cm="1">
        <f t="array" ref="I2019">isDup(B2019,B2020, 0.7)</f>
        <v>0</v>
      </c>
    </row>
    <row r="2020" spans="1:9" ht="17" x14ac:dyDescent="0.2">
      <c r="A2020" t="s">
        <v>841</v>
      </c>
      <c r="B2020" s="1" t="s">
        <v>842</v>
      </c>
      <c r="C2020" t="s">
        <v>843</v>
      </c>
      <c r="D2020" s="1" t="s">
        <v>844</v>
      </c>
      <c r="E2020" t="b">
        <v>0</v>
      </c>
      <c r="F2020">
        <v>416</v>
      </c>
      <c r="G2020">
        <v>1259</v>
      </c>
      <c r="H2020" t="s">
        <v>11</v>
      </c>
      <c r="I2020" t="b" cm="1">
        <f t="array" ref="I2020">isDup(B2020,B2021, 0.7)</f>
        <v>0</v>
      </c>
    </row>
    <row r="2021" spans="1:9" ht="17" x14ac:dyDescent="0.2">
      <c r="A2021" t="s">
        <v>6038</v>
      </c>
      <c r="B2021" s="1" t="s">
        <v>6039</v>
      </c>
      <c r="C2021" t="s">
        <v>1568</v>
      </c>
      <c r="D2021" s="1" t="s">
        <v>2</v>
      </c>
      <c r="E2021" t="b">
        <v>0</v>
      </c>
      <c r="F2021">
        <v>70</v>
      </c>
      <c r="G2021">
        <v>176</v>
      </c>
      <c r="H2021" t="s">
        <v>11</v>
      </c>
      <c r="I2021" t="b" cm="1">
        <f t="array" ref="I2021">isDup(B2021,B2022, 0.7)</f>
        <v>0</v>
      </c>
    </row>
    <row r="2022" spans="1:9" ht="17" x14ac:dyDescent="0.2">
      <c r="A2022" t="s">
        <v>2383</v>
      </c>
      <c r="B2022" s="1" t="s">
        <v>2384</v>
      </c>
      <c r="C2022" t="s">
        <v>90</v>
      </c>
      <c r="D2022" s="1" t="s">
        <v>2</v>
      </c>
      <c r="E2022" t="b">
        <v>0</v>
      </c>
      <c r="F2022">
        <v>157</v>
      </c>
      <c r="G2022">
        <v>12</v>
      </c>
      <c r="H2022" t="s">
        <v>11</v>
      </c>
      <c r="I2022" t="b" cm="1">
        <f t="array" ref="I2022">isDup(B2022,B2023, 0.7)</f>
        <v>0</v>
      </c>
    </row>
    <row r="2023" spans="1:9" ht="17" x14ac:dyDescent="0.2">
      <c r="A2023" t="s">
        <v>537</v>
      </c>
      <c r="B2023" s="1" t="s">
        <v>538</v>
      </c>
      <c r="C2023" t="s">
        <v>464</v>
      </c>
      <c r="D2023" s="1" t="s">
        <v>465</v>
      </c>
      <c r="E2023" t="b">
        <v>0</v>
      </c>
      <c r="F2023">
        <v>3</v>
      </c>
      <c r="G2023">
        <v>13</v>
      </c>
      <c r="H2023" t="s">
        <v>11</v>
      </c>
      <c r="I2023" t="b" cm="1">
        <f t="array" ref="I2023">isDup(B2023,B2024, 0.7)</f>
        <v>0</v>
      </c>
    </row>
    <row r="2024" spans="1:9" ht="17" x14ac:dyDescent="0.2">
      <c r="A2024" t="s">
        <v>5939</v>
      </c>
      <c r="B2024" s="1" t="s">
        <v>5940</v>
      </c>
      <c r="C2024" t="s">
        <v>3102</v>
      </c>
      <c r="D2024" s="1" t="s">
        <v>2561</v>
      </c>
      <c r="E2024" t="b">
        <v>0</v>
      </c>
      <c r="F2024">
        <v>243</v>
      </c>
      <c r="G2024">
        <v>341</v>
      </c>
      <c r="H2024" t="s">
        <v>11</v>
      </c>
      <c r="I2024" t="b" cm="1">
        <f t="array" ref="I2024">isDup(B2024,B2025, 0.7)</f>
        <v>0</v>
      </c>
    </row>
    <row r="2025" spans="1:9" ht="17" x14ac:dyDescent="0.2">
      <c r="A2025" t="s">
        <v>6252</v>
      </c>
      <c r="B2025" s="1" t="s">
        <v>6253</v>
      </c>
      <c r="C2025" t="s">
        <v>100</v>
      </c>
      <c r="D2025" s="1" t="s">
        <v>178</v>
      </c>
      <c r="E2025" t="b">
        <v>0</v>
      </c>
      <c r="F2025">
        <v>686</v>
      </c>
      <c r="G2025">
        <v>416</v>
      </c>
      <c r="H2025" t="s">
        <v>11</v>
      </c>
      <c r="I2025" t="b" cm="1">
        <f t="array" ref="I2025">isDup(B2025,B2026, 0.7)</f>
        <v>0</v>
      </c>
    </row>
    <row r="2026" spans="1:9" ht="17" x14ac:dyDescent="0.2">
      <c r="A2026" t="s">
        <v>2936</v>
      </c>
      <c r="B2026" s="1" t="s">
        <v>2937</v>
      </c>
      <c r="C2026" t="s">
        <v>2938</v>
      </c>
      <c r="D2026" s="1" t="s">
        <v>1368</v>
      </c>
      <c r="E2026" t="b">
        <v>0</v>
      </c>
      <c r="F2026">
        <v>83</v>
      </c>
      <c r="G2026">
        <v>476</v>
      </c>
      <c r="H2026" t="s">
        <v>11</v>
      </c>
      <c r="I2026" t="b" cm="1">
        <f t="array" ref="I2026">isDup(B2026,B2027, 0.7)</f>
        <v>0</v>
      </c>
    </row>
    <row r="2027" spans="1:9" ht="17" x14ac:dyDescent="0.2">
      <c r="A2027" t="s">
        <v>3346</v>
      </c>
      <c r="B2027" s="1" t="s">
        <v>3347</v>
      </c>
      <c r="C2027" t="s">
        <v>181</v>
      </c>
      <c r="D2027" s="1" t="s">
        <v>3348</v>
      </c>
      <c r="E2027" t="b">
        <v>0</v>
      </c>
      <c r="F2027">
        <v>187</v>
      </c>
      <c r="G2027">
        <v>1130</v>
      </c>
      <c r="H2027" t="s">
        <v>370</v>
      </c>
      <c r="I2027" t="b" cm="1">
        <f t="array" ref="I2027">isDup(B2027,B2028, 0.7)</f>
        <v>0</v>
      </c>
    </row>
    <row r="2028" spans="1:9" ht="17" x14ac:dyDescent="0.2">
      <c r="A2028" t="s">
        <v>6834</v>
      </c>
      <c r="B2028" s="1" t="s">
        <v>6835</v>
      </c>
      <c r="C2028" t="s">
        <v>2980</v>
      </c>
      <c r="D2028" s="1" t="s">
        <v>2</v>
      </c>
      <c r="E2028" t="b">
        <v>0</v>
      </c>
      <c r="F2028">
        <v>1</v>
      </c>
      <c r="G2028">
        <v>28</v>
      </c>
      <c r="H2028" t="s">
        <v>3</v>
      </c>
      <c r="I2028" t="b" cm="1">
        <f t="array" ref="I2028">isDup(B2028,B2029, 0.7)</f>
        <v>0</v>
      </c>
    </row>
    <row r="2029" spans="1:9" ht="17" x14ac:dyDescent="0.2">
      <c r="A2029" t="s">
        <v>5181</v>
      </c>
      <c r="B2029" s="1" t="s">
        <v>5182</v>
      </c>
      <c r="C2029" t="s">
        <v>587</v>
      </c>
      <c r="D2029" s="1" t="s">
        <v>5183</v>
      </c>
      <c r="E2029" t="b">
        <v>0</v>
      </c>
      <c r="F2029">
        <v>184</v>
      </c>
      <c r="G2029">
        <v>536</v>
      </c>
      <c r="H2029" t="s">
        <v>11</v>
      </c>
      <c r="I2029" t="b" cm="1">
        <f t="array" ref="I2029">isDup(B2029,B2030, 0.7)</f>
        <v>0</v>
      </c>
    </row>
    <row r="2030" spans="1:9" ht="34" x14ac:dyDescent="0.2">
      <c r="A2030" t="s">
        <v>5246</v>
      </c>
      <c r="B2030" s="1" t="s">
        <v>5247</v>
      </c>
      <c r="C2030" t="s">
        <v>617</v>
      </c>
      <c r="D2030" s="1" t="s">
        <v>5248</v>
      </c>
      <c r="E2030" t="b">
        <v>0</v>
      </c>
      <c r="F2030">
        <v>329</v>
      </c>
      <c r="G2030">
        <v>294</v>
      </c>
      <c r="H2030" t="s">
        <v>110</v>
      </c>
      <c r="I2030" t="b" cm="1">
        <f t="array" ref="I2030">isDup(B2030,B2031, 0.7)</f>
        <v>0</v>
      </c>
    </row>
    <row r="2031" spans="1:9" ht="17" x14ac:dyDescent="0.2">
      <c r="A2031" t="s">
        <v>4454</v>
      </c>
      <c r="B2031" s="1" t="s">
        <v>4455</v>
      </c>
      <c r="C2031" t="s">
        <v>4456</v>
      </c>
      <c r="D2031" s="1" t="s">
        <v>2</v>
      </c>
      <c r="E2031" t="b">
        <v>0</v>
      </c>
      <c r="F2031">
        <v>31</v>
      </c>
      <c r="G2031">
        <v>271</v>
      </c>
      <c r="H2031" t="s">
        <v>11</v>
      </c>
      <c r="I2031" t="b" cm="1">
        <f t="array" ref="I2031">isDup(B2031,B2032, 0.7)</f>
        <v>0</v>
      </c>
    </row>
    <row r="2032" spans="1:9" ht="34" x14ac:dyDescent="0.2">
      <c r="A2032" t="s">
        <v>5151</v>
      </c>
      <c r="B2032" s="1" t="s">
        <v>5152</v>
      </c>
      <c r="C2032" t="s">
        <v>1012</v>
      </c>
      <c r="D2032" s="1" t="s">
        <v>5153</v>
      </c>
      <c r="E2032" t="b">
        <v>0</v>
      </c>
      <c r="F2032">
        <v>115</v>
      </c>
      <c r="G2032">
        <v>389</v>
      </c>
      <c r="H2032" t="s">
        <v>11</v>
      </c>
      <c r="I2032" t="b" cm="1">
        <f t="array" ref="I2032">isDup(B2032,B2033, 0.7)</f>
        <v>0</v>
      </c>
    </row>
    <row r="2033" spans="1:9" ht="17" x14ac:dyDescent="0.2">
      <c r="A2033" t="s">
        <v>2934</v>
      </c>
      <c r="B2033" s="1" t="s">
        <v>2935</v>
      </c>
      <c r="C2033" t="s">
        <v>254</v>
      </c>
      <c r="D2033" s="1" t="s">
        <v>2</v>
      </c>
      <c r="E2033" t="b">
        <v>0</v>
      </c>
      <c r="F2033">
        <v>17</v>
      </c>
      <c r="G2033">
        <v>123</v>
      </c>
      <c r="H2033" t="s">
        <v>641</v>
      </c>
      <c r="I2033" t="b" cm="1">
        <f t="array" ref="I2033">isDup(B2033,B2034, 0.7)</f>
        <v>0</v>
      </c>
    </row>
    <row r="2034" spans="1:9" ht="34" x14ac:dyDescent="0.2">
      <c r="A2034" t="s">
        <v>4808</v>
      </c>
      <c r="B2034" s="1" t="s">
        <v>4809</v>
      </c>
      <c r="C2034" t="s">
        <v>4810</v>
      </c>
      <c r="D2034" s="1" t="s">
        <v>3945</v>
      </c>
      <c r="E2034" t="b">
        <v>0</v>
      </c>
      <c r="F2034">
        <v>62</v>
      </c>
      <c r="G2034">
        <v>231</v>
      </c>
      <c r="H2034" t="s">
        <v>11</v>
      </c>
      <c r="I2034" t="b" cm="1">
        <f t="array" ref="I2034">isDup(B2034,B2035, 0.7)</f>
        <v>0</v>
      </c>
    </row>
    <row r="2035" spans="1:9" ht="34" x14ac:dyDescent="0.2">
      <c r="A2035" t="s">
        <v>889</v>
      </c>
      <c r="B2035" s="1" t="s">
        <v>890</v>
      </c>
      <c r="C2035" t="s">
        <v>891</v>
      </c>
      <c r="D2035" s="1" t="s">
        <v>2</v>
      </c>
      <c r="E2035" t="b">
        <v>0</v>
      </c>
      <c r="F2035">
        <v>1564</v>
      </c>
      <c r="G2035">
        <v>5000</v>
      </c>
      <c r="H2035" t="s">
        <v>11</v>
      </c>
      <c r="I2035" t="b" cm="1">
        <f t="array" ref="I2035">isDup(B2035,B2036, 0.7)</f>
        <v>0</v>
      </c>
    </row>
    <row r="2036" spans="1:9" ht="17" x14ac:dyDescent="0.2">
      <c r="A2036" t="s">
        <v>5703</v>
      </c>
      <c r="B2036" s="1" t="s">
        <v>5704</v>
      </c>
      <c r="C2036" t="s">
        <v>464</v>
      </c>
      <c r="D2036" s="1" t="s">
        <v>465</v>
      </c>
      <c r="E2036" t="b">
        <v>0</v>
      </c>
      <c r="F2036">
        <v>5</v>
      </c>
      <c r="G2036">
        <v>13</v>
      </c>
      <c r="H2036" t="s">
        <v>11</v>
      </c>
      <c r="I2036" t="b" cm="1">
        <f t="array" ref="I2036">isDup(B2036,B2037, 0.7)</f>
        <v>0</v>
      </c>
    </row>
    <row r="2037" spans="1:9" ht="17" x14ac:dyDescent="0.2">
      <c r="A2037" t="s">
        <v>6261</v>
      </c>
      <c r="B2037" s="1" t="s">
        <v>6262</v>
      </c>
      <c r="C2037" t="s">
        <v>3295</v>
      </c>
      <c r="E2037" t="b">
        <v>0</v>
      </c>
      <c r="F2037">
        <v>66</v>
      </c>
      <c r="G2037">
        <v>141</v>
      </c>
      <c r="H2037" t="s">
        <v>11</v>
      </c>
      <c r="I2037" t="b" cm="1">
        <f t="array" ref="I2037">isDup(B2037,B2038, 0.7)</f>
        <v>0</v>
      </c>
    </row>
    <row r="2038" spans="1:9" ht="17" x14ac:dyDescent="0.2">
      <c r="A2038" t="s">
        <v>4927</v>
      </c>
      <c r="B2038" s="1" t="s">
        <v>4928</v>
      </c>
      <c r="C2038" t="s">
        <v>1530</v>
      </c>
      <c r="D2038" s="1" t="s">
        <v>2272</v>
      </c>
      <c r="E2038" t="b">
        <v>0</v>
      </c>
      <c r="F2038">
        <v>312</v>
      </c>
      <c r="G2038">
        <v>79</v>
      </c>
      <c r="H2038" t="s">
        <v>11</v>
      </c>
      <c r="I2038" t="b" cm="1">
        <f t="array" ref="I2038">isDup(B2038,B2039, 0.7)</f>
        <v>0</v>
      </c>
    </row>
    <row r="2039" spans="1:9" ht="17" x14ac:dyDescent="0.2">
      <c r="A2039" t="s">
        <v>1508</v>
      </c>
      <c r="B2039" s="1" t="s">
        <v>1509</v>
      </c>
      <c r="C2039" t="s">
        <v>1510</v>
      </c>
      <c r="D2039" s="1" t="s">
        <v>2</v>
      </c>
      <c r="E2039" t="b">
        <v>0</v>
      </c>
      <c r="F2039">
        <v>284</v>
      </c>
      <c r="G2039">
        <v>152</v>
      </c>
      <c r="H2039" t="s">
        <v>11</v>
      </c>
      <c r="I2039" t="b" cm="1">
        <f t="array" ref="I2039">isDup(B2039,B2040, 0.7)</f>
        <v>0</v>
      </c>
    </row>
    <row r="2040" spans="1:9" ht="34" x14ac:dyDescent="0.2">
      <c r="A2040" t="s">
        <v>1204</v>
      </c>
      <c r="B2040" s="1" t="s">
        <v>1205</v>
      </c>
      <c r="C2040" t="s">
        <v>1206</v>
      </c>
      <c r="D2040" s="1" t="s">
        <v>1207</v>
      </c>
      <c r="E2040" t="b">
        <v>0</v>
      </c>
      <c r="F2040">
        <v>8612</v>
      </c>
      <c r="G2040">
        <v>6558</v>
      </c>
      <c r="H2040" t="s">
        <v>11</v>
      </c>
      <c r="I2040" t="b" cm="1">
        <f t="array" ref="I2040">isDup(B2040,B2041, 0.7)</f>
        <v>0</v>
      </c>
    </row>
    <row r="2041" spans="1:9" ht="17" x14ac:dyDescent="0.2">
      <c r="A2041" t="s">
        <v>6266</v>
      </c>
      <c r="B2041" s="1" t="s">
        <v>6267</v>
      </c>
      <c r="C2041" t="s">
        <v>181</v>
      </c>
      <c r="D2041" s="1" t="s">
        <v>6230</v>
      </c>
      <c r="E2041" t="b">
        <v>0</v>
      </c>
      <c r="F2041">
        <v>15</v>
      </c>
      <c r="G2041">
        <v>109</v>
      </c>
      <c r="H2041" t="s">
        <v>11</v>
      </c>
      <c r="I2041" t="b" cm="1">
        <f t="array" ref="I2041">isDup(B2041,B2042, 0.7)</f>
        <v>0</v>
      </c>
    </row>
    <row r="2042" spans="1:9" ht="34" x14ac:dyDescent="0.2">
      <c r="A2042" t="s">
        <v>4039</v>
      </c>
      <c r="B2042" s="1" t="s">
        <v>4040</v>
      </c>
      <c r="C2042" t="s">
        <v>4041</v>
      </c>
      <c r="D2042" s="1" t="s">
        <v>2953</v>
      </c>
      <c r="E2042" t="b">
        <v>0</v>
      </c>
      <c r="F2042">
        <v>236</v>
      </c>
      <c r="G2042">
        <v>438</v>
      </c>
      <c r="H2042" t="s">
        <v>11</v>
      </c>
      <c r="I2042" t="b" cm="1">
        <f t="array" ref="I2042">isDup(B2042,B2043, 0.7)</f>
        <v>0</v>
      </c>
    </row>
    <row r="2043" spans="1:9" ht="17" x14ac:dyDescent="0.2">
      <c r="A2043" t="s">
        <v>826</v>
      </c>
      <c r="B2043" s="1" t="s">
        <v>827</v>
      </c>
      <c r="C2043" t="s">
        <v>828</v>
      </c>
      <c r="D2043" s="1" t="s">
        <v>829</v>
      </c>
      <c r="E2043" t="b">
        <v>0</v>
      </c>
      <c r="F2043">
        <v>2233</v>
      </c>
      <c r="G2043">
        <v>1415</v>
      </c>
      <c r="H2043" t="s">
        <v>11</v>
      </c>
      <c r="I2043" t="b" cm="1">
        <f t="array" ref="I2043">isDup(B2043,B2044, 0.7)</f>
        <v>0</v>
      </c>
    </row>
    <row r="2044" spans="1:9" ht="17" x14ac:dyDescent="0.2">
      <c r="A2044" t="s">
        <v>4819</v>
      </c>
      <c r="B2044" s="1" t="s">
        <v>4820</v>
      </c>
      <c r="C2044" t="s">
        <v>1943</v>
      </c>
      <c r="D2044" s="1" t="s">
        <v>4821</v>
      </c>
      <c r="E2044" t="b">
        <v>0</v>
      </c>
      <c r="F2044">
        <v>516</v>
      </c>
      <c r="G2044">
        <v>367</v>
      </c>
      <c r="H2044" t="s">
        <v>370</v>
      </c>
      <c r="I2044" t="b" cm="1">
        <f t="array" ref="I2044">isDup(B2044,B2045, 0.7)</f>
        <v>0</v>
      </c>
    </row>
    <row r="2045" spans="1:9" ht="17" x14ac:dyDescent="0.2">
      <c r="A2045" t="s">
        <v>1020</v>
      </c>
      <c r="B2045" s="1" t="s">
        <v>1021</v>
      </c>
      <c r="C2045" t="s">
        <v>1022</v>
      </c>
      <c r="D2045" s="1" t="s">
        <v>1023</v>
      </c>
      <c r="E2045" t="b">
        <v>0</v>
      </c>
      <c r="F2045">
        <v>27</v>
      </c>
      <c r="G2045">
        <v>188</v>
      </c>
      <c r="H2045" t="s">
        <v>11</v>
      </c>
      <c r="I2045" t="b" cm="1">
        <f t="array" ref="I2045">isDup(B2045,B2046, 0.7)</f>
        <v>0</v>
      </c>
    </row>
    <row r="2046" spans="1:9" ht="34" x14ac:dyDescent="0.2">
      <c r="A2046" t="s">
        <v>1213</v>
      </c>
      <c r="B2046" s="1" t="s">
        <v>1214</v>
      </c>
      <c r="C2046" t="s">
        <v>319</v>
      </c>
      <c r="D2046" s="1" t="s">
        <v>1041</v>
      </c>
      <c r="E2046" t="b">
        <v>0</v>
      </c>
      <c r="F2046">
        <v>2639</v>
      </c>
      <c r="G2046">
        <v>428</v>
      </c>
      <c r="H2046" t="s">
        <v>11</v>
      </c>
      <c r="I2046" t="b" cm="1">
        <f t="array" ref="I2046">isDup(B2046,B2047, 0.7)</f>
        <v>0</v>
      </c>
    </row>
    <row r="2047" spans="1:9" ht="34" x14ac:dyDescent="0.2">
      <c r="A2047" t="s">
        <v>3660</v>
      </c>
      <c r="B2047" s="1" t="s">
        <v>3662</v>
      </c>
      <c r="C2047" t="s">
        <v>1834</v>
      </c>
      <c r="D2047" s="1" t="s">
        <v>2</v>
      </c>
      <c r="E2047" t="b">
        <v>0</v>
      </c>
      <c r="F2047">
        <v>423</v>
      </c>
      <c r="G2047">
        <v>241</v>
      </c>
      <c r="H2047" t="s">
        <v>11</v>
      </c>
      <c r="I2047" t="b" cm="1">
        <f t="array" ref="I2047">isDup(B2047,B2048, 0.7)</f>
        <v>0</v>
      </c>
    </row>
    <row r="2048" spans="1:9" ht="34" x14ac:dyDescent="0.2">
      <c r="A2048" t="s">
        <v>1795</v>
      </c>
      <c r="B2048" s="1" t="s">
        <v>1796</v>
      </c>
      <c r="C2048" t="s">
        <v>1797</v>
      </c>
      <c r="D2048" s="1" t="s">
        <v>2</v>
      </c>
      <c r="E2048" t="b">
        <v>0</v>
      </c>
      <c r="F2048">
        <v>56</v>
      </c>
      <c r="G2048">
        <v>36</v>
      </c>
      <c r="H2048" t="s">
        <v>11</v>
      </c>
      <c r="I2048" t="b" cm="1">
        <f t="array" ref="I2048">isDup(B2048,B2049, 0.7)</f>
        <v>0</v>
      </c>
    </row>
    <row r="2049" spans="1:9" ht="34" x14ac:dyDescent="0.2">
      <c r="A2049" t="s">
        <v>6744</v>
      </c>
      <c r="B2049" s="1" t="s">
        <v>6745</v>
      </c>
      <c r="C2049" t="s">
        <v>1409</v>
      </c>
      <c r="D2049" s="1" t="s">
        <v>2</v>
      </c>
      <c r="E2049" t="b">
        <v>0</v>
      </c>
      <c r="F2049">
        <v>133</v>
      </c>
      <c r="G2049">
        <v>176</v>
      </c>
      <c r="H2049" t="s">
        <v>11</v>
      </c>
      <c r="I2049" t="b" cm="1">
        <f t="array" ref="I2049">isDup(B2049,B2050, 0.7)</f>
        <v>0</v>
      </c>
    </row>
    <row r="2050" spans="1:9" ht="34" x14ac:dyDescent="0.2">
      <c r="A2050" t="s">
        <v>1814</v>
      </c>
      <c r="B2050" s="1" t="s">
        <v>1815</v>
      </c>
      <c r="C2050" t="s">
        <v>1816</v>
      </c>
      <c r="D2050" s="1" t="s">
        <v>2</v>
      </c>
      <c r="E2050" t="b">
        <v>0</v>
      </c>
      <c r="F2050">
        <v>9</v>
      </c>
      <c r="G2050">
        <v>169</v>
      </c>
      <c r="H2050" t="s">
        <v>11</v>
      </c>
      <c r="I2050" t="b" cm="1">
        <f t="array" ref="I2050">isDup(B2050,B2051, 0.7)</f>
        <v>0</v>
      </c>
    </row>
    <row r="2051" spans="1:9" ht="34" x14ac:dyDescent="0.2">
      <c r="A2051" t="s">
        <v>7088</v>
      </c>
      <c r="B2051" s="1" t="s">
        <v>7089</v>
      </c>
      <c r="C2051" t="s">
        <v>7090</v>
      </c>
      <c r="D2051" s="1" t="s">
        <v>7091</v>
      </c>
      <c r="E2051" t="b">
        <v>0</v>
      </c>
      <c r="F2051">
        <v>65</v>
      </c>
      <c r="G2051">
        <v>49</v>
      </c>
      <c r="H2051" t="s">
        <v>47</v>
      </c>
      <c r="I2051" t="b" cm="1">
        <f t="array" ref="I2051">isDup(B2051,B2052, 0.7)</f>
        <v>0</v>
      </c>
    </row>
    <row r="2052" spans="1:9" ht="17" x14ac:dyDescent="0.2">
      <c r="A2052" t="s">
        <v>3769</v>
      </c>
      <c r="B2052" s="1" t="s">
        <v>3770</v>
      </c>
      <c r="C2052" t="s">
        <v>1465</v>
      </c>
      <c r="D2052" s="1" t="s">
        <v>3771</v>
      </c>
      <c r="E2052" t="b">
        <v>0</v>
      </c>
      <c r="F2052">
        <v>33</v>
      </c>
      <c r="G2052">
        <v>69</v>
      </c>
      <c r="H2052" t="s">
        <v>11</v>
      </c>
      <c r="I2052" t="b" cm="1">
        <f t="array" ref="I2052">isDup(B2052,B2053, 0.7)</f>
        <v>0</v>
      </c>
    </row>
    <row r="2053" spans="1:9" ht="17" x14ac:dyDescent="0.2">
      <c r="A2053" t="s">
        <v>4368</v>
      </c>
      <c r="B2053" s="1" t="s">
        <v>4369</v>
      </c>
      <c r="C2053" t="s">
        <v>1245</v>
      </c>
      <c r="D2053" s="1" t="s">
        <v>2</v>
      </c>
      <c r="E2053" t="b">
        <v>0</v>
      </c>
      <c r="F2053">
        <v>251</v>
      </c>
      <c r="G2053">
        <v>9</v>
      </c>
      <c r="H2053" t="s">
        <v>11</v>
      </c>
      <c r="I2053" t="b" cm="1">
        <f t="array" ref="I2053">isDup(B2053,B2054, 0.7)</f>
        <v>0</v>
      </c>
    </row>
    <row r="2054" spans="1:9" ht="17" x14ac:dyDescent="0.2">
      <c r="A2054" t="s">
        <v>6854</v>
      </c>
      <c r="B2054" s="1" t="s">
        <v>6855</v>
      </c>
      <c r="C2054" t="s">
        <v>3665</v>
      </c>
      <c r="D2054" s="1" t="s">
        <v>6840</v>
      </c>
      <c r="E2054" t="b">
        <v>0</v>
      </c>
      <c r="F2054">
        <v>872</v>
      </c>
      <c r="G2054">
        <v>542</v>
      </c>
      <c r="H2054" t="s">
        <v>11</v>
      </c>
      <c r="I2054" t="b" cm="1">
        <f t="array" ref="I2054">isDup(B2054,B2055, 0.7)</f>
        <v>0</v>
      </c>
    </row>
    <row r="2055" spans="1:9" ht="17" x14ac:dyDescent="0.2">
      <c r="A2055" t="s">
        <v>7256</v>
      </c>
      <c r="B2055" s="1" t="s">
        <v>7257</v>
      </c>
      <c r="C2055" t="s">
        <v>3059</v>
      </c>
      <c r="D2055" s="1" t="s">
        <v>3477</v>
      </c>
      <c r="E2055" t="b">
        <v>0</v>
      </c>
      <c r="F2055">
        <v>5047</v>
      </c>
      <c r="G2055">
        <v>289</v>
      </c>
      <c r="H2055" t="s">
        <v>11</v>
      </c>
      <c r="I2055" t="b" cm="1">
        <f t="array" ref="I2055">isDup(B2055,B2056, 0.7)</f>
        <v>0</v>
      </c>
    </row>
    <row r="2056" spans="1:9" ht="34" x14ac:dyDescent="0.2">
      <c r="A2056" t="s">
        <v>1333</v>
      </c>
      <c r="B2056" s="1" t="s">
        <v>1334</v>
      </c>
      <c r="C2056" t="s">
        <v>167</v>
      </c>
      <c r="D2056" s="1" t="s">
        <v>1293</v>
      </c>
      <c r="E2056" t="b">
        <v>0</v>
      </c>
      <c r="F2056">
        <v>222</v>
      </c>
      <c r="G2056">
        <v>250</v>
      </c>
      <c r="H2056" t="s">
        <v>11</v>
      </c>
      <c r="I2056" t="b" cm="1">
        <f t="array" ref="I2056">isDup(B2056,B2057, 0.7)</f>
        <v>0</v>
      </c>
    </row>
    <row r="2057" spans="1:9" ht="17" x14ac:dyDescent="0.2">
      <c r="A2057" t="s">
        <v>7036</v>
      </c>
      <c r="B2057" s="1" t="s">
        <v>7037</v>
      </c>
      <c r="C2057" t="s">
        <v>7038</v>
      </c>
      <c r="D2057" s="1" t="s">
        <v>2</v>
      </c>
      <c r="E2057" t="b">
        <v>0</v>
      </c>
      <c r="F2057">
        <v>1007</v>
      </c>
      <c r="G2057">
        <v>530</v>
      </c>
      <c r="H2057" t="s">
        <v>11</v>
      </c>
      <c r="I2057" t="b" cm="1">
        <f t="array" ref="I2057">isDup(B2057,B2058, 0.7)</f>
        <v>0</v>
      </c>
    </row>
    <row r="2058" spans="1:9" ht="17" x14ac:dyDescent="0.2">
      <c r="A2058" t="s">
        <v>1972</v>
      </c>
      <c r="B2058" s="1" t="s">
        <v>1973</v>
      </c>
      <c r="C2058" t="s">
        <v>1313</v>
      </c>
      <c r="D2058" s="1" t="s">
        <v>1974</v>
      </c>
      <c r="E2058" t="b">
        <v>0</v>
      </c>
      <c r="F2058">
        <v>492</v>
      </c>
      <c r="G2058">
        <v>584</v>
      </c>
      <c r="H2058" t="s">
        <v>110</v>
      </c>
      <c r="I2058" t="b" cm="1">
        <f t="array" ref="I2058">isDup(B2058,B2059, 0.7)</f>
        <v>0</v>
      </c>
    </row>
    <row r="2059" spans="1:9" ht="17" x14ac:dyDescent="0.2">
      <c r="A2059" t="s">
        <v>539</v>
      </c>
      <c r="B2059" s="1" t="s">
        <v>540</v>
      </c>
      <c r="C2059" t="s">
        <v>541</v>
      </c>
      <c r="D2059" s="1" t="s">
        <v>542</v>
      </c>
      <c r="E2059" t="b">
        <v>0</v>
      </c>
      <c r="F2059">
        <v>212</v>
      </c>
      <c r="G2059">
        <v>342</v>
      </c>
      <c r="H2059" t="s">
        <v>122</v>
      </c>
      <c r="I2059" t="b" cm="1">
        <f t="array" ref="I2059">isDup(B2059,B2060, 0.7)</f>
        <v>0</v>
      </c>
    </row>
    <row r="2060" spans="1:9" ht="17" x14ac:dyDescent="0.2">
      <c r="A2060" t="s">
        <v>1076</v>
      </c>
      <c r="B2060" s="1" t="s">
        <v>1077</v>
      </c>
      <c r="C2060" t="s">
        <v>1078</v>
      </c>
      <c r="D2060" s="1" t="s">
        <v>1079</v>
      </c>
      <c r="E2060" t="b">
        <v>0</v>
      </c>
      <c r="F2060">
        <v>402</v>
      </c>
      <c r="G2060">
        <v>125</v>
      </c>
      <c r="H2060" t="s">
        <v>11</v>
      </c>
      <c r="I2060" t="b" cm="1">
        <f t="array" ref="I2060">isDup(B2060,B2061, 0.7)</f>
        <v>0</v>
      </c>
    </row>
    <row r="2061" spans="1:9" ht="34" x14ac:dyDescent="0.2">
      <c r="A2061" t="s">
        <v>6776</v>
      </c>
      <c r="B2061" s="1" t="s">
        <v>6779</v>
      </c>
      <c r="C2061" t="s">
        <v>1398</v>
      </c>
      <c r="D2061" s="1" t="s">
        <v>61</v>
      </c>
      <c r="E2061" t="b">
        <v>0</v>
      </c>
      <c r="F2061">
        <v>1078</v>
      </c>
      <c r="G2061">
        <v>93</v>
      </c>
      <c r="H2061" t="s">
        <v>11</v>
      </c>
      <c r="I2061" t="b" cm="1">
        <f t="array" ref="I2061">isDup(B2061,B2062, 0.7)</f>
        <v>0</v>
      </c>
    </row>
    <row r="2062" spans="1:9" ht="17" x14ac:dyDescent="0.2">
      <c r="A2062" t="s">
        <v>2120</v>
      </c>
      <c r="B2062" s="1" t="s">
        <v>2121</v>
      </c>
      <c r="C2062" t="s">
        <v>2122</v>
      </c>
      <c r="D2062" s="1" t="s">
        <v>2</v>
      </c>
      <c r="E2062" t="b">
        <v>0</v>
      </c>
      <c r="F2062">
        <v>89</v>
      </c>
      <c r="G2062">
        <v>977</v>
      </c>
      <c r="H2062" t="s">
        <v>11</v>
      </c>
      <c r="I2062" t="b" cm="1">
        <f t="array" ref="I2062">isDup(B2062,B2063, 0.7)</f>
        <v>0</v>
      </c>
    </row>
    <row r="2063" spans="1:9" ht="17" x14ac:dyDescent="0.2">
      <c r="A2063" t="s">
        <v>798</v>
      </c>
      <c r="B2063" s="1" t="s">
        <v>799</v>
      </c>
      <c r="C2063" t="s">
        <v>787</v>
      </c>
      <c r="D2063" s="1" t="s">
        <v>95</v>
      </c>
      <c r="E2063" t="b">
        <v>0</v>
      </c>
      <c r="F2063">
        <v>288</v>
      </c>
      <c r="G2063">
        <v>880</v>
      </c>
      <c r="H2063" t="s">
        <v>11</v>
      </c>
      <c r="I2063" t="b" cm="1">
        <f t="array" ref="I2063">isDup(B2063,B2064, 0.7)</f>
        <v>0</v>
      </c>
    </row>
    <row r="2064" spans="1:9" ht="34" x14ac:dyDescent="0.2">
      <c r="A2064" t="s">
        <v>5996</v>
      </c>
      <c r="B2064" s="1" t="s">
        <v>5997</v>
      </c>
      <c r="C2064" t="s">
        <v>1506</v>
      </c>
      <c r="D2064" s="1" t="s">
        <v>2</v>
      </c>
      <c r="E2064" t="b">
        <v>0</v>
      </c>
      <c r="F2064">
        <v>13104</v>
      </c>
      <c r="G2064">
        <v>51</v>
      </c>
      <c r="H2064" t="s">
        <v>11</v>
      </c>
      <c r="I2064" t="b" cm="1">
        <f t="array" ref="I2064">isDup(B2064,B2065, 0.7)</f>
        <v>0</v>
      </c>
    </row>
    <row r="2065" spans="1:9" ht="17" x14ac:dyDescent="0.2">
      <c r="A2065" t="s">
        <v>1066</v>
      </c>
      <c r="B2065" s="1" t="s">
        <v>1067</v>
      </c>
      <c r="C2065" t="s">
        <v>237</v>
      </c>
      <c r="D2065" s="1" t="s">
        <v>1068</v>
      </c>
      <c r="E2065" t="b">
        <v>0</v>
      </c>
      <c r="F2065">
        <v>97</v>
      </c>
      <c r="G2065">
        <v>270</v>
      </c>
      <c r="H2065" t="s">
        <v>11</v>
      </c>
      <c r="I2065" t="b" cm="1">
        <f t="array" ref="I2065">isDup(B2065,B2066, 0.7)</f>
        <v>0</v>
      </c>
    </row>
    <row r="2066" spans="1:9" ht="17" x14ac:dyDescent="0.2">
      <c r="A2066" t="s">
        <v>2845</v>
      </c>
      <c r="B2066" s="1" t="s">
        <v>2846</v>
      </c>
      <c r="C2066" t="s">
        <v>2847</v>
      </c>
      <c r="D2066" s="1" t="s">
        <v>2</v>
      </c>
      <c r="E2066" t="b">
        <v>0</v>
      </c>
      <c r="F2066">
        <v>13</v>
      </c>
      <c r="G2066">
        <v>18</v>
      </c>
      <c r="H2066" t="s">
        <v>11</v>
      </c>
      <c r="I2066" t="b" cm="1">
        <f t="array" ref="I2066">isDup(B2066,B2067, 0.7)</f>
        <v>0</v>
      </c>
    </row>
    <row r="2067" spans="1:9" ht="17" x14ac:dyDescent="0.2">
      <c r="A2067" t="s">
        <v>5278</v>
      </c>
      <c r="B2067" s="1" t="s">
        <v>5279</v>
      </c>
      <c r="C2067" t="s">
        <v>3631</v>
      </c>
      <c r="D2067" s="1" t="s">
        <v>3570</v>
      </c>
      <c r="E2067" t="b">
        <v>0</v>
      </c>
      <c r="F2067">
        <v>17</v>
      </c>
      <c r="G2067">
        <v>56</v>
      </c>
      <c r="H2067" t="s">
        <v>11</v>
      </c>
      <c r="I2067" t="b" cm="1">
        <f t="array" ref="I2067">isDup(B2067,B2068, 0.7)</f>
        <v>0</v>
      </c>
    </row>
    <row r="2068" spans="1:9" ht="17" x14ac:dyDescent="0.2">
      <c r="A2068" t="s">
        <v>5572</v>
      </c>
      <c r="B2068" s="1" t="s">
        <v>5573</v>
      </c>
      <c r="C2068" t="s">
        <v>3706</v>
      </c>
      <c r="D2068" s="1" t="s">
        <v>588</v>
      </c>
      <c r="E2068" t="b">
        <v>0</v>
      </c>
      <c r="F2068">
        <v>3454</v>
      </c>
      <c r="G2068">
        <v>2616</v>
      </c>
      <c r="H2068" t="s">
        <v>11</v>
      </c>
      <c r="I2068" t="b" cm="1">
        <f t="array" ref="I2068">isDup(B2068,B2069, 0.7)</f>
        <v>0</v>
      </c>
    </row>
    <row r="2069" spans="1:9" ht="17" x14ac:dyDescent="0.2">
      <c r="A2069" t="s">
        <v>4232</v>
      </c>
      <c r="B2069" s="1" t="s">
        <v>4233</v>
      </c>
      <c r="C2069" t="s">
        <v>177</v>
      </c>
      <c r="D2069" s="1" t="s">
        <v>4234</v>
      </c>
      <c r="E2069" t="b">
        <v>0</v>
      </c>
      <c r="F2069">
        <v>190</v>
      </c>
      <c r="G2069">
        <v>437</v>
      </c>
      <c r="H2069" t="s">
        <v>11</v>
      </c>
      <c r="I2069" t="b" cm="1">
        <f t="array" ref="I2069">isDup(B2069,B2070, 0.7)</f>
        <v>0</v>
      </c>
    </row>
    <row r="2070" spans="1:9" ht="17" x14ac:dyDescent="0.2">
      <c r="A2070" t="s">
        <v>6622</v>
      </c>
      <c r="B2070" s="1" t="s">
        <v>6623</v>
      </c>
      <c r="C2070" t="s">
        <v>1477</v>
      </c>
      <c r="D2070" s="1" t="s">
        <v>6624</v>
      </c>
      <c r="E2070" t="b">
        <v>0</v>
      </c>
      <c r="F2070">
        <v>1405</v>
      </c>
      <c r="G2070">
        <v>946</v>
      </c>
      <c r="H2070" t="s">
        <v>11</v>
      </c>
      <c r="I2070" t="b" cm="1">
        <f t="array" ref="I2070">isDup(B2070,B2071, 0.7)</f>
        <v>0</v>
      </c>
    </row>
    <row r="2071" spans="1:9" ht="17" x14ac:dyDescent="0.2">
      <c r="A2071" t="s">
        <v>5648</v>
      </c>
      <c r="B2071" s="1" t="s">
        <v>5649</v>
      </c>
      <c r="C2071" t="s">
        <v>3301</v>
      </c>
      <c r="D2071" s="1" t="s">
        <v>5417</v>
      </c>
      <c r="E2071" t="b">
        <v>0</v>
      </c>
      <c r="F2071">
        <v>1494</v>
      </c>
      <c r="G2071">
        <v>2307</v>
      </c>
      <c r="H2071" t="s">
        <v>11</v>
      </c>
      <c r="I2071" t="b" cm="1">
        <f t="array" ref="I2071">isDup(B2071,B2072, 0.7)</f>
        <v>0</v>
      </c>
    </row>
    <row r="2072" spans="1:9" ht="17" x14ac:dyDescent="0.2">
      <c r="A2072" t="s">
        <v>4210</v>
      </c>
      <c r="B2072" s="1" t="s">
        <v>4211</v>
      </c>
      <c r="C2072" t="s">
        <v>3295</v>
      </c>
      <c r="D2072" s="1" t="s">
        <v>1809</v>
      </c>
      <c r="E2072" t="b">
        <v>0</v>
      </c>
      <c r="F2072">
        <v>156</v>
      </c>
      <c r="G2072">
        <v>511</v>
      </c>
      <c r="H2072" t="s">
        <v>11</v>
      </c>
      <c r="I2072" t="b" cm="1">
        <f t="array" ref="I2072">isDup(B2072,B2073, 0.7)</f>
        <v>0</v>
      </c>
    </row>
    <row r="2073" spans="1:9" ht="17" x14ac:dyDescent="0.2">
      <c r="A2073" t="s">
        <v>5730</v>
      </c>
      <c r="B2073" s="1" t="s">
        <v>5731</v>
      </c>
      <c r="C2073" t="s">
        <v>1091</v>
      </c>
      <c r="D2073" s="1" t="s">
        <v>487</v>
      </c>
      <c r="E2073" t="b">
        <v>0</v>
      </c>
      <c r="F2073">
        <v>1242</v>
      </c>
      <c r="G2073">
        <v>661</v>
      </c>
      <c r="H2073" t="s">
        <v>11</v>
      </c>
      <c r="I2073" t="b" cm="1">
        <f t="array" ref="I2073">isDup(B2073,B2074, 0.7)</f>
        <v>0</v>
      </c>
    </row>
    <row r="2074" spans="1:9" ht="17" x14ac:dyDescent="0.2">
      <c r="A2074" t="s">
        <v>6893</v>
      </c>
      <c r="B2074" s="1" t="s">
        <v>6894</v>
      </c>
      <c r="C2074" t="s">
        <v>402</v>
      </c>
      <c r="D2074" s="1" t="s">
        <v>5352</v>
      </c>
      <c r="E2074" t="b">
        <v>0</v>
      </c>
      <c r="F2074">
        <v>374</v>
      </c>
      <c r="G2074">
        <v>410</v>
      </c>
      <c r="H2074" t="s">
        <v>11</v>
      </c>
      <c r="I2074" t="b" cm="1">
        <f t="array" ref="I2074">isDup(B2074,B2075, 0.7)</f>
        <v>0</v>
      </c>
    </row>
    <row r="2075" spans="1:9" ht="34" x14ac:dyDescent="0.2">
      <c r="A2075" t="s">
        <v>6324</v>
      </c>
      <c r="B2075" s="1" t="s">
        <v>6325</v>
      </c>
      <c r="C2075" t="s">
        <v>4293</v>
      </c>
      <c r="D2075" s="1" t="s">
        <v>2</v>
      </c>
      <c r="E2075" t="b">
        <v>0</v>
      </c>
      <c r="F2075">
        <v>33</v>
      </c>
      <c r="G2075">
        <v>63</v>
      </c>
      <c r="H2075" t="s">
        <v>11</v>
      </c>
      <c r="I2075" t="b" cm="1">
        <f t="array" ref="I2075">isDup(B2075,B2076, 0.7)</f>
        <v>0</v>
      </c>
    </row>
    <row r="2076" spans="1:9" ht="17" x14ac:dyDescent="0.2">
      <c r="A2076" t="s">
        <v>1273</v>
      </c>
      <c r="B2076" s="1" t="s">
        <v>1274</v>
      </c>
      <c r="C2076" t="s">
        <v>1275</v>
      </c>
      <c r="D2076" s="1" t="s">
        <v>1276</v>
      </c>
      <c r="E2076" t="b">
        <v>0</v>
      </c>
      <c r="F2076">
        <v>9326</v>
      </c>
      <c r="G2076">
        <v>1976</v>
      </c>
      <c r="H2076" t="s">
        <v>11</v>
      </c>
      <c r="I2076" t="b" cm="1">
        <f t="array" ref="I2076">isDup(B2076,B2077, 0.7)</f>
        <v>0</v>
      </c>
    </row>
    <row r="2077" spans="1:9" ht="17" x14ac:dyDescent="0.2">
      <c r="A2077" t="s">
        <v>5489</v>
      </c>
      <c r="B2077" s="1" t="s">
        <v>5490</v>
      </c>
      <c r="C2077" t="s">
        <v>763</v>
      </c>
      <c r="D2077" s="1" t="s">
        <v>4234</v>
      </c>
      <c r="E2077" t="b">
        <v>0</v>
      </c>
      <c r="F2077">
        <v>207</v>
      </c>
      <c r="G2077">
        <v>699</v>
      </c>
      <c r="H2077" t="s">
        <v>11</v>
      </c>
      <c r="I2077" t="b" cm="1">
        <f t="array" ref="I2077">isDup(B2077,B2078, 0.7)</f>
        <v>0</v>
      </c>
    </row>
    <row r="2078" spans="1:9" ht="17" x14ac:dyDescent="0.2">
      <c r="A2078" t="s">
        <v>1144</v>
      </c>
      <c r="B2078" s="1" t="s">
        <v>1145</v>
      </c>
      <c r="C2078" t="s">
        <v>575</v>
      </c>
      <c r="D2078" s="1" t="s">
        <v>61</v>
      </c>
      <c r="E2078" t="b">
        <v>0</v>
      </c>
      <c r="F2078">
        <v>30</v>
      </c>
      <c r="G2078">
        <v>61</v>
      </c>
      <c r="H2078" t="s">
        <v>11</v>
      </c>
      <c r="I2078" t="b" cm="1">
        <f t="array" ref="I2078">isDup(B2078,B2079, 0.7)</f>
        <v>0</v>
      </c>
    </row>
    <row r="2079" spans="1:9" ht="17" x14ac:dyDescent="0.2">
      <c r="A2079" t="s">
        <v>6408</v>
      </c>
      <c r="B2079" s="1" t="s">
        <v>6409</v>
      </c>
      <c r="C2079" t="s">
        <v>464</v>
      </c>
      <c r="D2079" s="1" t="s">
        <v>6410</v>
      </c>
      <c r="E2079" t="b">
        <v>0</v>
      </c>
      <c r="F2079">
        <v>2</v>
      </c>
      <c r="G2079">
        <v>26</v>
      </c>
      <c r="H2079" t="s">
        <v>11</v>
      </c>
      <c r="I2079" t="b" cm="1">
        <f t="array" ref="I2079">isDup(B2079,B2080, 0.7)</f>
        <v>0</v>
      </c>
    </row>
    <row r="2080" spans="1:9" ht="17" x14ac:dyDescent="0.2">
      <c r="A2080" t="s">
        <v>145</v>
      </c>
      <c r="B2080" s="1" t="s">
        <v>146</v>
      </c>
      <c r="C2080" t="s">
        <v>147</v>
      </c>
      <c r="D2080" s="1" t="s">
        <v>148</v>
      </c>
      <c r="E2080" t="b">
        <v>0</v>
      </c>
      <c r="F2080">
        <v>76</v>
      </c>
      <c r="G2080">
        <v>163</v>
      </c>
      <c r="H2080" t="s">
        <v>11</v>
      </c>
      <c r="I2080" t="b" cm="1">
        <f t="array" ref="I2080">isDup(B2080,B2081, 0.7)</f>
        <v>0</v>
      </c>
    </row>
    <row r="2081" spans="1:9" ht="34" x14ac:dyDescent="0.2">
      <c r="A2081" t="s">
        <v>1900</v>
      </c>
      <c r="B2081" s="1" t="s">
        <v>1901</v>
      </c>
      <c r="C2081" t="s">
        <v>1902</v>
      </c>
      <c r="D2081" s="1" t="s">
        <v>2</v>
      </c>
      <c r="E2081" t="b">
        <v>0</v>
      </c>
      <c r="F2081">
        <v>802</v>
      </c>
      <c r="G2081">
        <v>551</v>
      </c>
      <c r="H2081" t="s">
        <v>73</v>
      </c>
      <c r="I2081" t="b" cm="1">
        <f t="array" ref="I2081">isDup(B2081,B2082, 0.7)</f>
        <v>0</v>
      </c>
    </row>
    <row r="2082" spans="1:9" ht="17" x14ac:dyDescent="0.2">
      <c r="A2082" t="s">
        <v>6584</v>
      </c>
      <c r="B2082" s="1" t="s">
        <v>6585</v>
      </c>
      <c r="C2082" t="s">
        <v>6586</v>
      </c>
      <c r="D2082" s="1" t="s">
        <v>61</v>
      </c>
      <c r="E2082" t="b">
        <v>0</v>
      </c>
      <c r="F2082">
        <v>161</v>
      </c>
      <c r="G2082">
        <v>487</v>
      </c>
      <c r="H2082" t="s">
        <v>11</v>
      </c>
      <c r="I2082" t="b" cm="1">
        <f t="array" ref="I2082">isDup(B2082,B2083, 0.7)</f>
        <v>0</v>
      </c>
    </row>
    <row r="2083" spans="1:9" ht="17" x14ac:dyDescent="0.2">
      <c r="A2083" t="s">
        <v>3207</v>
      </c>
      <c r="B2083" s="1" t="s">
        <v>3208</v>
      </c>
      <c r="C2083" t="s">
        <v>3209</v>
      </c>
      <c r="D2083" s="1" t="s">
        <v>2</v>
      </c>
      <c r="E2083" t="b">
        <v>0</v>
      </c>
      <c r="F2083">
        <v>1863</v>
      </c>
      <c r="G2083">
        <v>2267</v>
      </c>
      <c r="H2083" t="s">
        <v>11</v>
      </c>
      <c r="I2083" t="b" cm="1">
        <f t="array" ref="I2083">isDup(B2083,B2084, 0.7)</f>
        <v>0</v>
      </c>
    </row>
    <row r="2084" spans="1:9" ht="17" x14ac:dyDescent="0.2">
      <c r="A2084" t="s">
        <v>1822</v>
      </c>
      <c r="B2084" s="1" t="s">
        <v>1823</v>
      </c>
      <c r="C2084" t="s">
        <v>1824</v>
      </c>
      <c r="D2084" s="1" t="s">
        <v>61</v>
      </c>
      <c r="E2084" t="b">
        <v>0</v>
      </c>
      <c r="F2084">
        <v>141</v>
      </c>
      <c r="G2084">
        <v>312</v>
      </c>
      <c r="H2084" t="s">
        <v>11</v>
      </c>
      <c r="I2084" t="b" cm="1">
        <f t="array" ref="I2084">isDup(B2084,B2085, 0.7)</f>
        <v>0</v>
      </c>
    </row>
    <row r="2085" spans="1:9" ht="17" x14ac:dyDescent="0.2">
      <c r="A2085" t="s">
        <v>4793</v>
      </c>
      <c r="B2085" s="1" t="s">
        <v>4794</v>
      </c>
      <c r="C2085" t="s">
        <v>4795</v>
      </c>
      <c r="D2085" s="1" t="s">
        <v>2</v>
      </c>
      <c r="E2085" t="b">
        <v>0</v>
      </c>
      <c r="F2085">
        <v>2503</v>
      </c>
      <c r="G2085">
        <v>988</v>
      </c>
      <c r="H2085" t="s">
        <v>11</v>
      </c>
      <c r="I2085" t="b" cm="1">
        <f t="array" ref="I2085">isDup(B2085,B2086, 0.7)</f>
        <v>0</v>
      </c>
    </row>
    <row r="2086" spans="1:9" ht="17" x14ac:dyDescent="0.2">
      <c r="A2086" t="s">
        <v>6850</v>
      </c>
      <c r="B2086" s="1" t="s">
        <v>6851</v>
      </c>
      <c r="C2086" t="s">
        <v>4907</v>
      </c>
      <c r="D2086" s="1" t="s">
        <v>3133</v>
      </c>
      <c r="E2086" t="b">
        <v>0</v>
      </c>
      <c r="F2086">
        <v>924</v>
      </c>
      <c r="G2086">
        <v>808</v>
      </c>
      <c r="H2086" t="s">
        <v>11</v>
      </c>
      <c r="I2086" t="b" cm="1">
        <f t="array" ref="I2086">isDup(B2086,B2087, 0.7)</f>
        <v>0</v>
      </c>
    </row>
    <row r="2087" spans="1:9" ht="17" x14ac:dyDescent="0.2">
      <c r="A2087" t="s">
        <v>6303</v>
      </c>
      <c r="B2087" s="1" t="s">
        <v>6304</v>
      </c>
      <c r="C2087" t="s">
        <v>6305</v>
      </c>
      <c r="D2087" s="1" t="s">
        <v>6306</v>
      </c>
      <c r="E2087" t="b">
        <v>0</v>
      </c>
      <c r="F2087">
        <v>8472</v>
      </c>
      <c r="G2087">
        <v>9075</v>
      </c>
      <c r="H2087" t="s">
        <v>11</v>
      </c>
      <c r="I2087" t="b" cm="1">
        <f t="array" ref="I2087">isDup(B2087,B2088, 0.7)</f>
        <v>0</v>
      </c>
    </row>
    <row r="2088" spans="1:9" ht="34" x14ac:dyDescent="0.2">
      <c r="A2088" t="s">
        <v>4955</v>
      </c>
      <c r="B2088" s="1" t="s">
        <v>4956</v>
      </c>
      <c r="C2088" t="s">
        <v>455</v>
      </c>
      <c r="D2088" s="1" t="s">
        <v>212</v>
      </c>
      <c r="E2088" t="b">
        <v>0</v>
      </c>
      <c r="F2088">
        <v>178</v>
      </c>
      <c r="G2088">
        <v>135</v>
      </c>
      <c r="H2088" t="s">
        <v>11</v>
      </c>
      <c r="I2088" t="b" cm="1">
        <f t="array" ref="I2088">isDup(B2088,B2089, 0.7)</f>
        <v>1</v>
      </c>
    </row>
    <row r="2089" spans="1:9" ht="34" x14ac:dyDescent="0.2">
      <c r="A2089" t="s">
        <v>4998</v>
      </c>
      <c r="B2089" s="1" t="s">
        <v>4999</v>
      </c>
      <c r="C2089" t="s">
        <v>455</v>
      </c>
      <c r="D2089" s="1" t="s">
        <v>212</v>
      </c>
      <c r="E2089" t="b">
        <v>0</v>
      </c>
      <c r="F2089">
        <v>178</v>
      </c>
      <c r="G2089">
        <v>135</v>
      </c>
      <c r="H2089" t="s">
        <v>11</v>
      </c>
      <c r="I2089" t="b" cm="1">
        <f t="array" ref="I2089">isDup(B2089,B2090, 0.7)</f>
        <v>1</v>
      </c>
    </row>
    <row r="2090" spans="1:9" ht="34" x14ac:dyDescent="0.2">
      <c r="A2090" t="s">
        <v>5060</v>
      </c>
      <c r="B2090" s="1" t="s">
        <v>5061</v>
      </c>
      <c r="C2090" t="s">
        <v>455</v>
      </c>
      <c r="D2090" s="1" t="s">
        <v>212</v>
      </c>
      <c r="E2090" t="b">
        <v>0</v>
      </c>
      <c r="F2090">
        <v>178</v>
      </c>
      <c r="G2090">
        <v>135</v>
      </c>
      <c r="H2090" t="s">
        <v>11</v>
      </c>
      <c r="I2090" t="b" cm="1">
        <f t="array" ref="I2090">isDup(B2090,B2091, 0.7)</f>
        <v>0</v>
      </c>
    </row>
    <row r="2091" spans="1:9" ht="17" x14ac:dyDescent="0.2">
      <c r="A2091" t="s">
        <v>4069</v>
      </c>
      <c r="B2091" s="1" t="s">
        <v>4070</v>
      </c>
      <c r="C2091" t="s">
        <v>2867</v>
      </c>
      <c r="D2091" s="1" t="s">
        <v>4071</v>
      </c>
      <c r="E2091" t="b">
        <v>0</v>
      </c>
      <c r="F2091">
        <v>501</v>
      </c>
      <c r="G2091">
        <v>742</v>
      </c>
      <c r="H2091" t="s">
        <v>110</v>
      </c>
      <c r="I2091" t="b" cm="1">
        <f t="array" ref="I2091">isDup(B2091,B2092, 0.7)</f>
        <v>0</v>
      </c>
    </row>
    <row r="2092" spans="1:9" ht="17" x14ac:dyDescent="0.2">
      <c r="A2092" t="s">
        <v>7172</v>
      </c>
      <c r="B2092" s="1" t="s">
        <v>7173</v>
      </c>
      <c r="C2092" t="s">
        <v>6738</v>
      </c>
      <c r="D2092" s="1" t="s">
        <v>7174</v>
      </c>
      <c r="E2092" t="b">
        <v>0</v>
      </c>
      <c r="F2092">
        <v>60</v>
      </c>
      <c r="G2092">
        <v>97</v>
      </c>
      <c r="H2092" t="s">
        <v>11</v>
      </c>
      <c r="I2092" t="b" cm="1">
        <f t="array" ref="I2092">isDup(B2092,B2093, 0.7)</f>
        <v>0</v>
      </c>
    </row>
    <row r="2093" spans="1:9" ht="17" x14ac:dyDescent="0.2">
      <c r="A2093" t="s">
        <v>5565</v>
      </c>
      <c r="B2093" s="1" t="s">
        <v>5566</v>
      </c>
      <c r="C2093" t="s">
        <v>186</v>
      </c>
      <c r="D2093" s="1" t="s">
        <v>5567</v>
      </c>
      <c r="E2093" t="b">
        <v>0</v>
      </c>
      <c r="F2093">
        <v>117</v>
      </c>
      <c r="G2093">
        <v>455</v>
      </c>
      <c r="H2093" t="s">
        <v>11</v>
      </c>
      <c r="I2093" t="b" cm="1">
        <f t="array" ref="I2093">isDup(B2093,B2094, 0.7)</f>
        <v>0</v>
      </c>
    </row>
    <row r="2094" spans="1:9" ht="17" x14ac:dyDescent="0.2">
      <c r="A2094" t="s">
        <v>6161</v>
      </c>
      <c r="B2094" s="1" t="s">
        <v>6162</v>
      </c>
      <c r="C2094" t="s">
        <v>6163</v>
      </c>
      <c r="D2094" s="1" t="s">
        <v>6164</v>
      </c>
      <c r="E2094" t="b">
        <v>0</v>
      </c>
      <c r="F2094">
        <v>225</v>
      </c>
      <c r="G2094">
        <v>795</v>
      </c>
      <c r="H2094" t="s">
        <v>11</v>
      </c>
      <c r="I2094" t="b" cm="1">
        <f t="array" ref="I2094">isDup(B2094,B2095, 0.7)</f>
        <v>0</v>
      </c>
    </row>
    <row r="2095" spans="1:9" ht="17" x14ac:dyDescent="0.2">
      <c r="A2095" t="s">
        <v>6712</v>
      </c>
      <c r="B2095" s="1" t="s">
        <v>6713</v>
      </c>
      <c r="C2095" t="s">
        <v>6714</v>
      </c>
      <c r="D2095" s="1" t="s">
        <v>2</v>
      </c>
      <c r="E2095" t="b">
        <v>0</v>
      </c>
      <c r="F2095">
        <v>943</v>
      </c>
      <c r="G2095">
        <v>611</v>
      </c>
      <c r="H2095" t="s">
        <v>11</v>
      </c>
      <c r="I2095" t="b" cm="1">
        <f t="array" ref="I2095">isDup(B2095,B2096, 0.7)</f>
        <v>0</v>
      </c>
    </row>
    <row r="2096" spans="1:9" ht="34" x14ac:dyDescent="0.2">
      <c r="A2096" t="s">
        <v>2568</v>
      </c>
      <c r="B2096" s="1" t="s">
        <v>2569</v>
      </c>
      <c r="C2096" t="s">
        <v>2570</v>
      </c>
      <c r="D2096" s="1" t="s">
        <v>2</v>
      </c>
      <c r="E2096" t="b">
        <v>0</v>
      </c>
      <c r="F2096">
        <v>6</v>
      </c>
      <c r="G2096">
        <v>73</v>
      </c>
      <c r="H2096" t="s">
        <v>47</v>
      </c>
      <c r="I2096" t="b" cm="1">
        <f t="array" ref="I2096">isDup(B2096,B2097, 0.7)</f>
        <v>0</v>
      </c>
    </row>
    <row r="2097" spans="1:9" ht="34" x14ac:dyDescent="0.2">
      <c r="A2097" t="s">
        <v>6965</v>
      </c>
      <c r="B2097" s="1" t="s">
        <v>6966</v>
      </c>
      <c r="C2097" t="s">
        <v>6967</v>
      </c>
      <c r="D2097" s="1" t="s">
        <v>2</v>
      </c>
      <c r="E2097" t="b">
        <v>0</v>
      </c>
      <c r="F2097">
        <v>25</v>
      </c>
      <c r="G2097">
        <v>0</v>
      </c>
      <c r="H2097" t="s">
        <v>11</v>
      </c>
      <c r="I2097" t="b" cm="1">
        <f t="array" ref="I2097">isDup(B2097,B2098, 0.7)</f>
        <v>0</v>
      </c>
    </row>
    <row r="2098" spans="1:9" ht="34" x14ac:dyDescent="0.2">
      <c r="A2098" t="s">
        <v>4859</v>
      </c>
      <c r="B2098" s="1" t="s">
        <v>4860</v>
      </c>
      <c r="C2098" t="s">
        <v>4861</v>
      </c>
      <c r="D2098" s="1" t="s">
        <v>2</v>
      </c>
      <c r="E2098" t="b">
        <v>0</v>
      </c>
      <c r="F2098">
        <v>413</v>
      </c>
      <c r="G2098">
        <v>355</v>
      </c>
      <c r="H2098" t="s">
        <v>11</v>
      </c>
      <c r="I2098" t="b" cm="1">
        <f t="array" ref="I2098">isDup(B2098,B2099, 0.7)</f>
        <v>0</v>
      </c>
    </row>
    <row r="2099" spans="1:9" ht="34" x14ac:dyDescent="0.2">
      <c r="A2099" t="s">
        <v>7011</v>
      </c>
      <c r="B2099" s="1" t="s">
        <v>7012</v>
      </c>
      <c r="C2099" t="s">
        <v>1313</v>
      </c>
      <c r="D2099" s="1" t="s">
        <v>7013</v>
      </c>
      <c r="E2099" t="b">
        <v>0</v>
      </c>
      <c r="F2099">
        <v>244</v>
      </c>
      <c r="G2099">
        <v>318</v>
      </c>
      <c r="H2099" t="s">
        <v>11</v>
      </c>
      <c r="I2099" t="b" cm="1">
        <f t="array" ref="I2099">isDup(B2099,B2100, 0.7)</f>
        <v>0</v>
      </c>
    </row>
    <row r="2100" spans="1:9" ht="17" x14ac:dyDescent="0.2">
      <c r="A2100" t="s">
        <v>5402</v>
      </c>
      <c r="B2100" s="1" t="s">
        <v>5404</v>
      </c>
      <c r="C2100" t="s">
        <v>200</v>
      </c>
      <c r="D2100" s="1" t="s">
        <v>5405</v>
      </c>
      <c r="E2100" t="b">
        <v>0</v>
      </c>
      <c r="F2100">
        <v>2282</v>
      </c>
      <c r="G2100">
        <v>4648</v>
      </c>
      <c r="H2100" t="s">
        <v>11</v>
      </c>
      <c r="I2100" t="b" cm="1">
        <f t="array" ref="I2100">isDup(B2100,B2101, 0.7)</f>
        <v>0</v>
      </c>
    </row>
    <row r="2101" spans="1:9" ht="17" x14ac:dyDescent="0.2">
      <c r="A2101" t="s">
        <v>2799</v>
      </c>
      <c r="B2101" s="1" t="s">
        <v>2800</v>
      </c>
      <c r="C2101" t="s">
        <v>2706</v>
      </c>
      <c r="D2101" s="1" t="s">
        <v>2</v>
      </c>
      <c r="E2101" t="b">
        <v>0</v>
      </c>
      <c r="F2101">
        <v>17</v>
      </c>
      <c r="G2101">
        <v>78</v>
      </c>
      <c r="H2101" t="s">
        <v>11</v>
      </c>
      <c r="I2101" t="b" cm="1">
        <f t="array" ref="I2101">isDup(B2101,B2102, 0.7)</f>
        <v>0</v>
      </c>
    </row>
    <row r="2102" spans="1:9" ht="17" x14ac:dyDescent="0.2">
      <c r="A2102" t="s">
        <v>5639</v>
      </c>
      <c r="B2102" s="1" t="s">
        <v>5640</v>
      </c>
      <c r="C2102" t="s">
        <v>5641</v>
      </c>
      <c r="D2102" s="1" t="s">
        <v>5642</v>
      </c>
      <c r="E2102" t="b">
        <v>0</v>
      </c>
      <c r="F2102">
        <v>75</v>
      </c>
      <c r="G2102">
        <v>512</v>
      </c>
      <c r="H2102" t="s">
        <v>47</v>
      </c>
      <c r="I2102" t="b" cm="1">
        <f t="array" ref="I2102">isDup(B2102,B2103, 0.7)</f>
        <v>0</v>
      </c>
    </row>
    <row r="2103" spans="1:9" ht="17" x14ac:dyDescent="0.2">
      <c r="A2103" t="s">
        <v>2498</v>
      </c>
      <c r="B2103" s="1" t="s">
        <v>2499</v>
      </c>
      <c r="C2103" t="s">
        <v>1162</v>
      </c>
      <c r="D2103" s="1" t="s">
        <v>2500</v>
      </c>
      <c r="E2103" t="b">
        <v>0</v>
      </c>
      <c r="F2103">
        <v>1425</v>
      </c>
      <c r="G2103">
        <v>1265</v>
      </c>
      <c r="H2103" t="s">
        <v>2180</v>
      </c>
      <c r="I2103" t="b" cm="1">
        <f t="array" ref="I2103">isDup(B2103,B2104, 0.7)</f>
        <v>0</v>
      </c>
    </row>
    <row r="2104" spans="1:9" ht="17" x14ac:dyDescent="0.2">
      <c r="A2104" t="s">
        <v>7221</v>
      </c>
      <c r="B2104" s="1" t="s">
        <v>7222</v>
      </c>
      <c r="C2104" t="s">
        <v>7223</v>
      </c>
      <c r="D2104" s="1" t="s">
        <v>2</v>
      </c>
      <c r="E2104" t="b">
        <v>0</v>
      </c>
      <c r="F2104">
        <v>806</v>
      </c>
      <c r="G2104">
        <v>697</v>
      </c>
      <c r="H2104" t="s">
        <v>11</v>
      </c>
      <c r="I2104" t="b" cm="1">
        <f t="array" ref="I2104">isDup(B2104,B2105, 0.7)</f>
        <v>0</v>
      </c>
    </row>
    <row r="2105" spans="1:9" ht="17" x14ac:dyDescent="0.2">
      <c r="A2105" t="s">
        <v>3156</v>
      </c>
      <c r="B2105" s="1" t="s">
        <v>3157</v>
      </c>
      <c r="C2105" t="s">
        <v>679</v>
      </c>
      <c r="D2105" s="1" t="s">
        <v>2</v>
      </c>
      <c r="E2105" t="b">
        <v>0</v>
      </c>
      <c r="F2105">
        <v>177</v>
      </c>
      <c r="G2105">
        <v>402</v>
      </c>
      <c r="H2105" t="s">
        <v>11</v>
      </c>
      <c r="I2105" t="b" cm="1">
        <f t="array" ref="I2105">isDup(B2105,B2106, 0.7)</f>
        <v>0</v>
      </c>
    </row>
    <row r="2106" spans="1:9" ht="17" x14ac:dyDescent="0.2">
      <c r="A2106" t="s">
        <v>7116</v>
      </c>
      <c r="B2106" s="1" t="s">
        <v>7117</v>
      </c>
      <c r="C2106" t="s">
        <v>247</v>
      </c>
      <c r="D2106" s="1" t="s">
        <v>2399</v>
      </c>
      <c r="E2106" t="b">
        <v>0</v>
      </c>
      <c r="F2106">
        <v>395</v>
      </c>
      <c r="G2106">
        <v>831</v>
      </c>
      <c r="H2106" t="s">
        <v>11</v>
      </c>
      <c r="I2106" t="b" cm="1">
        <f t="array" ref="I2106">isDup(B2106,B2107, 0.7)</f>
        <v>0</v>
      </c>
    </row>
    <row r="2107" spans="1:9" ht="34" x14ac:dyDescent="0.2">
      <c r="A2107" t="s">
        <v>3634</v>
      </c>
      <c r="B2107" s="1" t="s">
        <v>3635</v>
      </c>
      <c r="C2107" t="s">
        <v>29</v>
      </c>
      <c r="E2107" t="b">
        <v>0</v>
      </c>
      <c r="F2107">
        <v>526</v>
      </c>
      <c r="G2107">
        <v>558</v>
      </c>
      <c r="H2107" t="s">
        <v>31</v>
      </c>
      <c r="I2107" t="b" cm="1">
        <f t="array" ref="I2107">isDup(B2107,B2108, 0.7)</f>
        <v>0</v>
      </c>
    </row>
    <row r="2108" spans="1:9" ht="17" x14ac:dyDescent="0.2">
      <c r="A2108" t="s">
        <v>6813</v>
      </c>
      <c r="B2108" s="1" t="s">
        <v>6814</v>
      </c>
      <c r="C2108" t="s">
        <v>82</v>
      </c>
      <c r="D2108" s="1" t="s">
        <v>2</v>
      </c>
      <c r="E2108" t="b">
        <v>0</v>
      </c>
      <c r="F2108">
        <v>774</v>
      </c>
      <c r="G2108">
        <v>927</v>
      </c>
      <c r="H2108" t="s">
        <v>11</v>
      </c>
      <c r="I2108" t="b" cm="1">
        <f t="array" ref="I2108">isDup(B2108,B2109, 0.7)</f>
        <v>0</v>
      </c>
    </row>
    <row r="2109" spans="1:9" ht="34" x14ac:dyDescent="0.2">
      <c r="A2109" t="s">
        <v>2761</v>
      </c>
      <c r="B2109" s="1" t="s">
        <v>2762</v>
      </c>
      <c r="C2109" t="s">
        <v>1568</v>
      </c>
      <c r="D2109" s="1" t="s">
        <v>2713</v>
      </c>
      <c r="E2109" t="b">
        <v>0</v>
      </c>
      <c r="F2109">
        <v>271</v>
      </c>
      <c r="G2109">
        <v>39</v>
      </c>
      <c r="H2109" t="s">
        <v>11</v>
      </c>
      <c r="I2109" t="b" cm="1">
        <f t="array" ref="I2109">isDup(B2109,B2110, 0.7)</f>
        <v>1</v>
      </c>
    </row>
    <row r="2110" spans="1:9" ht="17" x14ac:dyDescent="0.2">
      <c r="A2110" t="s">
        <v>2711</v>
      </c>
      <c r="B2110" s="1" t="s">
        <v>2712</v>
      </c>
      <c r="C2110" t="s">
        <v>1568</v>
      </c>
      <c r="D2110" s="1" t="s">
        <v>2713</v>
      </c>
      <c r="E2110" t="b">
        <v>0</v>
      </c>
      <c r="F2110">
        <v>271</v>
      </c>
      <c r="G2110">
        <v>39</v>
      </c>
      <c r="H2110" t="s">
        <v>11</v>
      </c>
      <c r="I2110" t="b" cm="1">
        <f t="array" ref="I2110">isDup(B2110,B2111, 0.7)</f>
        <v>0</v>
      </c>
    </row>
    <row r="2111" spans="1:9" ht="34" x14ac:dyDescent="0.2">
      <c r="A2111" t="s">
        <v>6289</v>
      </c>
      <c r="B2111" s="1" t="s">
        <v>6290</v>
      </c>
      <c r="C2111" t="s">
        <v>782</v>
      </c>
      <c r="D2111" s="1" t="s">
        <v>2</v>
      </c>
      <c r="E2111" t="b">
        <v>0</v>
      </c>
      <c r="F2111">
        <v>81</v>
      </c>
      <c r="G2111">
        <v>138</v>
      </c>
      <c r="H2111" t="s">
        <v>11</v>
      </c>
      <c r="I2111" t="b" cm="1">
        <f t="array" ref="I2111">isDup(B2111,B2112, 0.7)</f>
        <v>0</v>
      </c>
    </row>
    <row r="2112" spans="1:9" ht="17" x14ac:dyDescent="0.2">
      <c r="A2112" t="s">
        <v>7019</v>
      </c>
      <c r="B2112" s="1" t="s">
        <v>7020</v>
      </c>
      <c r="C2112" t="s">
        <v>2950</v>
      </c>
      <c r="D2112" s="1" t="s">
        <v>7021</v>
      </c>
      <c r="E2112" t="b">
        <v>0</v>
      </c>
      <c r="F2112">
        <v>4032</v>
      </c>
      <c r="G2112">
        <v>2361</v>
      </c>
      <c r="H2112" t="s">
        <v>11</v>
      </c>
      <c r="I2112" t="b" cm="1">
        <f t="array" ref="I2112">isDup(B2112,B2113, 0.7)</f>
        <v>0</v>
      </c>
    </row>
    <row r="2113" spans="1:9" ht="17" x14ac:dyDescent="0.2">
      <c r="A2113" t="s">
        <v>470</v>
      </c>
      <c r="B2113" s="1" t="s">
        <v>471</v>
      </c>
      <c r="C2113" t="s">
        <v>472</v>
      </c>
      <c r="D2113" s="1" t="s">
        <v>473</v>
      </c>
      <c r="E2113" t="b">
        <v>0</v>
      </c>
      <c r="F2113">
        <v>292</v>
      </c>
      <c r="G2113">
        <v>0</v>
      </c>
      <c r="H2113" t="s">
        <v>110</v>
      </c>
      <c r="I2113" t="b" cm="1">
        <f t="array" ref="I2113">isDup(B2113,B2114, 0.7)</f>
        <v>0</v>
      </c>
    </row>
    <row r="2114" spans="1:9" ht="34" x14ac:dyDescent="0.2">
      <c r="A2114" t="s">
        <v>2946</v>
      </c>
      <c r="B2114" s="1" t="s">
        <v>2947</v>
      </c>
      <c r="C2114" t="s">
        <v>938</v>
      </c>
      <c r="D2114" s="1" t="s">
        <v>2775</v>
      </c>
      <c r="E2114" t="b">
        <v>0</v>
      </c>
      <c r="F2114">
        <v>1210</v>
      </c>
      <c r="G2114">
        <v>2424</v>
      </c>
      <c r="H2114" t="s">
        <v>11</v>
      </c>
      <c r="I2114" t="b" cm="1">
        <f t="array" ref="I2114">isDup(B2114,B2115, 0.7)</f>
        <v>0</v>
      </c>
    </row>
    <row r="2115" spans="1:9" ht="34" x14ac:dyDescent="0.2">
      <c r="A2115" t="s">
        <v>3323</v>
      </c>
      <c r="B2115" s="1" t="s">
        <v>3324</v>
      </c>
      <c r="C2115" t="s">
        <v>45</v>
      </c>
      <c r="D2115" s="1" t="s">
        <v>2</v>
      </c>
      <c r="E2115" t="b">
        <v>0</v>
      </c>
      <c r="F2115">
        <v>116</v>
      </c>
      <c r="G2115">
        <v>291</v>
      </c>
      <c r="H2115" t="s">
        <v>11</v>
      </c>
      <c r="I2115" t="b" cm="1">
        <f t="array" ref="I2115">isDup(B2115,B2116, 0.7)</f>
        <v>0</v>
      </c>
    </row>
    <row r="2116" spans="1:9" ht="17" x14ac:dyDescent="0.2">
      <c r="A2116" t="s">
        <v>837</v>
      </c>
      <c r="B2116" s="1" t="s">
        <v>838</v>
      </c>
      <c r="C2116" t="s">
        <v>839</v>
      </c>
      <c r="D2116" s="1" t="s">
        <v>840</v>
      </c>
      <c r="E2116" t="b">
        <v>0</v>
      </c>
      <c r="F2116">
        <v>8</v>
      </c>
      <c r="G2116">
        <v>59</v>
      </c>
      <c r="H2116" t="s">
        <v>11</v>
      </c>
      <c r="I2116" t="b" cm="1">
        <f t="array" ref="I2116">isDup(B2116,B2117, 0.7)</f>
        <v>0</v>
      </c>
    </row>
    <row r="2117" spans="1:9" ht="17" x14ac:dyDescent="0.2">
      <c r="A2117" t="s">
        <v>5415</v>
      </c>
      <c r="B2117" s="1" t="s">
        <v>5416</v>
      </c>
      <c r="C2117" t="s">
        <v>3354</v>
      </c>
      <c r="D2117" s="1" t="s">
        <v>5417</v>
      </c>
      <c r="E2117" t="b">
        <v>0</v>
      </c>
      <c r="F2117">
        <v>67685</v>
      </c>
      <c r="G2117">
        <v>200</v>
      </c>
      <c r="H2117" t="s">
        <v>11</v>
      </c>
      <c r="I2117" t="b" cm="1">
        <f t="array" ref="I2117">isDup(B2117,B2118, 0.7)</f>
        <v>0</v>
      </c>
    </row>
    <row r="2118" spans="1:9" ht="34" x14ac:dyDescent="0.2">
      <c r="A2118" t="s">
        <v>2851</v>
      </c>
      <c r="B2118" s="1" t="s">
        <v>2852</v>
      </c>
      <c r="C2118" t="s">
        <v>726</v>
      </c>
      <c r="D2118" s="1" t="s">
        <v>2853</v>
      </c>
      <c r="E2118" t="b">
        <v>0</v>
      </c>
      <c r="F2118">
        <v>1183</v>
      </c>
      <c r="G2118">
        <v>2241</v>
      </c>
      <c r="H2118" t="s">
        <v>11</v>
      </c>
      <c r="I2118" t="b" cm="1">
        <f t="array" ref="I2118">isDup(B2118,B2119, 0.7)</f>
        <v>0</v>
      </c>
    </row>
    <row r="2119" spans="1:9" ht="17" x14ac:dyDescent="0.2">
      <c r="A2119" t="s">
        <v>6846</v>
      </c>
      <c r="B2119" s="1" t="s">
        <v>6847</v>
      </c>
      <c r="C2119" t="s">
        <v>391</v>
      </c>
      <c r="D2119" s="1" t="s">
        <v>4672</v>
      </c>
      <c r="E2119" t="b">
        <v>0</v>
      </c>
      <c r="F2119">
        <v>80</v>
      </c>
      <c r="G2119">
        <v>108</v>
      </c>
      <c r="H2119" t="s">
        <v>11</v>
      </c>
      <c r="I2119" t="b" cm="1">
        <f t="array" ref="I2119">isDup(B2119,B2120, 0.7)</f>
        <v>0</v>
      </c>
    </row>
    <row r="2120" spans="1:9" ht="17" x14ac:dyDescent="0.2">
      <c r="A2120" t="s">
        <v>6687</v>
      </c>
      <c r="B2120" s="1" t="s">
        <v>6688</v>
      </c>
      <c r="C2120" t="s">
        <v>297</v>
      </c>
      <c r="D2120" s="1" t="s">
        <v>6689</v>
      </c>
      <c r="E2120" t="b">
        <v>0</v>
      </c>
      <c r="F2120">
        <v>870</v>
      </c>
      <c r="G2120">
        <v>1275</v>
      </c>
      <c r="H2120" t="s">
        <v>11</v>
      </c>
      <c r="I2120" t="b" cm="1">
        <f t="array" ref="I2120">isDup(B2120,B2121, 0.7)</f>
        <v>0</v>
      </c>
    </row>
    <row r="2121" spans="1:9" ht="17" x14ac:dyDescent="0.2">
      <c r="A2121" t="s">
        <v>5218</v>
      </c>
      <c r="B2121" s="1" t="s">
        <v>5219</v>
      </c>
      <c r="C2121" t="s">
        <v>5220</v>
      </c>
      <c r="D2121" s="1" t="s">
        <v>5221</v>
      </c>
      <c r="E2121" t="b">
        <v>0</v>
      </c>
      <c r="F2121">
        <v>402</v>
      </c>
      <c r="G2121">
        <v>383</v>
      </c>
      <c r="H2121" t="s">
        <v>11</v>
      </c>
      <c r="I2121" t="b" cm="1">
        <f t="array" ref="I2121">isDup(B2121,B2122, 0.7)</f>
        <v>0</v>
      </c>
    </row>
    <row r="2122" spans="1:9" ht="34" x14ac:dyDescent="0.2">
      <c r="A2122" t="s">
        <v>3143</v>
      </c>
      <c r="B2122" s="1" t="s">
        <v>3144</v>
      </c>
      <c r="C2122" t="s">
        <v>2698</v>
      </c>
      <c r="D2122" s="1" t="s">
        <v>3145</v>
      </c>
      <c r="E2122" t="b">
        <v>0</v>
      </c>
      <c r="F2122">
        <v>61</v>
      </c>
      <c r="G2122">
        <v>208</v>
      </c>
      <c r="H2122" t="s">
        <v>11</v>
      </c>
      <c r="I2122" t="b" cm="1">
        <f t="array" ref="I2122">isDup(B2122,B2123, 0.7)</f>
        <v>0</v>
      </c>
    </row>
    <row r="2123" spans="1:9" ht="34" x14ac:dyDescent="0.2">
      <c r="A2123" t="s">
        <v>4847</v>
      </c>
      <c r="B2123" s="1" t="s">
        <v>4848</v>
      </c>
      <c r="C2123" t="s">
        <v>4849</v>
      </c>
      <c r="D2123" s="1" t="s">
        <v>4850</v>
      </c>
      <c r="E2123" t="b">
        <v>0</v>
      </c>
      <c r="F2123">
        <v>351</v>
      </c>
      <c r="G2123">
        <v>734</v>
      </c>
      <c r="H2123" t="s">
        <v>11</v>
      </c>
      <c r="I2123" t="b" cm="1">
        <f t="array" ref="I2123">isDup(B2123,B2124, 0.7)</f>
        <v>0</v>
      </c>
    </row>
    <row r="2124" spans="1:9" ht="34" x14ac:dyDescent="0.2">
      <c r="A2124" t="s">
        <v>834</v>
      </c>
      <c r="B2124" s="1" t="s">
        <v>835</v>
      </c>
      <c r="C2124" t="s">
        <v>836</v>
      </c>
      <c r="D2124" s="1" t="s">
        <v>2</v>
      </c>
      <c r="E2124" t="b">
        <v>0</v>
      </c>
      <c r="F2124">
        <v>35</v>
      </c>
      <c r="G2124">
        <v>250</v>
      </c>
      <c r="H2124" t="s">
        <v>11</v>
      </c>
      <c r="I2124" t="b" cm="1">
        <f t="array" ref="I2124">isDup(B2124,B2125, 0.7)</f>
        <v>0</v>
      </c>
    </row>
    <row r="2125" spans="1:9" ht="34" x14ac:dyDescent="0.2">
      <c r="A2125" t="s">
        <v>3176</v>
      </c>
      <c r="B2125" s="1" t="s">
        <v>3177</v>
      </c>
      <c r="C2125" t="s">
        <v>814</v>
      </c>
      <c r="D2125" s="1" t="s">
        <v>216</v>
      </c>
      <c r="E2125" t="b">
        <v>0</v>
      </c>
      <c r="F2125">
        <v>8</v>
      </c>
      <c r="G2125">
        <v>166</v>
      </c>
      <c r="H2125" t="s">
        <v>11</v>
      </c>
      <c r="I2125" t="b" cm="1">
        <f t="array" ref="I2125">isDup(B2125,B2126, 0.7)</f>
        <v>0</v>
      </c>
    </row>
    <row r="2126" spans="1:9" ht="34" x14ac:dyDescent="0.2">
      <c r="A2126" t="s">
        <v>7142</v>
      </c>
      <c r="B2126" s="1" t="s">
        <v>7143</v>
      </c>
      <c r="C2126" t="s">
        <v>773</v>
      </c>
      <c r="D2126" s="1" t="s">
        <v>7144</v>
      </c>
      <c r="E2126" t="b">
        <v>0</v>
      </c>
      <c r="F2126">
        <v>2594</v>
      </c>
      <c r="G2126">
        <v>1236</v>
      </c>
      <c r="H2126" t="s">
        <v>11</v>
      </c>
      <c r="I2126" t="b" cm="1">
        <f t="array" ref="I2126">isDup(B2126,B2127, 0.7)</f>
        <v>0</v>
      </c>
    </row>
    <row r="2127" spans="1:9" ht="17" x14ac:dyDescent="0.2">
      <c r="A2127" t="s">
        <v>3727</v>
      </c>
      <c r="B2127" s="1" t="s">
        <v>3728</v>
      </c>
      <c r="C2127" t="s">
        <v>3729</v>
      </c>
      <c r="D2127" s="1" t="s">
        <v>3730</v>
      </c>
      <c r="E2127" t="b">
        <v>0</v>
      </c>
      <c r="F2127">
        <v>47</v>
      </c>
      <c r="G2127">
        <v>151</v>
      </c>
      <c r="H2127" t="s">
        <v>11</v>
      </c>
      <c r="I2127" t="b" cm="1">
        <f t="array" ref="I2127">isDup(B2127,B2128, 0.7)</f>
        <v>0</v>
      </c>
    </row>
    <row r="2128" spans="1:9" ht="17" x14ac:dyDescent="0.2">
      <c r="A2128" t="s">
        <v>3844</v>
      </c>
      <c r="B2128" s="1" t="s">
        <v>3845</v>
      </c>
      <c r="C2128" t="s">
        <v>869</v>
      </c>
      <c r="D2128" s="1" t="s">
        <v>2790</v>
      </c>
      <c r="E2128" t="b">
        <v>1</v>
      </c>
      <c r="F2128">
        <v>6781</v>
      </c>
      <c r="G2128">
        <v>3334</v>
      </c>
      <c r="H2128" t="s">
        <v>11</v>
      </c>
      <c r="I2128" t="b" cm="1">
        <f t="array" ref="I2128">isDup(B2128,B2129, 0.7)</f>
        <v>0</v>
      </c>
    </row>
    <row r="2129" spans="1:9" ht="17" x14ac:dyDescent="0.2">
      <c r="A2129" t="s">
        <v>7170</v>
      </c>
      <c r="B2129" s="1" t="s">
        <v>7171</v>
      </c>
      <c r="C2129" t="s">
        <v>402</v>
      </c>
      <c r="D2129" s="1" t="s">
        <v>5352</v>
      </c>
      <c r="E2129" t="b">
        <v>0</v>
      </c>
      <c r="F2129">
        <v>374</v>
      </c>
      <c r="G2129">
        <v>410</v>
      </c>
      <c r="H2129" t="s">
        <v>11</v>
      </c>
      <c r="I2129" t="b" cm="1">
        <f t="array" ref="I2129">isDup(B2129,B2130, 0.7)</f>
        <v>0</v>
      </c>
    </row>
    <row r="2130" spans="1:9" ht="34" x14ac:dyDescent="0.2">
      <c r="A2130" t="s">
        <v>4104</v>
      </c>
      <c r="B2130" s="1" t="s">
        <v>4105</v>
      </c>
      <c r="C2130" t="s">
        <v>4106</v>
      </c>
      <c r="D2130" s="1" t="s">
        <v>4107</v>
      </c>
      <c r="E2130" t="b">
        <v>0</v>
      </c>
      <c r="F2130">
        <v>30</v>
      </c>
      <c r="G2130">
        <v>335</v>
      </c>
      <c r="H2130" t="s">
        <v>11</v>
      </c>
      <c r="I2130" t="b" cm="1">
        <f t="array" ref="I2130">isDup(B2130,B2131, 0.7)</f>
        <v>0</v>
      </c>
    </row>
    <row r="2131" spans="1:9" ht="17" x14ac:dyDescent="0.2">
      <c r="A2131" t="s">
        <v>2176</v>
      </c>
      <c r="B2131" s="1" t="s">
        <v>2178</v>
      </c>
      <c r="C2131" t="s">
        <v>2179</v>
      </c>
      <c r="D2131" s="1" t="s">
        <v>2</v>
      </c>
      <c r="E2131" t="b">
        <v>0</v>
      </c>
      <c r="F2131">
        <v>65</v>
      </c>
      <c r="G2131">
        <v>50</v>
      </c>
      <c r="H2131" t="s">
        <v>2180</v>
      </c>
      <c r="I2131" t="b" cm="1">
        <f t="array" ref="I2131">isDup(B2131,B2132, 0.7)</f>
        <v>0</v>
      </c>
    </row>
    <row r="2132" spans="1:9" ht="34" x14ac:dyDescent="0.2">
      <c r="A2132" t="s">
        <v>5707</v>
      </c>
      <c r="B2132" s="1" t="s">
        <v>5708</v>
      </c>
      <c r="C2132" t="s">
        <v>4082</v>
      </c>
      <c r="D2132" s="1" t="s">
        <v>2</v>
      </c>
      <c r="E2132" t="b">
        <v>0</v>
      </c>
      <c r="F2132">
        <v>30</v>
      </c>
      <c r="G2132">
        <v>71</v>
      </c>
      <c r="H2132" t="s">
        <v>11</v>
      </c>
      <c r="I2132" t="b" cm="1">
        <f t="array" ref="I2132">isDup(B2132,B2133, 0.7)</f>
        <v>0</v>
      </c>
    </row>
    <row r="2133" spans="1:9" ht="34" x14ac:dyDescent="0.2">
      <c r="A2133" t="s">
        <v>5494</v>
      </c>
      <c r="B2133" s="1" t="s">
        <v>5495</v>
      </c>
      <c r="C2133" t="s">
        <v>2486</v>
      </c>
      <c r="D2133" s="1" t="s">
        <v>5496</v>
      </c>
      <c r="E2133" t="b">
        <v>0</v>
      </c>
      <c r="F2133">
        <v>18</v>
      </c>
      <c r="G2133">
        <v>187</v>
      </c>
      <c r="H2133" t="s">
        <v>11</v>
      </c>
      <c r="I2133" t="b" cm="1">
        <f t="array" ref="I2133">isDup(B2133,B2134, 0.7)</f>
        <v>0</v>
      </c>
    </row>
    <row r="2134" spans="1:9" ht="34" x14ac:dyDescent="0.2">
      <c r="A2134" t="s">
        <v>2508</v>
      </c>
      <c r="B2134" s="1" t="s">
        <v>2509</v>
      </c>
      <c r="C2134" t="s">
        <v>2510</v>
      </c>
      <c r="D2134" s="1" t="s">
        <v>2</v>
      </c>
      <c r="E2134" t="b">
        <v>0</v>
      </c>
      <c r="F2134">
        <v>430</v>
      </c>
      <c r="G2134">
        <v>263</v>
      </c>
      <c r="H2134" t="s">
        <v>11</v>
      </c>
      <c r="I2134" t="b" cm="1">
        <f t="array" ref="I2134">isDup(B2134,B2135, 0.7)</f>
        <v>0</v>
      </c>
    </row>
    <row r="2135" spans="1:9" ht="17" x14ac:dyDescent="0.2">
      <c r="A2135" t="s">
        <v>6683</v>
      </c>
      <c r="B2135" s="1" t="s">
        <v>6684</v>
      </c>
      <c r="C2135" t="s">
        <v>4907</v>
      </c>
      <c r="D2135" s="1" t="s">
        <v>2</v>
      </c>
      <c r="E2135" t="b">
        <v>0</v>
      </c>
      <c r="F2135">
        <v>37</v>
      </c>
      <c r="G2135">
        <v>425</v>
      </c>
      <c r="H2135" t="s">
        <v>11</v>
      </c>
      <c r="I2135" t="b" cm="1">
        <f t="array" ref="I2135">isDup(B2135,B2136, 0.7)</f>
        <v>0</v>
      </c>
    </row>
    <row r="2136" spans="1:9" ht="17" x14ac:dyDescent="0.2">
      <c r="A2136" t="s">
        <v>6825</v>
      </c>
      <c r="B2136" s="1" t="s">
        <v>6826</v>
      </c>
      <c r="C2136" t="s">
        <v>2938</v>
      </c>
      <c r="D2136" s="1" t="s">
        <v>2</v>
      </c>
      <c r="E2136" t="b">
        <v>0</v>
      </c>
      <c r="F2136">
        <v>3</v>
      </c>
      <c r="G2136">
        <v>59</v>
      </c>
      <c r="H2136" t="s">
        <v>11</v>
      </c>
      <c r="I2136" t="b" cm="1">
        <f t="array" ref="I2136">isDup(B2136,B2137, 0.7)</f>
        <v>0</v>
      </c>
    </row>
    <row r="2137" spans="1:9" ht="34" x14ac:dyDescent="0.2">
      <c r="A2137" t="s">
        <v>6721</v>
      </c>
      <c r="B2137" s="1" t="s">
        <v>6722</v>
      </c>
      <c r="C2137" t="s">
        <v>1197</v>
      </c>
      <c r="D2137" s="1" t="s">
        <v>2</v>
      </c>
      <c r="E2137" t="b">
        <v>0</v>
      </c>
      <c r="F2137">
        <v>297</v>
      </c>
      <c r="G2137">
        <v>110</v>
      </c>
      <c r="H2137" t="s">
        <v>11</v>
      </c>
      <c r="I2137" t="b" cm="1">
        <f t="array" ref="I2137">isDup(B2137,B2138, 0.7)</f>
        <v>0</v>
      </c>
    </row>
    <row r="2138" spans="1:9" ht="34" x14ac:dyDescent="0.2">
      <c r="A2138" t="s">
        <v>2714</v>
      </c>
      <c r="B2138" s="1" t="s">
        <v>2717</v>
      </c>
      <c r="C2138" t="s">
        <v>319</v>
      </c>
      <c r="D2138" s="1" t="s">
        <v>418</v>
      </c>
      <c r="E2138" t="b">
        <v>0</v>
      </c>
      <c r="F2138">
        <v>22</v>
      </c>
      <c r="G2138">
        <v>61</v>
      </c>
      <c r="H2138" t="s">
        <v>11</v>
      </c>
      <c r="I2138" t="b" cm="1">
        <f t="array" ref="I2138">isDup(B2138,B2139, 0.7)</f>
        <v>0</v>
      </c>
    </row>
    <row r="2139" spans="1:9" ht="17" x14ac:dyDescent="0.2">
      <c r="A2139" t="s">
        <v>6344</v>
      </c>
      <c r="B2139" s="1" t="s">
        <v>6345</v>
      </c>
      <c r="C2139" t="s">
        <v>5499</v>
      </c>
      <c r="D2139" s="1" t="s">
        <v>6346</v>
      </c>
      <c r="E2139" t="b">
        <v>0</v>
      </c>
      <c r="F2139">
        <v>367</v>
      </c>
      <c r="G2139">
        <v>1664</v>
      </c>
      <c r="H2139" t="s">
        <v>11</v>
      </c>
      <c r="I2139" t="b" cm="1">
        <f t="array" ref="I2139">isDup(B2139,B2140, 0.7)</f>
        <v>0</v>
      </c>
    </row>
    <row r="2140" spans="1:9" ht="34" x14ac:dyDescent="0.2">
      <c r="A2140" t="s">
        <v>2924</v>
      </c>
      <c r="B2140" s="1" t="s">
        <v>2925</v>
      </c>
      <c r="C2140" t="s">
        <v>2926</v>
      </c>
      <c r="D2140" s="1" t="s">
        <v>2927</v>
      </c>
      <c r="E2140" t="b">
        <v>0</v>
      </c>
      <c r="F2140">
        <v>13475</v>
      </c>
      <c r="G2140">
        <v>492</v>
      </c>
      <c r="H2140" t="s">
        <v>11</v>
      </c>
      <c r="I2140" t="b" cm="1">
        <f t="array" ref="I2140">isDup(B2140,B2141, 0.7)</f>
        <v>0</v>
      </c>
    </row>
    <row r="2141" spans="1:9" ht="17" x14ac:dyDescent="0.2">
      <c r="A2141" t="s">
        <v>7138</v>
      </c>
      <c r="B2141" s="1" t="s">
        <v>7139</v>
      </c>
      <c r="C2141" t="s">
        <v>855</v>
      </c>
      <c r="D2141" s="1" t="s">
        <v>68</v>
      </c>
      <c r="E2141" t="b">
        <v>0</v>
      </c>
      <c r="F2141">
        <v>142</v>
      </c>
      <c r="G2141">
        <v>131</v>
      </c>
      <c r="H2141" t="s">
        <v>11</v>
      </c>
      <c r="I2141" t="b" cm="1">
        <f t="array" ref="I2141">isDup(B2141,B2142, 0.7)</f>
        <v>0</v>
      </c>
    </row>
    <row r="2142" spans="1:9" ht="17" x14ac:dyDescent="0.2">
      <c r="A2142" t="s">
        <v>667</v>
      </c>
      <c r="B2142" s="1" t="s">
        <v>668</v>
      </c>
      <c r="C2142" t="s">
        <v>279</v>
      </c>
      <c r="D2142" s="1" t="s">
        <v>316</v>
      </c>
      <c r="E2142" t="b">
        <v>0</v>
      </c>
      <c r="F2142">
        <v>964</v>
      </c>
      <c r="G2142">
        <v>267</v>
      </c>
      <c r="H2142" t="s">
        <v>11</v>
      </c>
      <c r="I2142" t="b" cm="1">
        <f t="array" ref="I2142">isDup(B2142,B2143, 0.7)</f>
        <v>0</v>
      </c>
    </row>
    <row r="2143" spans="1:9" ht="34" x14ac:dyDescent="0.2">
      <c r="A2143" t="s">
        <v>2042</v>
      </c>
      <c r="B2143" s="1" t="s">
        <v>2043</v>
      </c>
      <c r="C2143" t="s">
        <v>2044</v>
      </c>
      <c r="D2143" s="1" t="s">
        <v>2</v>
      </c>
      <c r="E2143" t="b">
        <v>0</v>
      </c>
      <c r="F2143">
        <v>13</v>
      </c>
      <c r="G2143">
        <v>71</v>
      </c>
      <c r="H2143" t="s">
        <v>11</v>
      </c>
      <c r="I2143" t="b" cm="1">
        <f t="array" ref="I2143">isDup(B2143,B2144, 0.7)</f>
        <v>0</v>
      </c>
    </row>
    <row r="2144" spans="1:9" ht="17" x14ac:dyDescent="0.2">
      <c r="A2144" t="s">
        <v>3826</v>
      </c>
      <c r="B2144" s="1" t="s">
        <v>3827</v>
      </c>
      <c r="C2144" t="s">
        <v>222</v>
      </c>
      <c r="D2144" s="1" t="s">
        <v>223</v>
      </c>
      <c r="E2144" t="b">
        <v>0</v>
      </c>
      <c r="F2144">
        <v>9224</v>
      </c>
      <c r="G2144">
        <v>7170</v>
      </c>
      <c r="H2144" t="s">
        <v>11</v>
      </c>
      <c r="I2144" t="b" cm="1">
        <f t="array" ref="I2144">isDup(B2144,B2145, 0.7)</f>
        <v>0</v>
      </c>
    </row>
    <row r="2145" spans="1:9" ht="17" x14ac:dyDescent="0.2">
      <c r="A2145" t="s">
        <v>559</v>
      </c>
      <c r="B2145" s="1" t="s">
        <v>566</v>
      </c>
      <c r="C2145" t="s">
        <v>567</v>
      </c>
      <c r="D2145" s="1" t="s">
        <v>61</v>
      </c>
      <c r="E2145" t="b">
        <v>0</v>
      </c>
      <c r="F2145">
        <v>580</v>
      </c>
      <c r="G2145">
        <v>0</v>
      </c>
      <c r="H2145" t="s">
        <v>11</v>
      </c>
      <c r="I2145" t="b" cm="1">
        <f t="array" ref="I2145">isDup(B2145,B2146, 0.7)</f>
        <v>1</v>
      </c>
    </row>
    <row r="2146" spans="1:9" ht="17" x14ac:dyDescent="0.2">
      <c r="A2146" t="s">
        <v>1176</v>
      </c>
      <c r="B2146" s="1" t="s">
        <v>1177</v>
      </c>
      <c r="C2146" t="s">
        <v>567</v>
      </c>
      <c r="D2146" s="1" t="s">
        <v>61</v>
      </c>
      <c r="E2146" t="b">
        <v>0</v>
      </c>
      <c r="F2146">
        <v>580</v>
      </c>
      <c r="G2146">
        <v>0</v>
      </c>
      <c r="H2146" t="s">
        <v>11</v>
      </c>
      <c r="I2146" t="b" cm="1">
        <f t="array" ref="I2146">isDup(B2146,B2147, 0.7)</f>
        <v>1</v>
      </c>
    </row>
    <row r="2147" spans="1:9" ht="17" x14ac:dyDescent="0.2">
      <c r="A2147" t="s">
        <v>4968</v>
      </c>
      <c r="B2147" s="1" t="s">
        <v>4976</v>
      </c>
      <c r="C2147" t="s">
        <v>567</v>
      </c>
      <c r="D2147" s="1" t="s">
        <v>61</v>
      </c>
      <c r="E2147" t="b">
        <v>0</v>
      </c>
      <c r="F2147">
        <v>580</v>
      </c>
      <c r="G2147">
        <v>0</v>
      </c>
      <c r="H2147" t="s">
        <v>11</v>
      </c>
      <c r="I2147" t="b" cm="1">
        <f t="array" ref="I2147">isDup(B2147,B2148, 0.7)</f>
        <v>1</v>
      </c>
    </row>
    <row r="2148" spans="1:9" ht="17" x14ac:dyDescent="0.2">
      <c r="A2148" t="s">
        <v>1913</v>
      </c>
      <c r="B2148" s="1" t="s">
        <v>1917</v>
      </c>
      <c r="C2148" t="s">
        <v>567</v>
      </c>
      <c r="D2148" s="1" t="s">
        <v>61</v>
      </c>
      <c r="E2148" t="b">
        <v>0</v>
      </c>
      <c r="F2148">
        <v>580</v>
      </c>
      <c r="G2148">
        <v>0</v>
      </c>
      <c r="H2148" t="s">
        <v>11</v>
      </c>
      <c r="I2148" t="b" cm="1">
        <f t="array" ref="I2148">isDup(B2148,B2149, 0.7)</f>
        <v>1</v>
      </c>
    </row>
    <row r="2149" spans="1:9" ht="17" x14ac:dyDescent="0.2">
      <c r="A2149" t="s">
        <v>4255</v>
      </c>
      <c r="B2149" s="1" t="s">
        <v>4256</v>
      </c>
      <c r="C2149" t="s">
        <v>567</v>
      </c>
      <c r="D2149" s="1" t="s">
        <v>61</v>
      </c>
      <c r="E2149" t="b">
        <v>0</v>
      </c>
      <c r="F2149">
        <v>580</v>
      </c>
      <c r="G2149">
        <v>0</v>
      </c>
      <c r="H2149" t="s">
        <v>11</v>
      </c>
      <c r="I2149" t="b" cm="1">
        <f t="array" ref="I2149">isDup(B2149,B2150, 0.7)</f>
        <v>1</v>
      </c>
    </row>
    <row r="2150" spans="1:9" ht="17" x14ac:dyDescent="0.2">
      <c r="A2150" t="s">
        <v>5610</v>
      </c>
      <c r="B2150" s="1" t="s">
        <v>5613</v>
      </c>
      <c r="C2150" t="s">
        <v>567</v>
      </c>
      <c r="D2150" s="1" t="s">
        <v>61</v>
      </c>
      <c r="E2150" t="b">
        <v>0</v>
      </c>
      <c r="F2150">
        <v>580</v>
      </c>
      <c r="G2150">
        <v>0</v>
      </c>
      <c r="H2150" t="s">
        <v>11</v>
      </c>
      <c r="I2150" t="b" cm="1">
        <f t="array" ref="I2150">isDup(B2150,B2151, 0.7)</f>
        <v>1</v>
      </c>
    </row>
    <row r="2151" spans="1:9" ht="17" x14ac:dyDescent="0.2">
      <c r="A2151" t="s">
        <v>3496</v>
      </c>
      <c r="B2151" s="1" t="s">
        <v>3498</v>
      </c>
      <c r="C2151" t="s">
        <v>567</v>
      </c>
      <c r="D2151" s="1" t="s">
        <v>61</v>
      </c>
      <c r="E2151" t="b">
        <v>0</v>
      </c>
      <c r="F2151">
        <v>580</v>
      </c>
      <c r="G2151">
        <v>0</v>
      </c>
      <c r="H2151" t="s">
        <v>11</v>
      </c>
      <c r="I2151" t="b" cm="1">
        <f t="array" ref="I2151">isDup(B2151,B2152, 0.7)</f>
        <v>1</v>
      </c>
    </row>
    <row r="2152" spans="1:9" ht="17" x14ac:dyDescent="0.2">
      <c r="A2152" t="s">
        <v>6415</v>
      </c>
      <c r="B2152" s="1" t="s">
        <v>6419</v>
      </c>
      <c r="C2152" t="s">
        <v>567</v>
      </c>
      <c r="D2152" s="1" t="s">
        <v>61</v>
      </c>
      <c r="E2152" t="b">
        <v>0</v>
      </c>
      <c r="F2152">
        <v>580</v>
      </c>
      <c r="G2152">
        <v>0</v>
      </c>
      <c r="H2152" t="s">
        <v>11</v>
      </c>
      <c r="I2152" t="b" cm="1">
        <f t="array" ref="I2152">isDup(B2152,B2153, 0.7)</f>
        <v>1</v>
      </c>
    </row>
    <row r="2153" spans="1:9" ht="17" x14ac:dyDescent="0.2">
      <c r="A2153" t="s">
        <v>7047</v>
      </c>
      <c r="B2153" s="1" t="s">
        <v>7049</v>
      </c>
      <c r="C2153" t="s">
        <v>567</v>
      </c>
      <c r="D2153" s="1" t="s">
        <v>61</v>
      </c>
      <c r="E2153" t="b">
        <v>0</v>
      </c>
      <c r="F2153">
        <v>580</v>
      </c>
      <c r="G2153">
        <v>0</v>
      </c>
      <c r="H2153" t="s">
        <v>11</v>
      </c>
      <c r="I2153" t="b" cm="1">
        <f t="array" ref="I2153">isDup(B2153,B2154, 0.7)</f>
        <v>1</v>
      </c>
    </row>
    <row r="2154" spans="1:9" ht="17" x14ac:dyDescent="0.2">
      <c r="A2154" t="s">
        <v>2666</v>
      </c>
      <c r="B2154" s="1" t="s">
        <v>2670</v>
      </c>
      <c r="C2154" t="s">
        <v>567</v>
      </c>
      <c r="D2154" s="1" t="s">
        <v>61</v>
      </c>
      <c r="E2154" t="b">
        <v>0</v>
      </c>
      <c r="F2154">
        <v>580</v>
      </c>
      <c r="G2154">
        <v>0</v>
      </c>
      <c r="H2154" t="s">
        <v>11</v>
      </c>
      <c r="I2154" t="b" cm="1">
        <f t="array" ref="I2154">isDup(B2154,B2155, 0.7)</f>
        <v>0</v>
      </c>
    </row>
    <row r="2155" spans="1:9" ht="51" x14ac:dyDescent="0.2">
      <c r="A2155" t="s">
        <v>7094</v>
      </c>
      <c r="B2155" s="1" t="s">
        <v>7095</v>
      </c>
      <c r="C2155" t="s">
        <v>4154</v>
      </c>
      <c r="D2155" s="1" t="s">
        <v>2</v>
      </c>
      <c r="E2155" t="b">
        <v>0</v>
      </c>
      <c r="F2155">
        <v>6</v>
      </c>
      <c r="G2155">
        <v>6</v>
      </c>
      <c r="H2155" t="s">
        <v>11</v>
      </c>
      <c r="I2155" t="b" cm="1">
        <f t="array" ref="I2155">isDup(B2155,B2156, 0.7)</f>
        <v>0</v>
      </c>
    </row>
    <row r="2156" spans="1:9" ht="34" x14ac:dyDescent="0.2">
      <c r="A2156" t="s">
        <v>1754</v>
      </c>
      <c r="B2156" s="1" t="s">
        <v>1755</v>
      </c>
      <c r="C2156" t="s">
        <v>992</v>
      </c>
      <c r="D2156" s="1" t="s">
        <v>2</v>
      </c>
      <c r="E2156" t="b">
        <v>0</v>
      </c>
      <c r="F2156">
        <v>201</v>
      </c>
      <c r="G2156">
        <v>18</v>
      </c>
      <c r="H2156" t="s">
        <v>11</v>
      </c>
      <c r="I2156" t="b" cm="1">
        <f t="array" ref="I2156">isDup(B2156,B2157, 0.7)</f>
        <v>0</v>
      </c>
    </row>
    <row r="2157" spans="1:9" ht="34" x14ac:dyDescent="0.2">
      <c r="A2157" t="s">
        <v>4044</v>
      </c>
      <c r="B2157" s="1" t="s">
        <v>4045</v>
      </c>
      <c r="C2157" t="s">
        <v>4046</v>
      </c>
      <c r="D2157" s="1" t="s">
        <v>109</v>
      </c>
      <c r="E2157" t="b">
        <v>0</v>
      </c>
      <c r="F2157">
        <v>2053</v>
      </c>
      <c r="G2157">
        <v>407</v>
      </c>
      <c r="H2157" t="s">
        <v>11</v>
      </c>
      <c r="I2157" t="b" cm="1">
        <f t="array" ref="I2157">isDup(B2157,B2158, 0.7)</f>
        <v>0</v>
      </c>
    </row>
    <row r="2158" spans="1:9" ht="17" x14ac:dyDescent="0.2">
      <c r="A2158" t="s">
        <v>2514</v>
      </c>
      <c r="B2158" s="1" t="s">
        <v>2515</v>
      </c>
      <c r="C2158" t="s">
        <v>2516</v>
      </c>
      <c r="D2158" s="1" t="s">
        <v>2</v>
      </c>
      <c r="E2158" t="b">
        <v>0</v>
      </c>
      <c r="F2158">
        <v>15</v>
      </c>
      <c r="G2158">
        <v>53</v>
      </c>
      <c r="H2158" t="s">
        <v>11</v>
      </c>
      <c r="I2158" t="b" cm="1">
        <f t="array" ref="I2158">isDup(B2158,B2159, 0.7)</f>
        <v>0</v>
      </c>
    </row>
    <row r="2159" spans="1:9" ht="34" x14ac:dyDescent="0.2">
      <c r="A2159" t="s">
        <v>1403</v>
      </c>
      <c r="B2159" s="1" t="s">
        <v>1404</v>
      </c>
      <c r="C2159" t="s">
        <v>1405</v>
      </c>
      <c r="D2159" s="1" t="s">
        <v>1406</v>
      </c>
      <c r="E2159" t="b">
        <v>0</v>
      </c>
      <c r="F2159">
        <v>634</v>
      </c>
      <c r="G2159">
        <v>825</v>
      </c>
      <c r="H2159" t="s">
        <v>11</v>
      </c>
      <c r="I2159" t="b" cm="1">
        <f t="array" ref="I2159">isDup(B2159,B2160, 0.7)</f>
        <v>0</v>
      </c>
    </row>
    <row r="2160" spans="1:9" ht="17" x14ac:dyDescent="0.2">
      <c r="A2160" t="s">
        <v>2750</v>
      </c>
      <c r="B2160" s="1" t="s">
        <v>2751</v>
      </c>
      <c r="C2160" t="s">
        <v>2044</v>
      </c>
      <c r="D2160" s="1" t="s">
        <v>2</v>
      </c>
      <c r="E2160" t="b">
        <v>0</v>
      </c>
      <c r="F2160">
        <v>206</v>
      </c>
      <c r="G2160">
        <v>340</v>
      </c>
      <c r="H2160" t="s">
        <v>11</v>
      </c>
      <c r="I2160" t="b" cm="1">
        <f t="array" ref="I2160">isDup(B2160,B2161, 0.7)</f>
        <v>0</v>
      </c>
    </row>
    <row r="2161" spans="1:9" ht="17" x14ac:dyDescent="0.2">
      <c r="A2161" t="s">
        <v>7155</v>
      </c>
      <c r="B2161" s="1" t="s">
        <v>7156</v>
      </c>
      <c r="C2161" t="s">
        <v>6246</v>
      </c>
      <c r="D2161" s="1" t="s">
        <v>7157</v>
      </c>
      <c r="E2161" t="b">
        <v>0</v>
      </c>
      <c r="F2161">
        <v>298</v>
      </c>
      <c r="G2161">
        <v>153</v>
      </c>
      <c r="H2161" t="s">
        <v>11</v>
      </c>
      <c r="I2161" t="b" cm="1">
        <f t="array" ref="I2161">isDup(B2161,B2162, 0.7)</f>
        <v>0</v>
      </c>
    </row>
    <row r="2162" spans="1:9" ht="34" x14ac:dyDescent="0.2">
      <c r="A2162" t="s">
        <v>3308</v>
      </c>
      <c r="B2162" s="1" t="s">
        <v>3309</v>
      </c>
      <c r="C2162" t="s">
        <v>3310</v>
      </c>
      <c r="D2162" s="1" t="s">
        <v>2</v>
      </c>
      <c r="E2162" t="b">
        <v>0</v>
      </c>
      <c r="F2162">
        <v>5</v>
      </c>
      <c r="G2162">
        <v>7</v>
      </c>
      <c r="H2162" t="s">
        <v>11</v>
      </c>
      <c r="I2162" t="b" cm="1">
        <f t="array" ref="I2162">isDup(B2162,B2163, 0.7)</f>
        <v>0</v>
      </c>
    </row>
    <row r="2163" spans="1:9" ht="17" x14ac:dyDescent="0.2">
      <c r="A2163" t="s">
        <v>1297</v>
      </c>
      <c r="B2163" s="1" t="s">
        <v>1298</v>
      </c>
      <c r="C2163" t="s">
        <v>319</v>
      </c>
      <c r="D2163" s="1" t="s">
        <v>1041</v>
      </c>
      <c r="E2163" t="b">
        <v>0</v>
      </c>
      <c r="F2163">
        <v>2639</v>
      </c>
      <c r="G2163">
        <v>428</v>
      </c>
      <c r="H2163" t="s">
        <v>11</v>
      </c>
      <c r="I2163" t="b" cm="1">
        <f t="array" ref="I2163">isDup(B2163,B2164, 0.7)</f>
        <v>0</v>
      </c>
    </row>
    <row r="2164" spans="1:9" ht="17" x14ac:dyDescent="0.2">
      <c r="A2164" t="s">
        <v>5899</v>
      </c>
      <c r="B2164" s="1" t="s">
        <v>5900</v>
      </c>
      <c r="C2164" t="s">
        <v>5901</v>
      </c>
      <c r="D2164" s="1" t="s">
        <v>5902</v>
      </c>
      <c r="E2164" t="b">
        <v>0</v>
      </c>
      <c r="F2164">
        <v>294</v>
      </c>
      <c r="G2164">
        <v>294</v>
      </c>
      <c r="H2164" t="s">
        <v>11</v>
      </c>
      <c r="I2164" t="b" cm="1">
        <f t="array" ref="I2164">isDup(B2164,B2165, 0.7)</f>
        <v>0</v>
      </c>
    </row>
    <row r="2165" spans="1:9" ht="34" x14ac:dyDescent="0.2">
      <c r="A2165" t="s">
        <v>3151</v>
      </c>
      <c r="B2165" s="1" t="s">
        <v>3152</v>
      </c>
      <c r="C2165" t="s">
        <v>410</v>
      </c>
      <c r="D2165" s="1" t="s">
        <v>3153</v>
      </c>
      <c r="E2165" t="b">
        <v>0</v>
      </c>
      <c r="F2165">
        <v>153</v>
      </c>
      <c r="G2165">
        <v>529</v>
      </c>
      <c r="H2165" t="s">
        <v>11</v>
      </c>
      <c r="I2165" t="b" cm="1">
        <f t="array" ref="I2165">isDup(B2165,B2166, 0.7)</f>
        <v>0</v>
      </c>
    </row>
    <row r="2166" spans="1:9" ht="17" x14ac:dyDescent="0.2">
      <c r="A2166" t="s">
        <v>6155</v>
      </c>
      <c r="B2166" s="1" t="s">
        <v>6156</v>
      </c>
      <c r="C2166" t="s">
        <v>6157</v>
      </c>
      <c r="D2166" s="1" t="s">
        <v>6158</v>
      </c>
      <c r="E2166" t="b">
        <v>0</v>
      </c>
      <c r="F2166">
        <v>239</v>
      </c>
      <c r="G2166">
        <v>395</v>
      </c>
      <c r="H2166" t="s">
        <v>11</v>
      </c>
      <c r="I2166" t="b" cm="1">
        <f t="array" ref="I2166">isDup(B2166,B2167, 0.7)</f>
        <v>0</v>
      </c>
    </row>
    <row r="2167" spans="1:9" ht="17" x14ac:dyDescent="0.2">
      <c r="A2167" t="s">
        <v>6231</v>
      </c>
      <c r="B2167" s="1" t="s">
        <v>6232</v>
      </c>
      <c r="C2167" t="s">
        <v>6233</v>
      </c>
      <c r="D2167" s="1" t="s">
        <v>6234</v>
      </c>
      <c r="E2167" t="b">
        <v>0</v>
      </c>
      <c r="F2167">
        <v>903</v>
      </c>
      <c r="G2167">
        <v>291</v>
      </c>
      <c r="H2167" t="s">
        <v>11</v>
      </c>
      <c r="I2167" t="b" cm="1">
        <f t="array" ref="I2167">isDup(B2167,B2168, 0.7)</f>
        <v>0</v>
      </c>
    </row>
    <row r="2168" spans="1:9" ht="17" x14ac:dyDescent="0.2">
      <c r="A2168" t="s">
        <v>1778</v>
      </c>
      <c r="B2168" s="1" t="s">
        <v>1779</v>
      </c>
      <c r="C2168" t="s">
        <v>1780</v>
      </c>
      <c r="D2168" s="1" t="s">
        <v>1781</v>
      </c>
      <c r="E2168" t="b">
        <v>0</v>
      </c>
      <c r="F2168">
        <v>534</v>
      </c>
      <c r="G2168">
        <v>545</v>
      </c>
      <c r="H2168" t="s">
        <v>11</v>
      </c>
      <c r="I2168" t="b" cm="1">
        <f t="array" ref="I2168">isDup(B2168,B2169, 0.7)</f>
        <v>0</v>
      </c>
    </row>
    <row r="2169" spans="1:9" ht="34" x14ac:dyDescent="0.2">
      <c r="A2169" t="s">
        <v>3625</v>
      </c>
      <c r="B2169" s="1" t="s">
        <v>3626</v>
      </c>
      <c r="C2169" t="s">
        <v>554</v>
      </c>
      <c r="D2169" s="1" t="s">
        <v>2</v>
      </c>
      <c r="E2169" t="b">
        <v>0</v>
      </c>
      <c r="F2169">
        <v>226</v>
      </c>
      <c r="G2169">
        <v>70</v>
      </c>
      <c r="H2169" t="s">
        <v>11</v>
      </c>
      <c r="I2169" t="b" cm="1">
        <f t="array" ref="I2169">isDup(B2169,B2170, 0.7)</f>
        <v>0</v>
      </c>
    </row>
    <row r="2170" spans="1:9" ht="34" x14ac:dyDescent="0.2">
      <c r="A2170" t="s">
        <v>5131</v>
      </c>
      <c r="B2170" s="1" t="s">
        <v>5132</v>
      </c>
      <c r="C2170" t="s">
        <v>3886</v>
      </c>
      <c r="D2170" s="1" t="s">
        <v>2</v>
      </c>
      <c r="E2170" t="b">
        <v>0</v>
      </c>
      <c r="F2170">
        <v>102</v>
      </c>
      <c r="G2170">
        <v>136</v>
      </c>
      <c r="H2170" t="s">
        <v>11</v>
      </c>
      <c r="I2170" t="b" cm="1">
        <f t="array" ref="I2170">isDup(B2170,B2171, 0.7)</f>
        <v>0</v>
      </c>
    </row>
    <row r="2171" spans="1:9" ht="17" x14ac:dyDescent="0.2">
      <c r="A2171" t="s">
        <v>5652</v>
      </c>
      <c r="B2171" s="1" t="s">
        <v>5653</v>
      </c>
      <c r="C2171" t="s">
        <v>1226</v>
      </c>
      <c r="D2171" s="1" t="s">
        <v>1227</v>
      </c>
      <c r="E2171" t="b">
        <v>0</v>
      </c>
      <c r="F2171">
        <v>427</v>
      </c>
      <c r="G2171">
        <v>768</v>
      </c>
      <c r="H2171" t="s">
        <v>11</v>
      </c>
      <c r="I2171" t="b" cm="1">
        <f t="array" ref="I2171">isDup(B2171,B2172, 0.7)</f>
        <v>0</v>
      </c>
    </row>
    <row r="2172" spans="1:9" ht="34" x14ac:dyDescent="0.2">
      <c r="A2172" t="s">
        <v>6296</v>
      </c>
      <c r="B2172" s="1" t="s">
        <v>6297</v>
      </c>
      <c r="C2172" t="s">
        <v>455</v>
      </c>
      <c r="D2172" s="1" t="s">
        <v>6298</v>
      </c>
      <c r="E2172" t="b">
        <v>0</v>
      </c>
      <c r="F2172">
        <v>110</v>
      </c>
      <c r="G2172">
        <v>74</v>
      </c>
      <c r="H2172" t="s">
        <v>11</v>
      </c>
      <c r="I2172" t="b" cm="1">
        <f t="array" ref="I2172">isDup(B2172,B2173, 0.7)</f>
        <v>0</v>
      </c>
    </row>
    <row r="2173" spans="1:9" ht="34" x14ac:dyDescent="0.2">
      <c r="A2173" t="s">
        <v>2755</v>
      </c>
      <c r="B2173" s="1" t="s">
        <v>2756</v>
      </c>
      <c r="C2173" t="s">
        <v>2757</v>
      </c>
      <c r="D2173" s="1" t="s">
        <v>2</v>
      </c>
      <c r="E2173" t="b">
        <v>0</v>
      </c>
      <c r="F2173">
        <v>21</v>
      </c>
      <c r="G2173">
        <v>106</v>
      </c>
      <c r="H2173" t="s">
        <v>11</v>
      </c>
      <c r="I2173" t="b" cm="1">
        <f t="array" ref="I2173">isDup(B2173,B2174, 0.7)</f>
        <v>0</v>
      </c>
    </row>
    <row r="2174" spans="1:9" ht="34" x14ac:dyDescent="0.2">
      <c r="A2174" t="s">
        <v>741</v>
      </c>
      <c r="B2174" s="1" t="s">
        <v>742</v>
      </c>
      <c r="C2174" t="s">
        <v>285</v>
      </c>
      <c r="E2174" t="b">
        <v>0</v>
      </c>
      <c r="F2174">
        <v>230</v>
      </c>
      <c r="G2174">
        <v>172</v>
      </c>
      <c r="H2174" t="s">
        <v>11</v>
      </c>
      <c r="I2174" t="b" cm="1">
        <f t="array" ref="I2174">isDup(B2174,B2175, 0.7)</f>
        <v>0</v>
      </c>
    </row>
    <row r="2175" spans="1:9" ht="17" x14ac:dyDescent="0.2">
      <c r="A2175" t="s">
        <v>6852</v>
      </c>
      <c r="B2175" s="1" t="s">
        <v>6853</v>
      </c>
      <c r="C2175" t="s">
        <v>483</v>
      </c>
      <c r="D2175" s="1" t="s">
        <v>484</v>
      </c>
      <c r="E2175" t="b">
        <v>0</v>
      </c>
      <c r="F2175">
        <v>1896</v>
      </c>
      <c r="G2175">
        <v>540</v>
      </c>
      <c r="H2175" t="s">
        <v>11</v>
      </c>
      <c r="I2175" t="b" cm="1">
        <f t="array" ref="I2175">isDup(B2175,B2176, 0.7)</f>
        <v>1</v>
      </c>
    </row>
    <row r="2176" spans="1:9" ht="17" x14ac:dyDescent="0.2">
      <c r="A2176" t="s">
        <v>6040</v>
      </c>
      <c r="B2176" s="1" t="s">
        <v>6041</v>
      </c>
      <c r="C2176" t="s">
        <v>483</v>
      </c>
      <c r="D2176" s="1" t="s">
        <v>484</v>
      </c>
      <c r="E2176" t="b">
        <v>0</v>
      </c>
      <c r="F2176">
        <v>1898</v>
      </c>
      <c r="G2176">
        <v>540</v>
      </c>
      <c r="H2176" t="s">
        <v>11</v>
      </c>
      <c r="I2176" t="b" cm="1">
        <f t="array" ref="I2176">isDup(B2176,B2177, 0.7)</f>
        <v>1</v>
      </c>
    </row>
    <row r="2177" spans="1:9" ht="17" x14ac:dyDescent="0.2">
      <c r="A2177" t="s">
        <v>3240</v>
      </c>
      <c r="B2177" s="1" t="s">
        <v>3241</v>
      </c>
      <c r="C2177" t="s">
        <v>483</v>
      </c>
      <c r="D2177" s="1" t="s">
        <v>484</v>
      </c>
      <c r="E2177" t="b">
        <v>0</v>
      </c>
      <c r="F2177">
        <v>1899</v>
      </c>
      <c r="G2177">
        <v>540</v>
      </c>
      <c r="H2177" t="s">
        <v>11</v>
      </c>
      <c r="I2177" t="b" cm="1">
        <f t="array" ref="I2177">isDup(B2177,B2178, 0.7)</f>
        <v>1</v>
      </c>
    </row>
    <row r="2178" spans="1:9" ht="17" x14ac:dyDescent="0.2">
      <c r="A2178" t="s">
        <v>5596</v>
      </c>
      <c r="B2178" s="1" t="s">
        <v>5597</v>
      </c>
      <c r="C2178" t="s">
        <v>483</v>
      </c>
      <c r="D2178" s="1" t="s">
        <v>484</v>
      </c>
      <c r="E2178" t="b">
        <v>0</v>
      </c>
      <c r="F2178">
        <v>1898</v>
      </c>
      <c r="G2178">
        <v>540</v>
      </c>
      <c r="H2178" t="s">
        <v>11</v>
      </c>
      <c r="I2178" t="b" cm="1">
        <f t="array" ref="I2178">isDup(B2178,B2179, 0.7)</f>
        <v>1</v>
      </c>
    </row>
    <row r="2179" spans="1:9" ht="17" x14ac:dyDescent="0.2">
      <c r="A2179" t="s">
        <v>4518</v>
      </c>
      <c r="B2179" s="1" t="s">
        <v>4519</v>
      </c>
      <c r="C2179" t="s">
        <v>483</v>
      </c>
      <c r="D2179" s="1" t="s">
        <v>484</v>
      </c>
      <c r="E2179" t="b">
        <v>0</v>
      </c>
      <c r="F2179">
        <v>1898</v>
      </c>
      <c r="G2179">
        <v>540</v>
      </c>
      <c r="H2179" t="s">
        <v>11</v>
      </c>
      <c r="I2179" t="b" cm="1">
        <f t="array" ref="I2179">isDup(B2179,B2180, 0.7)</f>
        <v>1</v>
      </c>
    </row>
    <row r="2180" spans="1:9" ht="17" x14ac:dyDescent="0.2">
      <c r="A2180" t="s">
        <v>4072</v>
      </c>
      <c r="B2180" s="1" t="s">
        <v>4073</v>
      </c>
      <c r="C2180" t="s">
        <v>483</v>
      </c>
      <c r="D2180" s="1" t="s">
        <v>484</v>
      </c>
      <c r="E2180" t="b">
        <v>0</v>
      </c>
      <c r="F2180">
        <v>1898</v>
      </c>
      <c r="G2180">
        <v>540</v>
      </c>
      <c r="H2180" t="s">
        <v>11</v>
      </c>
      <c r="I2180" t="b" cm="1">
        <f t="array" ref="I2180">isDup(B2180,B2181, 0.7)</f>
        <v>1</v>
      </c>
    </row>
    <row r="2181" spans="1:9" ht="17" x14ac:dyDescent="0.2">
      <c r="A2181" t="s">
        <v>5284</v>
      </c>
      <c r="B2181" s="1" t="s">
        <v>5285</v>
      </c>
      <c r="C2181" t="s">
        <v>483</v>
      </c>
      <c r="D2181" s="1" t="s">
        <v>484</v>
      </c>
      <c r="E2181" t="b">
        <v>0</v>
      </c>
      <c r="F2181">
        <v>1898</v>
      </c>
      <c r="G2181">
        <v>540</v>
      </c>
      <c r="H2181" t="s">
        <v>11</v>
      </c>
      <c r="I2181" t="b" cm="1">
        <f t="array" ref="I2181">isDup(B2181,B2182, 0.7)</f>
        <v>1</v>
      </c>
    </row>
    <row r="2182" spans="1:9" ht="17" x14ac:dyDescent="0.2">
      <c r="A2182" t="s">
        <v>3707</v>
      </c>
      <c r="B2182" s="1" t="s">
        <v>3708</v>
      </c>
      <c r="C2182" t="s">
        <v>483</v>
      </c>
      <c r="D2182" s="1" t="s">
        <v>484</v>
      </c>
      <c r="E2182" t="b">
        <v>0</v>
      </c>
      <c r="F2182">
        <v>1899</v>
      </c>
      <c r="G2182">
        <v>540</v>
      </c>
      <c r="H2182" t="s">
        <v>11</v>
      </c>
      <c r="I2182" t="b" cm="1">
        <f t="array" ref="I2182">isDup(B2182,B2183, 0.7)</f>
        <v>1</v>
      </c>
    </row>
    <row r="2183" spans="1:9" ht="17" x14ac:dyDescent="0.2">
      <c r="A2183" t="s">
        <v>1557</v>
      </c>
      <c r="B2183" s="1" t="s">
        <v>1558</v>
      </c>
      <c r="C2183" t="s">
        <v>483</v>
      </c>
      <c r="D2183" s="1" t="s">
        <v>484</v>
      </c>
      <c r="E2183" t="b">
        <v>0</v>
      </c>
      <c r="F2183">
        <v>1899</v>
      </c>
      <c r="G2183">
        <v>540</v>
      </c>
      <c r="H2183" t="s">
        <v>11</v>
      </c>
      <c r="I2183" t="b" cm="1">
        <f t="array" ref="I2183">isDup(B2183,B2184, 0.7)</f>
        <v>1</v>
      </c>
    </row>
    <row r="2184" spans="1:9" ht="17" x14ac:dyDescent="0.2">
      <c r="A2184" t="s">
        <v>1130</v>
      </c>
      <c r="B2184" s="1" t="s">
        <v>1131</v>
      </c>
      <c r="C2184" t="s">
        <v>483</v>
      </c>
      <c r="D2184" s="1" t="s">
        <v>484</v>
      </c>
      <c r="E2184" t="b">
        <v>0</v>
      </c>
      <c r="F2184">
        <v>1899</v>
      </c>
      <c r="G2184">
        <v>540</v>
      </c>
      <c r="H2184" t="s">
        <v>11</v>
      </c>
      <c r="I2184" t="b" cm="1">
        <f t="array" ref="I2184">isDup(B2184,B2185, 0.7)</f>
        <v>1</v>
      </c>
    </row>
    <row r="2185" spans="1:9" ht="17" x14ac:dyDescent="0.2">
      <c r="A2185" t="s">
        <v>481</v>
      </c>
      <c r="B2185" s="1" t="s">
        <v>482</v>
      </c>
      <c r="C2185" t="s">
        <v>483</v>
      </c>
      <c r="D2185" s="1" t="s">
        <v>484</v>
      </c>
      <c r="E2185" t="b">
        <v>0</v>
      </c>
      <c r="F2185">
        <v>1899</v>
      </c>
      <c r="G2185">
        <v>540</v>
      </c>
      <c r="H2185" t="s">
        <v>11</v>
      </c>
      <c r="I2185" t="b" cm="1">
        <f t="array" ref="I2185">isDup(B2185,B2186, 0.7)</f>
        <v>0</v>
      </c>
    </row>
    <row r="2186" spans="1:9" ht="17" x14ac:dyDescent="0.2">
      <c r="A2186" t="s">
        <v>6482</v>
      </c>
      <c r="B2186" s="1" t="s">
        <v>6483</v>
      </c>
      <c r="C2186" t="s">
        <v>193</v>
      </c>
      <c r="D2186" s="1" t="s">
        <v>1288</v>
      </c>
      <c r="E2186" t="b">
        <v>0</v>
      </c>
      <c r="F2186">
        <v>2590</v>
      </c>
      <c r="G2186">
        <v>1707</v>
      </c>
      <c r="H2186" t="s">
        <v>11</v>
      </c>
      <c r="I2186" t="b" cm="1">
        <f t="array" ref="I2186">isDup(B2186,B2187, 0.7)</f>
        <v>0</v>
      </c>
    </row>
    <row r="2187" spans="1:9" ht="17" x14ac:dyDescent="0.2">
      <c r="A2187" t="s">
        <v>4330</v>
      </c>
      <c r="B2187" s="1" t="s">
        <v>4331</v>
      </c>
      <c r="C2187" t="s">
        <v>193</v>
      </c>
      <c r="D2187" s="1" t="s">
        <v>1288</v>
      </c>
      <c r="E2187" t="b">
        <v>0</v>
      </c>
      <c r="F2187">
        <v>2590</v>
      </c>
      <c r="G2187">
        <v>1707</v>
      </c>
      <c r="H2187" t="s">
        <v>11</v>
      </c>
      <c r="I2187" t="b" cm="1">
        <f t="array" ref="I2187">isDup(B2187,B2188, 0.7)</f>
        <v>0</v>
      </c>
    </row>
    <row r="2188" spans="1:9" ht="34" x14ac:dyDescent="0.2">
      <c r="A2188" t="s">
        <v>159</v>
      </c>
      <c r="B2188" s="1" t="s">
        <v>160</v>
      </c>
      <c r="C2188" t="s">
        <v>161</v>
      </c>
      <c r="D2188" s="1" t="s">
        <v>162</v>
      </c>
      <c r="E2188" t="b">
        <v>0</v>
      </c>
      <c r="F2188">
        <v>966</v>
      </c>
      <c r="G2188">
        <v>180</v>
      </c>
      <c r="H2188" t="s">
        <v>11</v>
      </c>
      <c r="I2188" t="b" cm="1">
        <f t="array" ref="I2188">isDup(B2188,B2189, 0.7)</f>
        <v>1</v>
      </c>
    </row>
    <row r="2189" spans="1:9" ht="34" x14ac:dyDescent="0.2">
      <c r="A2189" t="s">
        <v>1378</v>
      </c>
      <c r="B2189" s="1" t="s">
        <v>1379</v>
      </c>
      <c r="C2189" t="s">
        <v>161</v>
      </c>
      <c r="D2189" s="1" t="s">
        <v>162</v>
      </c>
      <c r="E2189" t="b">
        <v>0</v>
      </c>
      <c r="F2189">
        <v>969</v>
      </c>
      <c r="G2189">
        <v>180</v>
      </c>
      <c r="H2189" t="s">
        <v>11</v>
      </c>
      <c r="I2189" t="b" cm="1">
        <f t="array" ref="I2189">isDup(B2189,B2190, 0.7)</f>
        <v>1</v>
      </c>
    </row>
    <row r="2190" spans="1:9" ht="34" x14ac:dyDescent="0.2">
      <c r="A2190" t="s">
        <v>778</v>
      </c>
      <c r="B2190" s="1" t="s">
        <v>779</v>
      </c>
      <c r="C2190" t="s">
        <v>161</v>
      </c>
      <c r="D2190" s="1" t="s">
        <v>162</v>
      </c>
      <c r="E2190" t="b">
        <v>0</v>
      </c>
      <c r="F2190">
        <v>967</v>
      </c>
      <c r="G2190">
        <v>180</v>
      </c>
      <c r="H2190" t="s">
        <v>11</v>
      </c>
      <c r="I2190" t="b" cm="1">
        <f t="array" ref="I2190">isDup(B2190,B2191, 0.7)</f>
        <v>1</v>
      </c>
    </row>
    <row r="2191" spans="1:9" ht="34" x14ac:dyDescent="0.2">
      <c r="A2191" t="s">
        <v>5172</v>
      </c>
      <c r="B2191" s="1" t="s">
        <v>5175</v>
      </c>
      <c r="C2191" t="s">
        <v>161</v>
      </c>
      <c r="D2191" s="1" t="s">
        <v>162</v>
      </c>
      <c r="E2191" t="b">
        <v>0</v>
      </c>
      <c r="F2191">
        <v>971</v>
      </c>
      <c r="G2191">
        <v>180</v>
      </c>
      <c r="H2191" t="s">
        <v>11</v>
      </c>
      <c r="I2191" t="b" cm="1">
        <f t="array" ref="I2191">isDup(B2191,B2192, 0.7)</f>
        <v>1</v>
      </c>
    </row>
    <row r="2192" spans="1:9" ht="34" x14ac:dyDescent="0.2">
      <c r="A2192" t="s">
        <v>3715</v>
      </c>
      <c r="B2192" s="1" t="s">
        <v>3716</v>
      </c>
      <c r="C2192" t="s">
        <v>161</v>
      </c>
      <c r="D2192" s="1" t="s">
        <v>162</v>
      </c>
      <c r="E2192" t="b">
        <v>0</v>
      </c>
      <c r="F2192">
        <v>972</v>
      </c>
      <c r="G2192">
        <v>180</v>
      </c>
      <c r="H2192" t="s">
        <v>11</v>
      </c>
      <c r="I2192" t="b" cm="1">
        <f t="array" ref="I2192">isDup(B2192,B2193, 0.7)</f>
        <v>1</v>
      </c>
    </row>
    <row r="2193" spans="1:9" ht="34" x14ac:dyDescent="0.2">
      <c r="A2193" t="s">
        <v>2138</v>
      </c>
      <c r="B2193" s="1" t="s">
        <v>2139</v>
      </c>
      <c r="C2193" t="s">
        <v>161</v>
      </c>
      <c r="D2193" s="1" t="s">
        <v>162</v>
      </c>
      <c r="E2193" t="b">
        <v>0</v>
      </c>
      <c r="F2193">
        <v>970</v>
      </c>
      <c r="G2193">
        <v>180</v>
      </c>
      <c r="H2193" t="s">
        <v>11</v>
      </c>
      <c r="I2193" t="b" cm="1">
        <f t="array" ref="I2193">isDup(B2193,B2194, 0.7)</f>
        <v>1</v>
      </c>
    </row>
    <row r="2194" spans="1:9" ht="34" x14ac:dyDescent="0.2">
      <c r="A2194" t="s">
        <v>7227</v>
      </c>
      <c r="B2194" s="1" t="s">
        <v>7228</v>
      </c>
      <c r="C2194" t="s">
        <v>161</v>
      </c>
      <c r="D2194" s="1" t="s">
        <v>162</v>
      </c>
      <c r="E2194" t="b">
        <v>0</v>
      </c>
      <c r="F2194">
        <v>970</v>
      </c>
      <c r="G2194">
        <v>180</v>
      </c>
      <c r="H2194" t="s">
        <v>11</v>
      </c>
      <c r="I2194" t="b" cm="1">
        <f t="array" ref="I2194">isDup(B2194,B2195, 0.7)</f>
        <v>1</v>
      </c>
    </row>
    <row r="2195" spans="1:9" ht="34" x14ac:dyDescent="0.2">
      <c r="A2195" t="s">
        <v>4465</v>
      </c>
      <c r="B2195" s="1" t="s">
        <v>4466</v>
      </c>
      <c r="C2195" t="s">
        <v>161</v>
      </c>
      <c r="D2195" s="1" t="s">
        <v>162</v>
      </c>
      <c r="E2195" t="b">
        <v>0</v>
      </c>
      <c r="F2195">
        <v>972</v>
      </c>
      <c r="G2195">
        <v>180</v>
      </c>
      <c r="H2195" t="s">
        <v>11</v>
      </c>
      <c r="I2195" t="b" cm="1">
        <f t="array" ref="I2195">isDup(B2195,B2196, 0.7)</f>
        <v>0</v>
      </c>
    </row>
    <row r="2196" spans="1:9" ht="17" x14ac:dyDescent="0.2">
      <c r="A2196" t="s">
        <v>4272</v>
      </c>
      <c r="B2196" s="1" t="s">
        <v>4273</v>
      </c>
      <c r="C2196" t="s">
        <v>1065</v>
      </c>
      <c r="D2196" s="1" t="s">
        <v>1960</v>
      </c>
      <c r="E2196" t="b">
        <v>0</v>
      </c>
      <c r="F2196">
        <v>64</v>
      </c>
      <c r="G2196">
        <v>274</v>
      </c>
      <c r="H2196" t="s">
        <v>11</v>
      </c>
      <c r="I2196" t="b" cm="1">
        <f t="array" ref="I2196">isDup(B2196,B2197, 0.7)</f>
        <v>1</v>
      </c>
    </row>
    <row r="2197" spans="1:9" ht="34" x14ac:dyDescent="0.2">
      <c r="A2197" t="s">
        <v>6618</v>
      </c>
      <c r="B2197" s="1" t="s">
        <v>6619</v>
      </c>
      <c r="C2197" t="s">
        <v>161</v>
      </c>
      <c r="D2197" s="1" t="s">
        <v>162</v>
      </c>
      <c r="E2197" t="b">
        <v>0</v>
      </c>
      <c r="F2197">
        <v>971</v>
      </c>
      <c r="G2197">
        <v>180</v>
      </c>
      <c r="H2197" t="s">
        <v>11</v>
      </c>
      <c r="I2197" t="b" cm="1">
        <f t="array" ref="I2197">isDup(B2197,B2198, 0.7)</f>
        <v>1</v>
      </c>
    </row>
    <row r="2198" spans="1:9" ht="34" x14ac:dyDescent="0.2">
      <c r="A2198" t="s">
        <v>5809</v>
      </c>
      <c r="B2198" s="1" t="s">
        <v>5810</v>
      </c>
      <c r="C2198" t="s">
        <v>161</v>
      </c>
      <c r="D2198" s="1" t="s">
        <v>162</v>
      </c>
      <c r="E2198" t="b">
        <v>0</v>
      </c>
      <c r="F2198">
        <v>971</v>
      </c>
      <c r="G2198">
        <v>180</v>
      </c>
      <c r="H2198" t="s">
        <v>11</v>
      </c>
      <c r="I2198" t="b" cm="1">
        <f t="array" ref="I2198">isDup(B2198,B2199, 0.7)</f>
        <v>1</v>
      </c>
    </row>
    <row r="2199" spans="1:9" ht="34" x14ac:dyDescent="0.2">
      <c r="A2199" t="s">
        <v>2874</v>
      </c>
      <c r="B2199" s="1" t="s">
        <v>2875</v>
      </c>
      <c r="C2199" t="s">
        <v>161</v>
      </c>
      <c r="D2199" s="1" t="s">
        <v>162</v>
      </c>
      <c r="E2199" t="b">
        <v>0</v>
      </c>
      <c r="F2199">
        <v>971</v>
      </c>
      <c r="G2199">
        <v>180</v>
      </c>
      <c r="H2199" t="s">
        <v>11</v>
      </c>
      <c r="I2199" t="b" cm="1">
        <f t="array" ref="I2199">isDup(B2199,B2200, 0.7)</f>
        <v>0</v>
      </c>
    </row>
    <row r="2200" spans="1:9" ht="17" x14ac:dyDescent="0.2">
      <c r="A2200" t="s">
        <v>3939</v>
      </c>
      <c r="B2200" s="1" t="s">
        <v>3940</v>
      </c>
      <c r="C2200" t="s">
        <v>2294</v>
      </c>
      <c r="D2200" s="1" t="s">
        <v>2276</v>
      </c>
      <c r="E2200" t="b">
        <v>0</v>
      </c>
      <c r="F2200">
        <v>130</v>
      </c>
      <c r="G2200">
        <v>300</v>
      </c>
      <c r="H2200" t="s">
        <v>11</v>
      </c>
      <c r="I2200" t="b" cm="1">
        <f t="array" ref="I2200">isDup(B2200,B2201, 0.7)</f>
        <v>0</v>
      </c>
    </row>
    <row r="2201" spans="1:9" ht="17" x14ac:dyDescent="0.2">
      <c r="A2201" t="s">
        <v>4576</v>
      </c>
      <c r="B2201" s="1" t="s">
        <v>4577</v>
      </c>
      <c r="C2201" t="s">
        <v>237</v>
      </c>
      <c r="D2201" s="1" t="s">
        <v>238</v>
      </c>
      <c r="E2201" t="b">
        <v>0</v>
      </c>
      <c r="F2201">
        <v>49</v>
      </c>
      <c r="G2201">
        <v>0</v>
      </c>
      <c r="H2201" t="s">
        <v>11</v>
      </c>
      <c r="I2201" t="b" cm="1">
        <f t="array" ref="I2201">isDup(B2201,B2202, 0.7)</f>
        <v>1</v>
      </c>
    </row>
    <row r="2202" spans="1:9" ht="17" x14ac:dyDescent="0.2">
      <c r="A2202" t="s">
        <v>235</v>
      </c>
      <c r="B2202" s="1" t="s">
        <v>236</v>
      </c>
      <c r="C2202" t="s">
        <v>237</v>
      </c>
      <c r="D2202" s="1" t="s">
        <v>238</v>
      </c>
      <c r="E2202" t="b">
        <v>0</v>
      </c>
      <c r="F2202">
        <v>49</v>
      </c>
      <c r="G2202">
        <v>0</v>
      </c>
      <c r="H2202" t="s">
        <v>11</v>
      </c>
      <c r="I2202" t="b" cm="1">
        <f t="array" ref="I2202">isDup(B2202,B2203, 0.7)</f>
        <v>0</v>
      </c>
    </row>
    <row r="2203" spans="1:9" ht="17" x14ac:dyDescent="0.2">
      <c r="A2203" t="s">
        <v>5314</v>
      </c>
      <c r="B2203" s="1" t="s">
        <v>5315</v>
      </c>
      <c r="C2203" t="s">
        <v>5316</v>
      </c>
      <c r="D2203" s="1" t="s">
        <v>5317</v>
      </c>
      <c r="E2203" t="b">
        <v>0</v>
      </c>
      <c r="F2203">
        <v>312</v>
      </c>
      <c r="G2203">
        <v>86</v>
      </c>
      <c r="H2203" t="s">
        <v>11</v>
      </c>
      <c r="I2203" t="b" cm="1">
        <f t="array" ref="I2203">isDup(B2203,B2204, 0.7)</f>
        <v>0</v>
      </c>
    </row>
    <row r="2204" spans="1:9" ht="34" x14ac:dyDescent="0.2">
      <c r="A2204" t="s">
        <v>5418</v>
      </c>
      <c r="B2204" s="1" t="s">
        <v>5419</v>
      </c>
      <c r="C2204" t="s">
        <v>3180</v>
      </c>
      <c r="D2204" s="1" t="s">
        <v>2</v>
      </c>
      <c r="E2204" t="b">
        <v>0</v>
      </c>
      <c r="F2204">
        <v>200</v>
      </c>
      <c r="G2204">
        <v>906</v>
      </c>
      <c r="H2204" t="s">
        <v>370</v>
      </c>
      <c r="I2204" t="b" cm="1">
        <f t="array" ref="I2204">isDup(B2204,B2205, 0.7)</f>
        <v>0</v>
      </c>
    </row>
    <row r="2205" spans="1:9" ht="17" x14ac:dyDescent="0.2">
      <c r="A2205" t="s">
        <v>665</v>
      </c>
      <c r="B2205" s="1" t="s">
        <v>666</v>
      </c>
      <c r="C2205" t="s">
        <v>435</v>
      </c>
      <c r="D2205" s="1" t="s">
        <v>2</v>
      </c>
      <c r="E2205" t="b">
        <v>0</v>
      </c>
      <c r="F2205">
        <v>11311</v>
      </c>
      <c r="G2205">
        <v>11675</v>
      </c>
      <c r="H2205" t="s">
        <v>11</v>
      </c>
      <c r="I2205" t="b" cm="1">
        <f t="array" ref="I2205">isDup(B2205,B2206, 0.7)</f>
        <v>0</v>
      </c>
    </row>
    <row r="2206" spans="1:9" ht="34" x14ac:dyDescent="0.2">
      <c r="A2206" t="s">
        <v>6214</v>
      </c>
      <c r="B2206" s="1" t="s">
        <v>6215</v>
      </c>
      <c r="C2206" t="s">
        <v>476</v>
      </c>
      <c r="D2206" s="1" t="s">
        <v>6216</v>
      </c>
      <c r="E2206" t="b">
        <v>0</v>
      </c>
      <c r="F2206">
        <v>100</v>
      </c>
      <c r="G2206">
        <v>71</v>
      </c>
      <c r="H2206" t="s">
        <v>11</v>
      </c>
      <c r="I2206" t="b" cm="1">
        <f t="array" ref="I2206">isDup(B2206,B2207, 0.7)</f>
        <v>0</v>
      </c>
    </row>
    <row r="2207" spans="1:9" ht="34" x14ac:dyDescent="0.2">
      <c r="A2207" t="s">
        <v>5675</v>
      </c>
      <c r="B2207" s="1" t="s">
        <v>5676</v>
      </c>
      <c r="C2207" t="s">
        <v>584</v>
      </c>
      <c r="D2207" s="1" t="s">
        <v>5677</v>
      </c>
      <c r="E2207" t="b">
        <v>0</v>
      </c>
      <c r="F2207">
        <v>260</v>
      </c>
      <c r="G2207">
        <v>1918</v>
      </c>
      <c r="H2207" t="s">
        <v>11</v>
      </c>
      <c r="I2207" t="b" cm="1">
        <f t="array" ref="I2207">isDup(B2207,B2208, 0.7)</f>
        <v>0</v>
      </c>
    </row>
    <row r="2208" spans="1:9" ht="17" x14ac:dyDescent="0.2">
      <c r="A2208" t="s">
        <v>5755</v>
      </c>
      <c r="B2208" s="1" t="s">
        <v>5756</v>
      </c>
      <c r="C2208" t="s">
        <v>526</v>
      </c>
      <c r="D2208" s="1" t="s">
        <v>2</v>
      </c>
      <c r="E2208" t="b">
        <v>0</v>
      </c>
      <c r="F2208">
        <v>1732</v>
      </c>
      <c r="G2208">
        <v>2046</v>
      </c>
      <c r="H2208" t="s">
        <v>3</v>
      </c>
      <c r="I2208" t="b" cm="1">
        <f t="array" ref="I2208">isDup(B2208,B2209, 0.7)</f>
        <v>0</v>
      </c>
    </row>
    <row r="2209" spans="1:9" ht="17" x14ac:dyDescent="0.2">
      <c r="A2209" t="s">
        <v>1407</v>
      </c>
      <c r="B2209" s="1" t="s">
        <v>1408</v>
      </c>
      <c r="C2209" t="s">
        <v>1409</v>
      </c>
      <c r="D2209" s="1" t="s">
        <v>2</v>
      </c>
      <c r="E2209" t="b">
        <v>0</v>
      </c>
      <c r="F2209">
        <v>357</v>
      </c>
      <c r="G2209">
        <v>104</v>
      </c>
      <c r="H2209" t="s">
        <v>11</v>
      </c>
      <c r="I2209" t="b" cm="1">
        <f t="array" ref="I2209">isDup(B2209,B2210, 0.7)</f>
        <v>0</v>
      </c>
    </row>
    <row r="2210" spans="1:9" ht="34" x14ac:dyDescent="0.2">
      <c r="A2210" t="s">
        <v>6426</v>
      </c>
      <c r="B2210" s="1" t="s">
        <v>6427</v>
      </c>
      <c r="C2210" t="s">
        <v>1189</v>
      </c>
      <c r="D2210" s="1" t="s">
        <v>1190</v>
      </c>
      <c r="E2210" t="b">
        <v>0</v>
      </c>
      <c r="F2210">
        <v>7991</v>
      </c>
      <c r="G2210">
        <v>410</v>
      </c>
      <c r="H2210" t="s">
        <v>11</v>
      </c>
      <c r="I2210" t="b" cm="1">
        <f t="array" ref="I2210">isDup(B2210,B2211, 0.7)</f>
        <v>0</v>
      </c>
    </row>
    <row r="2211" spans="1:9" ht="34" x14ac:dyDescent="0.2">
      <c r="A2211" t="s">
        <v>4578</v>
      </c>
      <c r="B2211" s="1" t="s">
        <v>4579</v>
      </c>
      <c r="C2211" t="s">
        <v>4580</v>
      </c>
      <c r="D2211" s="1" t="s">
        <v>4581</v>
      </c>
      <c r="E2211" t="b">
        <v>0</v>
      </c>
      <c r="F2211">
        <v>13</v>
      </c>
      <c r="G2211">
        <v>18</v>
      </c>
      <c r="H2211" t="s">
        <v>11</v>
      </c>
      <c r="I2211" t="b" cm="1">
        <f t="array" ref="I2211">isDup(B2211,B2212, 0.7)</f>
        <v>0</v>
      </c>
    </row>
    <row r="2212" spans="1:9" ht="34" x14ac:dyDescent="0.2">
      <c r="A2212" t="s">
        <v>6800</v>
      </c>
      <c r="B2212" s="1" t="s">
        <v>6801</v>
      </c>
      <c r="C2212" t="s">
        <v>275</v>
      </c>
      <c r="D2212" s="1" t="s">
        <v>565</v>
      </c>
      <c r="E2212" t="b">
        <v>0</v>
      </c>
      <c r="F2212">
        <v>299</v>
      </c>
      <c r="G2212">
        <v>310</v>
      </c>
      <c r="H2212" t="s">
        <v>11</v>
      </c>
      <c r="I2212" t="b" cm="1">
        <f t="array" ref="I2212">isDup(B2212,B2213, 0.7)</f>
        <v>0</v>
      </c>
    </row>
    <row r="2213" spans="1:9" ht="17" x14ac:dyDescent="0.2">
      <c r="A2213" t="s">
        <v>1876</v>
      </c>
      <c r="B2213" s="1" t="s">
        <v>1877</v>
      </c>
      <c r="C2213" t="s">
        <v>1780</v>
      </c>
      <c r="D2213" s="1" t="s">
        <v>1781</v>
      </c>
      <c r="E2213" t="b">
        <v>0</v>
      </c>
      <c r="F2213">
        <v>536</v>
      </c>
      <c r="G2213">
        <v>546</v>
      </c>
      <c r="H2213" t="s">
        <v>11</v>
      </c>
      <c r="I2213" t="b" cm="1">
        <f t="array" ref="I2213">isDup(B2213,B2214, 0.7)</f>
        <v>0</v>
      </c>
    </row>
    <row r="2214" spans="1:9" ht="34" x14ac:dyDescent="0.2">
      <c r="A2214" t="s">
        <v>3034</v>
      </c>
      <c r="B2214" s="1" t="s">
        <v>3035</v>
      </c>
      <c r="C2214" t="s">
        <v>769</v>
      </c>
      <c r="D2214" s="1" t="s">
        <v>2</v>
      </c>
      <c r="E2214" t="b">
        <v>0</v>
      </c>
      <c r="F2214">
        <v>183</v>
      </c>
      <c r="G2214">
        <v>127</v>
      </c>
      <c r="H2214" t="s">
        <v>83</v>
      </c>
      <c r="I2214" t="b" cm="1">
        <f t="array" ref="I2214">isDup(B2214,B2215, 0.7)</f>
        <v>0</v>
      </c>
    </row>
    <row r="2215" spans="1:9" ht="17" x14ac:dyDescent="0.2">
      <c r="A2215" t="s">
        <v>6750</v>
      </c>
      <c r="B2215" s="1" t="s">
        <v>6751</v>
      </c>
      <c r="C2215" t="s">
        <v>6067</v>
      </c>
      <c r="D2215" s="1" t="s">
        <v>2</v>
      </c>
      <c r="E2215" t="b">
        <v>0</v>
      </c>
      <c r="F2215">
        <v>1361</v>
      </c>
      <c r="G2215">
        <v>1748</v>
      </c>
      <c r="H2215" t="s">
        <v>11</v>
      </c>
      <c r="I2215" t="b" cm="1">
        <f t="array" ref="I2215">isDup(B2215,B2216, 0.7)</f>
        <v>0</v>
      </c>
    </row>
    <row r="2216" spans="1:9" ht="17" x14ac:dyDescent="0.2">
      <c r="A2216" t="s">
        <v>4042</v>
      </c>
      <c r="B2216" s="1" t="s">
        <v>4043</v>
      </c>
      <c r="C2216" t="s">
        <v>2607</v>
      </c>
      <c r="D2216" s="1" t="s">
        <v>2</v>
      </c>
      <c r="E2216" t="b">
        <v>0</v>
      </c>
      <c r="F2216">
        <v>9705</v>
      </c>
      <c r="G2216">
        <v>45</v>
      </c>
      <c r="H2216" t="s">
        <v>11</v>
      </c>
      <c r="I2216" t="b" cm="1">
        <f t="array" ref="I2216">isDup(B2216,B2217, 0.7)</f>
        <v>0</v>
      </c>
    </row>
    <row r="2217" spans="1:9" ht="34" x14ac:dyDescent="0.2">
      <c r="A2217" t="s">
        <v>1024</v>
      </c>
      <c r="B2217" s="1" t="s">
        <v>1025</v>
      </c>
      <c r="C2217" t="s">
        <v>1026</v>
      </c>
      <c r="D2217" s="1" t="s">
        <v>924</v>
      </c>
      <c r="E2217" t="b">
        <v>0</v>
      </c>
      <c r="F2217">
        <v>216</v>
      </c>
      <c r="G2217">
        <v>247</v>
      </c>
      <c r="H2217" t="s">
        <v>83</v>
      </c>
      <c r="I2217" t="b" cm="1">
        <f t="array" ref="I2217">isDup(B2217,B2218, 0.7)</f>
        <v>0</v>
      </c>
    </row>
    <row r="2218" spans="1:9" ht="17" x14ac:dyDescent="0.2">
      <c r="A2218" t="s">
        <v>5249</v>
      </c>
      <c r="B2218" s="1" t="s">
        <v>5250</v>
      </c>
      <c r="C2218" t="s">
        <v>226</v>
      </c>
      <c r="D2218" s="1" t="s">
        <v>5226</v>
      </c>
      <c r="E2218" t="b">
        <v>0</v>
      </c>
      <c r="F2218">
        <v>163</v>
      </c>
      <c r="G2218">
        <v>382</v>
      </c>
      <c r="H2218" t="s">
        <v>11</v>
      </c>
      <c r="I2218" t="b" cm="1">
        <f t="array" ref="I2218">isDup(B2218,B2219, 0.7)</f>
        <v>0</v>
      </c>
    </row>
    <row r="2219" spans="1:9" ht="17" x14ac:dyDescent="0.2">
      <c r="A2219" t="s">
        <v>3649</v>
      </c>
      <c r="B2219" s="1" t="s">
        <v>3650</v>
      </c>
      <c r="C2219" t="s">
        <v>10</v>
      </c>
      <c r="D2219" s="1" t="s">
        <v>3651</v>
      </c>
      <c r="E2219" t="b">
        <v>0</v>
      </c>
      <c r="F2219">
        <v>138</v>
      </c>
      <c r="G2219">
        <v>98</v>
      </c>
      <c r="H2219" t="s">
        <v>11</v>
      </c>
      <c r="I2219" t="b" cm="1">
        <f t="array" ref="I2219">isDup(B2219,B2220, 0.7)</f>
        <v>0</v>
      </c>
    </row>
    <row r="2220" spans="1:9" ht="17" x14ac:dyDescent="0.2">
      <c r="A2220" t="s">
        <v>592</v>
      </c>
      <c r="B2220" s="1" t="s">
        <v>593</v>
      </c>
      <c r="C2220" t="s">
        <v>594</v>
      </c>
      <c r="D2220" s="1" t="s">
        <v>595</v>
      </c>
      <c r="E2220" t="b">
        <v>0</v>
      </c>
      <c r="F2220">
        <v>64</v>
      </c>
      <c r="G2220">
        <v>140</v>
      </c>
      <c r="H2220" t="s">
        <v>11</v>
      </c>
      <c r="I2220" t="b" cm="1">
        <f t="array" ref="I2220">isDup(B2220,B2221, 0.7)</f>
        <v>0</v>
      </c>
    </row>
    <row r="2221" spans="1:9" ht="34" x14ac:dyDescent="0.2">
      <c r="A2221" t="s">
        <v>5189</v>
      </c>
      <c r="B2221" s="1" t="s">
        <v>5190</v>
      </c>
      <c r="C2221" t="s">
        <v>2169</v>
      </c>
      <c r="D2221" s="1" t="s">
        <v>2170</v>
      </c>
      <c r="E2221" t="b">
        <v>0</v>
      </c>
      <c r="F2221">
        <v>62177</v>
      </c>
      <c r="G2221">
        <v>346</v>
      </c>
      <c r="H2221" t="s">
        <v>83</v>
      </c>
      <c r="I2221" t="b" cm="1">
        <f t="array" ref="I2221">isDup(B2221,B2222, 0.7)</f>
        <v>0</v>
      </c>
    </row>
    <row r="2222" spans="1:9" ht="17" x14ac:dyDescent="0.2">
      <c r="A2222" t="s">
        <v>4312</v>
      </c>
      <c r="B2222" s="1" t="s">
        <v>4313</v>
      </c>
      <c r="C2222" t="s">
        <v>341</v>
      </c>
      <c r="D2222" s="1" t="s">
        <v>2</v>
      </c>
      <c r="E2222" t="b">
        <v>0</v>
      </c>
      <c r="F2222">
        <v>201</v>
      </c>
      <c r="G2222">
        <v>188</v>
      </c>
      <c r="H2222" t="s">
        <v>11</v>
      </c>
      <c r="I2222" t="b" cm="1">
        <f t="array" ref="I2222">isDup(B2222,B2223, 0.7)</f>
        <v>0</v>
      </c>
    </row>
    <row r="2223" spans="1:9" ht="17" x14ac:dyDescent="0.2">
      <c r="A2223" t="s">
        <v>165</v>
      </c>
      <c r="B2223" s="1" t="s">
        <v>166</v>
      </c>
      <c r="C2223" t="s">
        <v>167</v>
      </c>
      <c r="D2223" s="1" t="s">
        <v>168</v>
      </c>
      <c r="E2223" t="b">
        <v>0</v>
      </c>
      <c r="F2223">
        <v>160</v>
      </c>
      <c r="G2223">
        <v>288</v>
      </c>
      <c r="H2223" t="s">
        <v>11</v>
      </c>
      <c r="I2223" t="b" cm="1">
        <f t="array" ref="I2223">isDup(B2223,B2224, 0.7)</f>
        <v>0</v>
      </c>
    </row>
    <row r="2224" spans="1:9" ht="34" x14ac:dyDescent="0.2">
      <c r="A2224" t="s">
        <v>5843</v>
      </c>
      <c r="B2224" s="1" t="s">
        <v>5844</v>
      </c>
      <c r="C2224" t="s">
        <v>4082</v>
      </c>
      <c r="D2224" s="1" t="s">
        <v>2</v>
      </c>
      <c r="E2224" t="b">
        <v>0</v>
      </c>
      <c r="F2224">
        <v>30</v>
      </c>
      <c r="G2224">
        <v>71</v>
      </c>
      <c r="H2224" t="s">
        <v>11</v>
      </c>
      <c r="I2224" t="b" cm="1">
        <f t="array" ref="I2224">isDup(B2224,B2225, 0.7)</f>
        <v>0</v>
      </c>
    </row>
    <row r="2225" spans="1:9" ht="34" x14ac:dyDescent="0.2">
      <c r="A2225" t="s">
        <v>524</v>
      </c>
      <c r="B2225" s="1" t="s">
        <v>525</v>
      </c>
      <c r="C2225" t="s">
        <v>526</v>
      </c>
      <c r="D2225" s="1" t="s">
        <v>2</v>
      </c>
      <c r="E2225" t="b">
        <v>0</v>
      </c>
      <c r="F2225">
        <v>28</v>
      </c>
      <c r="G2225">
        <v>7</v>
      </c>
      <c r="H2225" t="s">
        <v>31</v>
      </c>
      <c r="I2225" t="b" cm="1">
        <f t="array" ref="I2225">isDup(B2225,B2226, 0.7)</f>
        <v>1</v>
      </c>
    </row>
    <row r="2226" spans="1:9" ht="34" x14ac:dyDescent="0.2">
      <c r="A2226" t="s">
        <v>62</v>
      </c>
      <c r="B2226" s="1" t="s">
        <v>63</v>
      </c>
      <c r="C2226" t="s">
        <v>64</v>
      </c>
      <c r="D2226" s="1" t="s">
        <v>2</v>
      </c>
      <c r="E2226" t="b">
        <v>0</v>
      </c>
      <c r="F2226">
        <v>37</v>
      </c>
      <c r="G2226">
        <v>7</v>
      </c>
      <c r="H2226" t="s">
        <v>31</v>
      </c>
      <c r="I2226" t="b" cm="1">
        <f t="array" ref="I2226">isDup(B2226,B2227, 0.7)</f>
        <v>1</v>
      </c>
    </row>
    <row r="2227" spans="1:9" ht="34" x14ac:dyDescent="0.2">
      <c r="A2227" t="s">
        <v>1289</v>
      </c>
      <c r="B2227" s="1" t="s">
        <v>1290</v>
      </c>
      <c r="C2227" t="s">
        <v>516</v>
      </c>
      <c r="D2227" s="1" t="s">
        <v>2</v>
      </c>
      <c r="E2227" t="b">
        <v>0</v>
      </c>
      <c r="F2227">
        <v>47</v>
      </c>
      <c r="G2227">
        <v>10</v>
      </c>
      <c r="H2227" t="s">
        <v>31</v>
      </c>
      <c r="I2227" t="b" cm="1">
        <f t="array" ref="I2227">isDup(B2227,B2228, 0.7)</f>
        <v>0</v>
      </c>
    </row>
    <row r="2228" spans="1:9" ht="34" x14ac:dyDescent="0.2">
      <c r="A2228" t="s">
        <v>2376</v>
      </c>
      <c r="B2228" s="1" t="s">
        <v>2377</v>
      </c>
      <c r="C2228" t="s">
        <v>649</v>
      </c>
      <c r="D2228" s="1" t="s">
        <v>2</v>
      </c>
      <c r="E2228" t="b">
        <v>0</v>
      </c>
      <c r="F2228">
        <v>38</v>
      </c>
      <c r="G2228">
        <v>14</v>
      </c>
      <c r="H2228" t="s">
        <v>31</v>
      </c>
      <c r="I2228" t="b" cm="1">
        <f t="array" ref="I2228">isDup(B2228,B2229, 0.7)</f>
        <v>1</v>
      </c>
    </row>
    <row r="2229" spans="1:9" ht="34" x14ac:dyDescent="0.2">
      <c r="A2229" t="s">
        <v>65</v>
      </c>
      <c r="B2229" s="1" t="s">
        <v>66</v>
      </c>
      <c r="C2229" t="s">
        <v>67</v>
      </c>
      <c r="D2229" s="1" t="s">
        <v>68</v>
      </c>
      <c r="E2229" t="b">
        <v>0</v>
      </c>
      <c r="F2229">
        <v>106</v>
      </c>
      <c r="G2229">
        <v>58</v>
      </c>
      <c r="H2229" t="s">
        <v>31</v>
      </c>
      <c r="I2229" t="b" cm="1">
        <f t="array" ref="I2229">isDup(B2229,B2230, 0.7)</f>
        <v>1</v>
      </c>
    </row>
    <row r="2230" spans="1:9" ht="34" x14ac:dyDescent="0.2">
      <c r="A2230" t="s">
        <v>6482</v>
      </c>
      <c r="B2230" s="1" t="s">
        <v>6484</v>
      </c>
      <c r="C2230" t="s">
        <v>4316</v>
      </c>
      <c r="D2230" s="1" t="s">
        <v>2</v>
      </c>
      <c r="E2230" t="b">
        <v>0</v>
      </c>
      <c r="F2230">
        <v>12</v>
      </c>
      <c r="G2230">
        <v>5</v>
      </c>
      <c r="H2230" t="s">
        <v>31</v>
      </c>
      <c r="I2230" t="b" cm="1">
        <f t="array" ref="I2230">isDup(B2230,B2231, 0.7)</f>
        <v>0</v>
      </c>
    </row>
    <row r="2231" spans="1:9" ht="17" x14ac:dyDescent="0.2">
      <c r="A2231" t="s">
        <v>1003</v>
      </c>
      <c r="B2231" s="1" t="s">
        <v>1004</v>
      </c>
      <c r="C2231" t="s">
        <v>1005</v>
      </c>
      <c r="D2231" s="1" t="s">
        <v>2</v>
      </c>
      <c r="E2231" t="b">
        <v>0</v>
      </c>
      <c r="F2231">
        <v>169</v>
      </c>
      <c r="G2231">
        <v>519</v>
      </c>
      <c r="H2231" t="s">
        <v>11</v>
      </c>
      <c r="I2231" t="b" cm="1">
        <f t="array" ref="I2231">isDup(B2231,B2232, 0.7)</f>
        <v>0</v>
      </c>
    </row>
    <row r="2232" spans="1:9" ht="34" x14ac:dyDescent="0.2">
      <c r="A2232" t="s">
        <v>6393</v>
      </c>
      <c r="B2232" s="1" t="s">
        <v>6394</v>
      </c>
      <c r="C2232" t="s">
        <v>2239</v>
      </c>
      <c r="D2232" s="1" t="s">
        <v>6395</v>
      </c>
      <c r="E2232" t="b">
        <v>0</v>
      </c>
      <c r="F2232">
        <v>3239</v>
      </c>
      <c r="G2232">
        <v>1965</v>
      </c>
      <c r="H2232" t="s">
        <v>11</v>
      </c>
      <c r="I2232" t="b" cm="1">
        <f t="array" ref="I2232">isDup(B2232,B2233, 0.7)</f>
        <v>0</v>
      </c>
    </row>
    <row r="2233" spans="1:9" ht="17" x14ac:dyDescent="0.2">
      <c r="A2233" t="s">
        <v>4342</v>
      </c>
      <c r="B2233" s="1" t="s">
        <v>4343</v>
      </c>
      <c r="C2233" t="s">
        <v>3417</v>
      </c>
      <c r="D2233" s="1" t="s">
        <v>701</v>
      </c>
      <c r="E2233" t="b">
        <v>0</v>
      </c>
      <c r="F2233">
        <v>510</v>
      </c>
      <c r="G2233">
        <v>313</v>
      </c>
      <c r="H2233" t="s">
        <v>11</v>
      </c>
      <c r="I2233" t="b" cm="1">
        <f t="array" ref="I2233">isDup(B2233,B2234, 0.7)</f>
        <v>0</v>
      </c>
    </row>
    <row r="2234" spans="1:9" ht="34" x14ac:dyDescent="0.2">
      <c r="A2234" t="s">
        <v>2220</v>
      </c>
      <c r="B2234" s="1" t="s">
        <v>2221</v>
      </c>
      <c r="C2234" t="s">
        <v>1158</v>
      </c>
      <c r="D2234" s="1" t="s">
        <v>2</v>
      </c>
      <c r="E2234" t="b">
        <v>0</v>
      </c>
      <c r="F2234">
        <v>622</v>
      </c>
      <c r="G2234">
        <v>621</v>
      </c>
      <c r="H2234" t="s">
        <v>11</v>
      </c>
      <c r="I2234" t="b" cm="1">
        <f t="array" ref="I2234">isDup(B2234,B2235, 0.7)</f>
        <v>0</v>
      </c>
    </row>
    <row r="2235" spans="1:9" ht="17" x14ac:dyDescent="0.2">
      <c r="A2235" t="s">
        <v>5752</v>
      </c>
      <c r="B2235" s="1" t="s">
        <v>5753</v>
      </c>
      <c r="C2235" t="s">
        <v>1705</v>
      </c>
      <c r="D2235" s="1" t="s">
        <v>5754</v>
      </c>
      <c r="E2235" t="b">
        <v>0</v>
      </c>
      <c r="F2235">
        <v>8300</v>
      </c>
      <c r="G2235">
        <v>126</v>
      </c>
      <c r="H2235" t="s">
        <v>11</v>
      </c>
      <c r="I2235" t="b" cm="1">
        <f t="array" ref="I2235">isDup(B2235,B2236, 0.7)</f>
        <v>0</v>
      </c>
    </row>
    <row r="2236" spans="1:9" ht="17" x14ac:dyDescent="0.2">
      <c r="A2236" t="s">
        <v>5214</v>
      </c>
      <c r="B2236" s="1" t="s">
        <v>5215</v>
      </c>
      <c r="C2236" t="s">
        <v>5216</v>
      </c>
      <c r="D2236" s="1" t="s">
        <v>5217</v>
      </c>
      <c r="E2236" t="b">
        <v>0</v>
      </c>
      <c r="F2236">
        <v>1502</v>
      </c>
      <c r="G2236">
        <v>2578</v>
      </c>
      <c r="H2236" t="s">
        <v>11</v>
      </c>
      <c r="I2236" t="b" cm="1">
        <f t="array" ref="I2236">isDup(B2236,B2237, 0.7)</f>
        <v>0</v>
      </c>
    </row>
    <row r="2237" spans="1:9" ht="34" x14ac:dyDescent="0.2">
      <c r="A2237" t="s">
        <v>6285</v>
      </c>
      <c r="B2237" s="1" t="s">
        <v>6286</v>
      </c>
      <c r="C2237" t="s">
        <v>2510</v>
      </c>
      <c r="D2237" s="1" t="s">
        <v>2</v>
      </c>
      <c r="E2237" t="b">
        <v>0</v>
      </c>
      <c r="F2237">
        <v>168</v>
      </c>
      <c r="G2237">
        <v>239</v>
      </c>
      <c r="H2237" t="s">
        <v>11</v>
      </c>
      <c r="I2237" t="b" cm="1">
        <f t="array" ref="I2237">isDup(B2237,B2238, 0.7)</f>
        <v>0</v>
      </c>
    </row>
    <row r="2238" spans="1:9" ht="17" x14ac:dyDescent="0.2">
      <c r="A2238" t="s">
        <v>206</v>
      </c>
      <c r="B2238" s="1" t="s">
        <v>207</v>
      </c>
      <c r="C2238" t="s">
        <v>208</v>
      </c>
      <c r="D2238" s="1" t="s">
        <v>2</v>
      </c>
      <c r="E2238" t="b">
        <v>0</v>
      </c>
      <c r="F2238">
        <v>9</v>
      </c>
      <c r="G2238">
        <v>98</v>
      </c>
      <c r="H2238" t="s">
        <v>11</v>
      </c>
      <c r="I2238" t="b" cm="1">
        <f t="array" ref="I2238">isDup(B2238,B2239, 0.7)</f>
        <v>0</v>
      </c>
    </row>
    <row r="2239" spans="1:9" ht="34" x14ac:dyDescent="0.2">
      <c r="A2239" t="s">
        <v>2788</v>
      </c>
      <c r="B2239" s="1" t="s">
        <v>2789</v>
      </c>
      <c r="C2239" t="s">
        <v>869</v>
      </c>
      <c r="D2239" s="1" t="s">
        <v>2790</v>
      </c>
      <c r="E2239" t="b">
        <v>1</v>
      </c>
      <c r="F2239">
        <v>6781</v>
      </c>
      <c r="G2239">
        <v>3334</v>
      </c>
      <c r="H2239" t="s">
        <v>11</v>
      </c>
      <c r="I2239" t="b" cm="1">
        <f t="array" ref="I2239">isDup(B2239,B2240, 0.7)</f>
        <v>0</v>
      </c>
    </row>
    <row r="2240" spans="1:9" ht="34" x14ac:dyDescent="0.2">
      <c r="A2240" t="s">
        <v>5355</v>
      </c>
      <c r="B2240" s="1" t="s">
        <v>5356</v>
      </c>
      <c r="C2240" t="s">
        <v>5357</v>
      </c>
      <c r="D2240" s="1" t="s">
        <v>5358</v>
      </c>
      <c r="E2240" t="b">
        <v>0</v>
      </c>
      <c r="F2240">
        <v>6469</v>
      </c>
      <c r="G2240">
        <v>6318</v>
      </c>
      <c r="H2240" t="s">
        <v>11</v>
      </c>
      <c r="I2240" t="b" cm="1">
        <f t="array" ref="I2240">isDup(B2240,B2241, 0.7)</f>
        <v>0</v>
      </c>
    </row>
    <row r="2241" spans="1:9" ht="17" x14ac:dyDescent="0.2">
      <c r="A2241" t="s">
        <v>4968</v>
      </c>
      <c r="B2241" s="1" t="s">
        <v>4977</v>
      </c>
      <c r="C2241" t="s">
        <v>1301</v>
      </c>
      <c r="D2241" s="1" t="s">
        <v>2</v>
      </c>
      <c r="E2241" t="b">
        <v>0</v>
      </c>
      <c r="F2241">
        <v>720</v>
      </c>
      <c r="G2241">
        <v>142</v>
      </c>
      <c r="H2241" t="s">
        <v>11</v>
      </c>
      <c r="I2241" t="b" cm="1">
        <f t="array" ref="I2241">isDup(B2241,B2242, 0.7)</f>
        <v>0</v>
      </c>
    </row>
    <row r="2242" spans="1:9" ht="17" x14ac:dyDescent="0.2">
      <c r="A2242" t="s">
        <v>2989</v>
      </c>
      <c r="B2242" s="1" t="s">
        <v>2990</v>
      </c>
      <c r="C2242" t="s">
        <v>2991</v>
      </c>
      <c r="D2242" s="1" t="s">
        <v>2</v>
      </c>
      <c r="E2242" t="b">
        <v>0</v>
      </c>
      <c r="F2242">
        <v>6055</v>
      </c>
      <c r="G2242">
        <v>3865</v>
      </c>
      <c r="H2242" t="s">
        <v>11</v>
      </c>
      <c r="I2242" t="b" cm="1">
        <f t="array" ref="I2242">isDup(B2242,B2243, 0.7)</f>
        <v>0</v>
      </c>
    </row>
    <row r="2243" spans="1:9" ht="17" x14ac:dyDescent="0.2">
      <c r="A2243" t="s">
        <v>573</v>
      </c>
      <c r="B2243" s="1" t="s">
        <v>574</v>
      </c>
      <c r="C2243" t="s">
        <v>575</v>
      </c>
      <c r="D2243" s="1" t="s">
        <v>178</v>
      </c>
      <c r="E2243" t="b">
        <v>0</v>
      </c>
      <c r="F2243">
        <v>48</v>
      </c>
      <c r="G2243">
        <v>18</v>
      </c>
      <c r="H2243" t="s">
        <v>11</v>
      </c>
      <c r="I2243" t="b" cm="1">
        <f t="array" ref="I2243">isDup(B2243,B2244, 0.7)</f>
        <v>0</v>
      </c>
    </row>
    <row r="2244" spans="1:9" ht="17" x14ac:dyDescent="0.2">
      <c r="A2244" t="s">
        <v>5211</v>
      </c>
      <c r="B2244" s="1" t="s">
        <v>5212</v>
      </c>
      <c r="C2244" t="s">
        <v>446</v>
      </c>
      <c r="D2244" s="1" t="s">
        <v>5213</v>
      </c>
      <c r="E2244" t="b">
        <v>0</v>
      </c>
      <c r="F2244">
        <v>206</v>
      </c>
      <c r="G2244">
        <v>367</v>
      </c>
      <c r="H2244" t="s">
        <v>11</v>
      </c>
      <c r="I2244" t="b" cm="1">
        <f t="array" ref="I2244">isDup(B2244,B2245, 0.7)</f>
        <v>0</v>
      </c>
    </row>
    <row r="2245" spans="1:9" ht="17" x14ac:dyDescent="0.2">
      <c r="A2245" t="s">
        <v>4617</v>
      </c>
      <c r="B2245" s="1" t="s">
        <v>4618</v>
      </c>
      <c r="C2245" t="s">
        <v>1263</v>
      </c>
      <c r="D2245" s="1" t="s">
        <v>2276</v>
      </c>
      <c r="E2245" t="b">
        <v>0</v>
      </c>
      <c r="F2245">
        <v>1102</v>
      </c>
      <c r="G2245">
        <v>431</v>
      </c>
      <c r="H2245" t="s">
        <v>11</v>
      </c>
      <c r="I2245" t="b" cm="1">
        <f t="array" ref="I2245">isDup(B2245,B2246, 0.7)</f>
        <v>0</v>
      </c>
    </row>
    <row r="2246" spans="1:9" ht="17" x14ac:dyDescent="0.2">
      <c r="A2246" t="s">
        <v>2904</v>
      </c>
      <c r="B2246" s="1" t="s">
        <v>2905</v>
      </c>
      <c r="C2246" t="s">
        <v>2906</v>
      </c>
      <c r="D2246" s="1" t="s">
        <v>2907</v>
      </c>
      <c r="E2246" t="b">
        <v>0</v>
      </c>
      <c r="F2246">
        <v>174</v>
      </c>
      <c r="G2246">
        <v>478</v>
      </c>
      <c r="H2246" t="s">
        <v>11</v>
      </c>
      <c r="I2246" t="b" cm="1">
        <f t="array" ref="I2246">isDup(B2246,B2247, 0.7)</f>
        <v>0</v>
      </c>
    </row>
    <row r="2247" spans="1:9" ht="34" x14ac:dyDescent="0.2">
      <c r="A2247" t="s">
        <v>2587</v>
      </c>
      <c r="B2247" s="1" t="s">
        <v>2588</v>
      </c>
      <c r="C2247" t="s">
        <v>2589</v>
      </c>
      <c r="D2247" s="1" t="s">
        <v>2</v>
      </c>
      <c r="E2247" t="b">
        <v>0</v>
      </c>
      <c r="F2247">
        <v>134</v>
      </c>
      <c r="G2247">
        <v>179</v>
      </c>
      <c r="H2247" t="s">
        <v>11</v>
      </c>
      <c r="I2247" t="b" cm="1">
        <f t="array" ref="I2247">isDup(B2247,B2248, 0.7)</f>
        <v>0</v>
      </c>
    </row>
    <row r="2248" spans="1:9" ht="34" x14ac:dyDescent="0.2">
      <c r="A2248" t="s">
        <v>5089</v>
      </c>
      <c r="B2248" s="1" t="s">
        <v>5090</v>
      </c>
      <c r="C2248" t="s">
        <v>5091</v>
      </c>
      <c r="D2248" s="1" t="s">
        <v>5092</v>
      </c>
      <c r="E2248" t="b">
        <v>0</v>
      </c>
      <c r="F2248">
        <v>452</v>
      </c>
      <c r="G2248">
        <v>485</v>
      </c>
      <c r="H2248" t="s">
        <v>11</v>
      </c>
      <c r="I2248" t="b" cm="1">
        <f t="array" ref="I2248">isDup(B2248,B2249, 0.7)</f>
        <v>0</v>
      </c>
    </row>
    <row r="2249" spans="1:9" ht="17" x14ac:dyDescent="0.2">
      <c r="A2249" t="s">
        <v>4133</v>
      </c>
      <c r="B2249" s="1" t="s">
        <v>4134</v>
      </c>
      <c r="C2249" t="s">
        <v>4135</v>
      </c>
      <c r="D2249" s="1" t="s">
        <v>2</v>
      </c>
      <c r="E2249" t="b">
        <v>0</v>
      </c>
      <c r="F2249">
        <v>214</v>
      </c>
      <c r="G2249">
        <v>370</v>
      </c>
      <c r="H2249" t="s">
        <v>11</v>
      </c>
      <c r="I2249" t="b" cm="1">
        <f t="array" ref="I2249">isDup(B2249,B2250, 0.7)</f>
        <v>0</v>
      </c>
    </row>
    <row r="2250" spans="1:9" ht="17" x14ac:dyDescent="0.2">
      <c r="A2250" t="s">
        <v>1817</v>
      </c>
      <c r="B2250" s="1" t="s">
        <v>1818</v>
      </c>
      <c r="C2250" t="s">
        <v>1819</v>
      </c>
      <c r="D2250" s="1" t="s">
        <v>1653</v>
      </c>
      <c r="E2250" t="b">
        <v>0</v>
      </c>
      <c r="F2250">
        <v>5011</v>
      </c>
      <c r="G2250">
        <v>4738</v>
      </c>
      <c r="H2250" t="s">
        <v>11</v>
      </c>
      <c r="I2250" t="b" cm="1">
        <f t="array" ref="I2250">isDup(B2250,B2251, 0.7)</f>
        <v>0</v>
      </c>
    </row>
    <row r="2251" spans="1:9" ht="17" x14ac:dyDescent="0.2">
      <c r="A2251" t="s">
        <v>3120</v>
      </c>
      <c r="B2251" s="1" t="s">
        <v>3121</v>
      </c>
      <c r="C2251" t="s">
        <v>1819</v>
      </c>
      <c r="D2251" s="1" t="s">
        <v>1653</v>
      </c>
      <c r="E2251" t="b">
        <v>0</v>
      </c>
      <c r="F2251">
        <v>5013</v>
      </c>
      <c r="G2251">
        <v>4738</v>
      </c>
      <c r="H2251" t="s">
        <v>11</v>
      </c>
      <c r="I2251" t="b" cm="1">
        <f t="array" ref="I2251">isDup(B2251,B2252, 0.7)</f>
        <v>0</v>
      </c>
    </row>
    <row r="2252" spans="1:9" ht="17" x14ac:dyDescent="0.2">
      <c r="A2252" t="s">
        <v>3930</v>
      </c>
      <c r="B2252" s="1" t="s">
        <v>3931</v>
      </c>
      <c r="C2252" t="s">
        <v>2973</v>
      </c>
      <c r="D2252" s="1" t="s">
        <v>3932</v>
      </c>
      <c r="E2252" t="b">
        <v>0</v>
      </c>
      <c r="F2252">
        <v>112</v>
      </c>
      <c r="G2252">
        <v>169</v>
      </c>
      <c r="H2252" t="s">
        <v>11</v>
      </c>
      <c r="I2252" t="b" cm="1">
        <f t="array" ref="I2252">isDup(B2252,B2253, 0.7)</f>
        <v>0</v>
      </c>
    </row>
    <row r="2253" spans="1:9" ht="51" x14ac:dyDescent="0.2">
      <c r="A2253" t="s">
        <v>5582</v>
      </c>
      <c r="B2253" s="1" t="s">
        <v>5583</v>
      </c>
      <c r="C2253" t="s">
        <v>584</v>
      </c>
      <c r="D2253" s="1" t="s">
        <v>5584</v>
      </c>
      <c r="E2253" t="b">
        <v>0</v>
      </c>
      <c r="F2253">
        <v>589</v>
      </c>
      <c r="G2253">
        <v>1289</v>
      </c>
      <c r="H2253" t="s">
        <v>11</v>
      </c>
      <c r="I2253" t="b" cm="1">
        <f t="array" ref="I2253">isDup(B2253,B2254, 0.7)</f>
        <v>0</v>
      </c>
    </row>
    <row r="2254" spans="1:9" ht="17" x14ac:dyDescent="0.2">
      <c r="A2254" t="s">
        <v>6069</v>
      </c>
      <c r="B2254" s="1" t="s">
        <v>6070</v>
      </c>
      <c r="C2254" t="s">
        <v>237</v>
      </c>
      <c r="D2254" s="1" t="s">
        <v>3714</v>
      </c>
      <c r="E2254" t="b">
        <v>1</v>
      </c>
      <c r="F2254">
        <v>3058</v>
      </c>
      <c r="G2254">
        <v>877</v>
      </c>
      <c r="H2254" t="s">
        <v>11</v>
      </c>
      <c r="I2254" t="b" cm="1">
        <f t="array" ref="I2254">isDup(B2254,B2255, 0.7)</f>
        <v>0</v>
      </c>
    </row>
    <row r="2255" spans="1:9" ht="34" x14ac:dyDescent="0.2">
      <c r="A2255" t="s">
        <v>1252</v>
      </c>
      <c r="B2255" s="1" t="s">
        <v>1253</v>
      </c>
      <c r="C2255" t="s">
        <v>1254</v>
      </c>
      <c r="D2255" s="1" t="s">
        <v>61</v>
      </c>
      <c r="E2255" t="b">
        <v>0</v>
      </c>
      <c r="F2255">
        <v>36</v>
      </c>
      <c r="G2255">
        <v>0</v>
      </c>
      <c r="H2255" t="s">
        <v>11</v>
      </c>
      <c r="I2255" t="b" cm="1">
        <f t="array" ref="I2255">isDup(B2255,B2256, 0.7)</f>
        <v>0</v>
      </c>
    </row>
    <row r="2256" spans="1:9" ht="34" x14ac:dyDescent="0.2">
      <c r="A2256" t="s">
        <v>2217</v>
      </c>
      <c r="B2256" s="1" t="s">
        <v>2218</v>
      </c>
      <c r="C2256" t="s">
        <v>413</v>
      </c>
      <c r="D2256" s="1" t="s">
        <v>2219</v>
      </c>
      <c r="E2256" t="b">
        <v>0</v>
      </c>
      <c r="F2256">
        <v>253</v>
      </c>
      <c r="G2256">
        <v>410</v>
      </c>
      <c r="H2256" t="s">
        <v>11</v>
      </c>
      <c r="I2256" t="b" cm="1">
        <f t="array" ref="I2256">isDup(B2256,B2257, 0.7)</f>
        <v>0</v>
      </c>
    </row>
    <row r="2257" spans="1:9" ht="34" x14ac:dyDescent="0.2">
      <c r="A2257" t="s">
        <v>4887</v>
      </c>
      <c r="B2257" s="1" t="s">
        <v>4888</v>
      </c>
      <c r="C2257" t="s">
        <v>1263</v>
      </c>
      <c r="D2257" s="1" t="s">
        <v>2276</v>
      </c>
      <c r="E2257" t="b">
        <v>0</v>
      </c>
      <c r="F2257">
        <v>1103</v>
      </c>
      <c r="G2257">
        <v>431</v>
      </c>
      <c r="H2257" t="s">
        <v>11</v>
      </c>
      <c r="I2257" t="b" cm="1">
        <f t="array" ref="I2257">isDup(B2257,B2258, 0.7)</f>
        <v>0</v>
      </c>
    </row>
    <row r="2258" spans="1:9" ht="34" x14ac:dyDescent="0.2">
      <c r="A2258" t="s">
        <v>2841</v>
      </c>
      <c r="B2258" s="1" t="s">
        <v>2842</v>
      </c>
      <c r="C2258" t="s">
        <v>736</v>
      </c>
      <c r="D2258" s="1" t="s">
        <v>2</v>
      </c>
      <c r="E2258" t="b">
        <v>0</v>
      </c>
      <c r="F2258">
        <v>17351</v>
      </c>
      <c r="G2258">
        <v>12513</v>
      </c>
      <c r="H2258" t="s">
        <v>11</v>
      </c>
      <c r="I2258" t="b" cm="1">
        <f t="array" ref="I2258">isDup(B2258,B2259, 0.7)</f>
        <v>0</v>
      </c>
    </row>
    <row r="2259" spans="1:9" ht="17" x14ac:dyDescent="0.2">
      <c r="A2259" t="s">
        <v>2224</v>
      </c>
      <c r="B2259" s="1" t="s">
        <v>2225</v>
      </c>
      <c r="C2259" t="s">
        <v>2226</v>
      </c>
      <c r="D2259" s="1" t="s">
        <v>2</v>
      </c>
      <c r="E2259" t="b">
        <v>0</v>
      </c>
      <c r="F2259">
        <v>80</v>
      </c>
      <c r="G2259">
        <v>242</v>
      </c>
      <c r="H2259" t="s">
        <v>11</v>
      </c>
      <c r="I2259" t="b" cm="1">
        <f t="array" ref="I2259">isDup(B2259,B2260, 0.7)</f>
        <v>0</v>
      </c>
    </row>
    <row r="2260" spans="1:9" ht="17" x14ac:dyDescent="0.2">
      <c r="A2260" t="s">
        <v>2290</v>
      </c>
      <c r="B2260" s="1" t="s">
        <v>2291</v>
      </c>
      <c r="C2260" t="s">
        <v>1031</v>
      </c>
      <c r="E2260" t="b">
        <v>0</v>
      </c>
      <c r="F2260">
        <v>987</v>
      </c>
      <c r="G2260">
        <v>273</v>
      </c>
      <c r="H2260" t="s">
        <v>122</v>
      </c>
      <c r="I2260" t="b" cm="1">
        <f t="array" ref="I2260">isDup(B2260,B2261, 0.7)</f>
        <v>0</v>
      </c>
    </row>
    <row r="2261" spans="1:9" ht="17" x14ac:dyDescent="0.2">
      <c r="A2261" t="s">
        <v>2123</v>
      </c>
      <c r="B2261" s="1" t="s">
        <v>2124</v>
      </c>
      <c r="C2261" t="s">
        <v>275</v>
      </c>
      <c r="D2261" s="1" t="s">
        <v>2125</v>
      </c>
      <c r="E2261" t="b">
        <v>0</v>
      </c>
      <c r="F2261">
        <v>471</v>
      </c>
      <c r="G2261">
        <v>1333</v>
      </c>
      <c r="H2261" t="s">
        <v>11</v>
      </c>
      <c r="I2261" t="b" cm="1">
        <f t="array" ref="I2261">isDup(B2261,B2262, 0.7)</f>
        <v>0</v>
      </c>
    </row>
    <row r="2262" spans="1:9" ht="34" x14ac:dyDescent="0.2">
      <c r="A2262" t="s">
        <v>2314</v>
      </c>
      <c r="B2262" s="1" t="s">
        <v>2315</v>
      </c>
      <c r="C2262" t="s">
        <v>1189</v>
      </c>
      <c r="D2262" s="1" t="s">
        <v>1190</v>
      </c>
      <c r="E2262" t="b">
        <v>0</v>
      </c>
      <c r="F2262">
        <v>7994</v>
      </c>
      <c r="G2262">
        <v>410</v>
      </c>
      <c r="H2262" t="s">
        <v>11</v>
      </c>
      <c r="I2262" t="b" cm="1">
        <f t="array" ref="I2262">isDup(B2262,B2263, 0.7)</f>
        <v>0</v>
      </c>
    </row>
    <row r="2263" spans="1:9" ht="17" x14ac:dyDescent="0.2">
      <c r="A2263" t="s">
        <v>2629</v>
      </c>
      <c r="B2263" s="1" t="s">
        <v>2630</v>
      </c>
      <c r="C2263" t="s">
        <v>211</v>
      </c>
      <c r="D2263" s="1" t="s">
        <v>68</v>
      </c>
      <c r="E2263" t="b">
        <v>0</v>
      </c>
      <c r="F2263">
        <v>1010</v>
      </c>
      <c r="G2263">
        <v>55</v>
      </c>
      <c r="H2263" t="s">
        <v>11</v>
      </c>
      <c r="I2263" t="b" cm="1">
        <f t="array" ref="I2263">isDup(B2263,B2264, 0.7)</f>
        <v>1</v>
      </c>
    </row>
    <row r="2264" spans="1:9" ht="34" x14ac:dyDescent="0.2">
      <c r="A2264" t="s">
        <v>7092</v>
      </c>
      <c r="B2264" s="1" t="s">
        <v>7093</v>
      </c>
      <c r="C2264" t="s">
        <v>211</v>
      </c>
      <c r="D2264" s="1" t="s">
        <v>68</v>
      </c>
      <c r="E2264" t="b">
        <v>0</v>
      </c>
      <c r="F2264">
        <v>1016</v>
      </c>
      <c r="G2264">
        <v>55</v>
      </c>
      <c r="H2264" t="s">
        <v>11</v>
      </c>
      <c r="I2264" t="b" cm="1">
        <f t="array" ref="I2264">isDup(B2264,B2265, 0.7)</f>
        <v>0</v>
      </c>
    </row>
    <row r="2265" spans="1:9" ht="34" x14ac:dyDescent="0.2">
      <c r="A2265" t="s">
        <v>2992</v>
      </c>
      <c r="B2265" s="1" t="s">
        <v>2993</v>
      </c>
      <c r="C2265" t="s">
        <v>2973</v>
      </c>
      <c r="D2265" s="1" t="s">
        <v>2994</v>
      </c>
      <c r="E2265" t="b">
        <v>0</v>
      </c>
      <c r="F2265">
        <v>203</v>
      </c>
      <c r="G2265">
        <v>175</v>
      </c>
      <c r="H2265" t="s">
        <v>11</v>
      </c>
      <c r="I2265" t="b" cm="1">
        <f t="array" ref="I2265">isDup(B2265,B2266, 0.7)</f>
        <v>0</v>
      </c>
    </row>
    <row r="2266" spans="1:9" ht="17" x14ac:dyDescent="0.2">
      <c r="A2266" t="s">
        <v>2481</v>
      </c>
      <c r="B2266" s="1" t="s">
        <v>2482</v>
      </c>
      <c r="C2266" t="s">
        <v>584</v>
      </c>
      <c r="D2266" s="1" t="s">
        <v>2483</v>
      </c>
      <c r="E2266" t="b">
        <v>0</v>
      </c>
      <c r="F2266">
        <v>894</v>
      </c>
      <c r="G2266">
        <v>1968</v>
      </c>
      <c r="H2266" t="s">
        <v>11</v>
      </c>
      <c r="I2266" t="b" cm="1">
        <f t="array" ref="I2266">isDup(B2266,B2267, 0.7)</f>
        <v>0</v>
      </c>
    </row>
    <row r="2267" spans="1:9" ht="17" x14ac:dyDescent="0.2">
      <c r="A2267" t="s">
        <v>6903</v>
      </c>
      <c r="B2267" s="1" t="s">
        <v>6904</v>
      </c>
      <c r="C2267" t="s">
        <v>402</v>
      </c>
      <c r="D2267" s="1" t="s">
        <v>403</v>
      </c>
      <c r="E2267" t="b">
        <v>0</v>
      </c>
      <c r="F2267">
        <v>1664</v>
      </c>
      <c r="G2267">
        <v>1478</v>
      </c>
      <c r="H2267" t="s">
        <v>11</v>
      </c>
      <c r="I2267" t="b" cm="1">
        <f t="array" ref="I2267">isDup(B2267,B2268, 0.7)</f>
        <v>1</v>
      </c>
    </row>
    <row r="2268" spans="1:9" ht="17" x14ac:dyDescent="0.2">
      <c r="A2268" t="s">
        <v>4037</v>
      </c>
      <c r="B2268" s="1" t="s">
        <v>4038</v>
      </c>
      <c r="C2268" t="s">
        <v>402</v>
      </c>
      <c r="D2268" s="1" t="s">
        <v>403</v>
      </c>
      <c r="E2268" t="b">
        <v>0</v>
      </c>
      <c r="F2268">
        <v>1662</v>
      </c>
      <c r="G2268">
        <v>1478</v>
      </c>
      <c r="H2268" t="s">
        <v>11</v>
      </c>
      <c r="I2268" t="b" cm="1">
        <f t="array" ref="I2268">isDup(B2268,B2269, 0.7)</f>
        <v>1</v>
      </c>
    </row>
    <row r="2269" spans="1:9" ht="17" x14ac:dyDescent="0.2">
      <c r="A2269" t="s">
        <v>5487</v>
      </c>
      <c r="B2269" s="1" t="s">
        <v>5488</v>
      </c>
      <c r="C2269" t="s">
        <v>402</v>
      </c>
      <c r="D2269" s="1" t="s">
        <v>403</v>
      </c>
      <c r="E2269" t="b">
        <v>0</v>
      </c>
      <c r="F2269">
        <v>1662</v>
      </c>
      <c r="G2269">
        <v>1478</v>
      </c>
      <c r="H2269" t="s">
        <v>11</v>
      </c>
      <c r="I2269" t="b" cm="1">
        <f t="array" ref="I2269">isDup(B2269,B2270, 0.7)</f>
        <v>1</v>
      </c>
    </row>
    <row r="2270" spans="1:9" ht="17" x14ac:dyDescent="0.2">
      <c r="A2270" t="s">
        <v>2501</v>
      </c>
      <c r="B2270" s="1" t="s">
        <v>2502</v>
      </c>
      <c r="C2270" t="s">
        <v>402</v>
      </c>
      <c r="D2270" s="1" t="s">
        <v>403</v>
      </c>
      <c r="E2270" t="b">
        <v>0</v>
      </c>
      <c r="F2270">
        <v>1663</v>
      </c>
      <c r="G2270">
        <v>1479</v>
      </c>
      <c r="H2270" t="s">
        <v>11</v>
      </c>
      <c r="I2270" t="b" cm="1">
        <f t="array" ref="I2270">isDup(B2270,B2271, 0.7)</f>
        <v>1</v>
      </c>
    </row>
    <row r="2271" spans="1:9" ht="17" x14ac:dyDescent="0.2">
      <c r="A2271" t="s">
        <v>1742</v>
      </c>
      <c r="B2271" s="1" t="s">
        <v>1743</v>
      </c>
      <c r="C2271" t="s">
        <v>402</v>
      </c>
      <c r="D2271" s="1" t="s">
        <v>403</v>
      </c>
      <c r="E2271" t="b">
        <v>0</v>
      </c>
      <c r="F2271">
        <v>1663</v>
      </c>
      <c r="G2271">
        <v>1479</v>
      </c>
      <c r="H2271" t="s">
        <v>11</v>
      </c>
      <c r="I2271" t="b" cm="1">
        <f t="array" ref="I2271">isDup(B2271,B2272, 0.7)</f>
        <v>1</v>
      </c>
    </row>
    <row r="2272" spans="1:9" ht="17" x14ac:dyDescent="0.2">
      <c r="A2272" t="s">
        <v>4830</v>
      </c>
      <c r="B2272" s="1" t="s">
        <v>4831</v>
      </c>
      <c r="C2272" t="s">
        <v>402</v>
      </c>
      <c r="D2272" s="1" t="s">
        <v>403</v>
      </c>
      <c r="E2272" t="b">
        <v>0</v>
      </c>
      <c r="F2272">
        <v>1662</v>
      </c>
      <c r="G2272">
        <v>1478</v>
      </c>
      <c r="H2272" t="s">
        <v>11</v>
      </c>
      <c r="I2272" t="b" cm="1">
        <f t="array" ref="I2272">isDup(B2272,B2273, 0.7)</f>
        <v>1</v>
      </c>
    </row>
    <row r="2273" spans="1:9" ht="17" x14ac:dyDescent="0.2">
      <c r="A2273" t="s">
        <v>6201</v>
      </c>
      <c r="B2273" s="1" t="s">
        <v>6202</v>
      </c>
      <c r="C2273" t="s">
        <v>402</v>
      </c>
      <c r="D2273" s="1" t="s">
        <v>403</v>
      </c>
      <c r="E2273" t="b">
        <v>0</v>
      </c>
      <c r="F2273">
        <v>1663</v>
      </c>
      <c r="G2273">
        <v>1478</v>
      </c>
      <c r="H2273" t="s">
        <v>11</v>
      </c>
      <c r="I2273" t="b" cm="1">
        <f t="array" ref="I2273">isDup(B2273,B2274, 0.7)</f>
        <v>1</v>
      </c>
    </row>
    <row r="2274" spans="1:9" ht="17" x14ac:dyDescent="0.2">
      <c r="A2274" t="s">
        <v>400</v>
      </c>
      <c r="B2274" s="1" t="s">
        <v>401</v>
      </c>
      <c r="C2274" t="s">
        <v>402</v>
      </c>
      <c r="D2274" s="1" t="s">
        <v>403</v>
      </c>
      <c r="E2274" t="b">
        <v>0</v>
      </c>
      <c r="F2274">
        <v>1661</v>
      </c>
      <c r="G2274">
        <v>1479</v>
      </c>
      <c r="H2274" t="s">
        <v>11</v>
      </c>
      <c r="I2274" t="b" cm="1">
        <f t="array" ref="I2274">isDup(B2274,B2275, 0.7)</f>
        <v>1</v>
      </c>
    </row>
    <row r="2275" spans="1:9" ht="17" x14ac:dyDescent="0.2">
      <c r="A2275" t="s">
        <v>1018</v>
      </c>
      <c r="B2275" s="1" t="s">
        <v>1019</v>
      </c>
      <c r="C2275" t="s">
        <v>402</v>
      </c>
      <c r="D2275" s="1" t="s">
        <v>403</v>
      </c>
      <c r="E2275" t="b">
        <v>0</v>
      </c>
      <c r="F2275">
        <v>1662</v>
      </c>
      <c r="G2275">
        <v>1479</v>
      </c>
      <c r="H2275" t="s">
        <v>11</v>
      </c>
      <c r="I2275" t="b" cm="1">
        <f t="array" ref="I2275">isDup(B2275,B2276, 0.7)</f>
        <v>1</v>
      </c>
    </row>
    <row r="2276" spans="1:9" ht="17" x14ac:dyDescent="0.2">
      <c r="A2276" t="s">
        <v>3297</v>
      </c>
      <c r="B2276" s="1" t="s">
        <v>3298</v>
      </c>
      <c r="C2276" t="s">
        <v>402</v>
      </c>
      <c r="D2276" s="1" t="s">
        <v>403</v>
      </c>
      <c r="E2276" t="b">
        <v>0</v>
      </c>
      <c r="F2276">
        <v>1663</v>
      </c>
      <c r="G2276">
        <v>1479</v>
      </c>
      <c r="H2276" t="s">
        <v>11</v>
      </c>
      <c r="I2276" t="b" cm="1">
        <f t="array" ref="I2276">isDup(B2276,B2277, 0.7)</f>
        <v>0</v>
      </c>
    </row>
    <row r="2277" spans="1:9" ht="34" x14ac:dyDescent="0.2">
      <c r="A2277" t="s">
        <v>3393</v>
      </c>
      <c r="B2277" s="1" t="s">
        <v>3394</v>
      </c>
      <c r="C2277" t="s">
        <v>3018</v>
      </c>
      <c r="D2277" s="1" t="s">
        <v>3395</v>
      </c>
      <c r="E2277" t="b">
        <v>0</v>
      </c>
      <c r="F2277">
        <v>264</v>
      </c>
      <c r="G2277">
        <v>355</v>
      </c>
      <c r="H2277" t="s">
        <v>11</v>
      </c>
      <c r="I2277" t="b" cm="1">
        <f t="array" ref="I2277">isDup(B2277,B2278, 0.7)</f>
        <v>0</v>
      </c>
    </row>
    <row r="2278" spans="1:9" ht="17" x14ac:dyDescent="0.2">
      <c r="A2278" t="s">
        <v>5123</v>
      </c>
      <c r="B2278" s="1" t="s">
        <v>5124</v>
      </c>
      <c r="C2278" t="s">
        <v>57</v>
      </c>
      <c r="D2278" s="1" t="s">
        <v>2</v>
      </c>
      <c r="E2278" t="b">
        <v>0</v>
      </c>
      <c r="F2278">
        <v>1905</v>
      </c>
      <c r="G2278">
        <v>801</v>
      </c>
      <c r="H2278" t="s">
        <v>11</v>
      </c>
      <c r="I2278" t="b" cm="1">
        <f t="array" ref="I2278">isDup(B2278,B2279, 0.7)</f>
        <v>0</v>
      </c>
    </row>
    <row r="2279" spans="1:9" ht="17" x14ac:dyDescent="0.2">
      <c r="A2279" t="s">
        <v>6610</v>
      </c>
      <c r="B2279" s="1" t="s">
        <v>6611</v>
      </c>
      <c r="C2279" t="s">
        <v>129</v>
      </c>
      <c r="D2279" s="1" t="s">
        <v>109</v>
      </c>
      <c r="E2279" t="b">
        <v>0</v>
      </c>
      <c r="F2279">
        <v>133</v>
      </c>
      <c r="G2279">
        <v>304</v>
      </c>
      <c r="H2279" t="s">
        <v>11</v>
      </c>
      <c r="I2279" t="b" cm="1">
        <f t="array" ref="I2279">isDup(B2279,B2280, 0.7)</f>
        <v>0</v>
      </c>
    </row>
    <row r="2280" spans="1:9" ht="17" x14ac:dyDescent="0.2">
      <c r="A2280" t="s">
        <v>3051</v>
      </c>
      <c r="B2280" s="1" t="s">
        <v>3052</v>
      </c>
      <c r="C2280" t="s">
        <v>1044</v>
      </c>
      <c r="D2280" s="1" t="s">
        <v>562</v>
      </c>
      <c r="E2280" t="b">
        <v>1</v>
      </c>
      <c r="F2280">
        <v>12089</v>
      </c>
      <c r="G2280">
        <v>1635</v>
      </c>
      <c r="H2280" t="s">
        <v>11</v>
      </c>
      <c r="I2280" t="b" cm="1">
        <f t="array" ref="I2280">isDup(B2280,B2281, 0.7)</f>
        <v>0</v>
      </c>
    </row>
    <row r="2281" spans="1:9" ht="17" x14ac:dyDescent="0.2">
      <c r="A2281" t="s">
        <v>3450</v>
      </c>
      <c r="B2281" s="1" t="s">
        <v>3451</v>
      </c>
      <c r="C2281" t="s">
        <v>100</v>
      </c>
      <c r="D2281" s="1" t="s">
        <v>2</v>
      </c>
      <c r="E2281" t="b">
        <v>0</v>
      </c>
      <c r="F2281">
        <v>3</v>
      </c>
      <c r="G2281">
        <v>5</v>
      </c>
      <c r="H2281" t="s">
        <v>359</v>
      </c>
      <c r="I2281" t="b" cm="1">
        <f t="array" ref="I2281">isDup(B2281,B2282, 0.7)</f>
        <v>0</v>
      </c>
    </row>
    <row r="2282" spans="1:9" ht="17" x14ac:dyDescent="0.2">
      <c r="A2282" t="s">
        <v>4366</v>
      </c>
      <c r="B2282" s="1" t="s">
        <v>4367</v>
      </c>
      <c r="C2282" t="s">
        <v>1134</v>
      </c>
      <c r="D2282" s="1" t="s">
        <v>2</v>
      </c>
      <c r="E2282" t="b">
        <v>0</v>
      </c>
      <c r="F2282">
        <v>4537</v>
      </c>
      <c r="G2282">
        <v>398</v>
      </c>
      <c r="H2282" t="s">
        <v>11</v>
      </c>
      <c r="I2282" t="b" cm="1">
        <f t="array" ref="I2282">isDup(B2282,B2283, 0.7)</f>
        <v>0</v>
      </c>
    </row>
    <row r="2283" spans="1:9" ht="34" x14ac:dyDescent="0.2">
      <c r="A2283" t="s">
        <v>3831</v>
      </c>
      <c r="B2283" s="1" t="s">
        <v>3832</v>
      </c>
      <c r="C2283" t="s">
        <v>644</v>
      </c>
      <c r="D2283" s="1" t="s">
        <v>3833</v>
      </c>
      <c r="E2283" t="b">
        <v>0</v>
      </c>
      <c r="F2283">
        <v>67</v>
      </c>
      <c r="G2283">
        <v>189</v>
      </c>
      <c r="H2283" t="s">
        <v>11</v>
      </c>
      <c r="I2283" t="b" cm="1">
        <f t="array" ref="I2283">isDup(B2283,B2284, 0.7)</f>
        <v>0</v>
      </c>
    </row>
    <row r="2284" spans="1:9" ht="34" x14ac:dyDescent="0.2">
      <c r="A2284" t="s">
        <v>6135</v>
      </c>
      <c r="B2284" s="1" t="s">
        <v>6136</v>
      </c>
      <c r="C2284" t="s">
        <v>6137</v>
      </c>
      <c r="D2284" s="1" t="s">
        <v>6138</v>
      </c>
      <c r="E2284" t="b">
        <v>0</v>
      </c>
      <c r="F2284">
        <v>533</v>
      </c>
      <c r="G2284">
        <v>514</v>
      </c>
      <c r="H2284" t="s">
        <v>11</v>
      </c>
      <c r="I2284" t="b" cm="1">
        <f t="array" ref="I2284">isDup(B2284,B2285, 0.7)</f>
        <v>0</v>
      </c>
    </row>
    <row r="2285" spans="1:9" ht="17" x14ac:dyDescent="0.2">
      <c r="A2285" t="s">
        <v>6933</v>
      </c>
      <c r="B2285" s="1" t="s">
        <v>6934</v>
      </c>
      <c r="C2285" t="s">
        <v>5032</v>
      </c>
      <c r="D2285" s="1" t="s">
        <v>487</v>
      </c>
      <c r="E2285" t="b">
        <v>0</v>
      </c>
      <c r="F2285">
        <v>285</v>
      </c>
      <c r="G2285">
        <v>355</v>
      </c>
      <c r="H2285" t="s">
        <v>11</v>
      </c>
      <c r="I2285" t="b" cm="1">
        <f t="array" ref="I2285">isDup(B2285,B2286, 0.7)</f>
        <v>0</v>
      </c>
    </row>
    <row r="2286" spans="1:9" ht="17" x14ac:dyDescent="0.2">
      <c r="A2286" t="s">
        <v>6120</v>
      </c>
      <c r="B2286" s="1" t="s">
        <v>6121</v>
      </c>
      <c r="C2286" t="s">
        <v>1434</v>
      </c>
      <c r="D2286" s="1" t="s">
        <v>2</v>
      </c>
      <c r="E2286" t="b">
        <v>0</v>
      </c>
      <c r="F2286">
        <v>23830</v>
      </c>
      <c r="G2286">
        <v>973</v>
      </c>
      <c r="H2286" t="s">
        <v>11</v>
      </c>
      <c r="I2286" t="b" cm="1">
        <f t="array" ref="I2286">isDup(B2286,B2287, 0.7)</f>
        <v>0</v>
      </c>
    </row>
    <row r="2287" spans="1:9" ht="17" x14ac:dyDescent="0.2">
      <c r="A2287" t="s">
        <v>2107</v>
      </c>
      <c r="B2287" s="1" t="s">
        <v>2108</v>
      </c>
      <c r="C2287" t="s">
        <v>992</v>
      </c>
      <c r="D2287" s="1" t="s">
        <v>2109</v>
      </c>
      <c r="E2287" t="b">
        <v>0</v>
      </c>
      <c r="F2287">
        <v>3880</v>
      </c>
      <c r="G2287">
        <v>671</v>
      </c>
      <c r="H2287" t="s">
        <v>11</v>
      </c>
      <c r="I2287" t="b" cm="1">
        <f t="array" ref="I2287">isDup(B2287,B2288, 0.7)</f>
        <v>0</v>
      </c>
    </row>
    <row r="2288" spans="1:9" ht="17" x14ac:dyDescent="0.2">
      <c r="A2288" t="s">
        <v>2781</v>
      </c>
      <c r="B2288" s="1" t="s">
        <v>2782</v>
      </c>
      <c r="C2288" t="s">
        <v>522</v>
      </c>
      <c r="D2288" s="1" t="s">
        <v>2</v>
      </c>
      <c r="E2288" t="b">
        <v>0</v>
      </c>
      <c r="F2288">
        <v>2</v>
      </c>
      <c r="G2288">
        <v>137</v>
      </c>
      <c r="H2288" t="s">
        <v>641</v>
      </c>
      <c r="I2288" t="b" cm="1">
        <f t="array" ref="I2288">isDup(B2288,B2289, 0.7)</f>
        <v>0</v>
      </c>
    </row>
    <row r="2289" spans="1:9" ht="17" x14ac:dyDescent="0.2">
      <c r="A2289" t="s">
        <v>1489</v>
      </c>
      <c r="B2289" s="1" t="s">
        <v>1490</v>
      </c>
      <c r="C2289" t="s">
        <v>1448</v>
      </c>
      <c r="D2289" s="1" t="s">
        <v>1449</v>
      </c>
      <c r="E2289" t="b">
        <v>0</v>
      </c>
      <c r="F2289">
        <v>1100</v>
      </c>
      <c r="G2289">
        <v>512</v>
      </c>
      <c r="H2289" t="s">
        <v>11</v>
      </c>
      <c r="I2289" t="b" cm="1">
        <f t="array" ref="I2289">isDup(B2289,B2290, 0.7)</f>
        <v>0</v>
      </c>
    </row>
    <row r="2290" spans="1:9" ht="34" x14ac:dyDescent="0.2">
      <c r="A2290" t="s">
        <v>3110</v>
      </c>
      <c r="B2290" s="1" t="s">
        <v>3111</v>
      </c>
      <c r="C2290" t="s">
        <v>100</v>
      </c>
      <c r="D2290" s="1" t="s">
        <v>2</v>
      </c>
      <c r="E2290" t="b">
        <v>0</v>
      </c>
      <c r="F2290">
        <v>3</v>
      </c>
      <c r="G2290">
        <v>0</v>
      </c>
      <c r="H2290" t="s">
        <v>359</v>
      </c>
      <c r="I2290" t="b" cm="1">
        <f t="array" ref="I2290">isDup(B2290,B2291, 0.7)</f>
        <v>0</v>
      </c>
    </row>
    <row r="2291" spans="1:9" ht="17" x14ac:dyDescent="0.2">
      <c r="A2291" t="s">
        <v>6561</v>
      </c>
      <c r="B2291" s="1" t="s">
        <v>6562</v>
      </c>
      <c r="C2291" t="s">
        <v>4183</v>
      </c>
      <c r="D2291" s="1" t="s">
        <v>1023</v>
      </c>
      <c r="E2291" t="b">
        <v>0</v>
      </c>
      <c r="F2291">
        <v>46</v>
      </c>
      <c r="G2291">
        <v>142</v>
      </c>
      <c r="H2291" t="s">
        <v>11</v>
      </c>
      <c r="I2291" t="b" cm="1">
        <f t="array" ref="I2291">isDup(B2291,B2292, 0.7)</f>
        <v>0</v>
      </c>
    </row>
    <row r="2292" spans="1:9" ht="17" x14ac:dyDescent="0.2">
      <c r="A2292" t="s">
        <v>6299</v>
      </c>
      <c r="B2292" s="1" t="s">
        <v>6300</v>
      </c>
      <c r="C2292" t="s">
        <v>995</v>
      </c>
      <c r="D2292" s="1" t="s">
        <v>2</v>
      </c>
      <c r="E2292" t="b">
        <v>0</v>
      </c>
      <c r="F2292">
        <v>23</v>
      </c>
      <c r="G2292">
        <v>7</v>
      </c>
      <c r="H2292" t="s">
        <v>11</v>
      </c>
      <c r="I2292" t="b" cm="1">
        <f t="array" ref="I2292">isDup(B2292,B2293, 0.7)</f>
        <v>0</v>
      </c>
    </row>
    <row r="2293" spans="1:9" ht="17" x14ac:dyDescent="0.2">
      <c r="A2293" t="s">
        <v>5376</v>
      </c>
      <c r="B2293" s="1" t="s">
        <v>5377</v>
      </c>
      <c r="C2293" t="s">
        <v>5378</v>
      </c>
      <c r="D2293" s="1" t="s">
        <v>5379</v>
      </c>
      <c r="E2293" t="b">
        <v>0</v>
      </c>
      <c r="F2293">
        <v>377</v>
      </c>
      <c r="G2293">
        <v>1119</v>
      </c>
      <c r="H2293" t="s">
        <v>11</v>
      </c>
      <c r="I2293" t="b" cm="1">
        <f t="array" ref="I2293">isDup(B2293,B2294, 0.7)</f>
        <v>0</v>
      </c>
    </row>
    <row r="2294" spans="1:9" ht="17" x14ac:dyDescent="0.2">
      <c r="A2294" t="s">
        <v>4870</v>
      </c>
      <c r="B2294" s="1" t="s">
        <v>4871</v>
      </c>
      <c r="C2294" t="s">
        <v>4872</v>
      </c>
      <c r="D2294" s="1" t="s">
        <v>4873</v>
      </c>
      <c r="E2294" t="b">
        <v>0</v>
      </c>
      <c r="F2294">
        <v>90</v>
      </c>
      <c r="G2294">
        <v>447</v>
      </c>
      <c r="H2294" t="s">
        <v>11</v>
      </c>
      <c r="I2294" t="b" cm="1">
        <f t="array" ref="I2294">isDup(B2294,B2295, 0.7)</f>
        <v>0</v>
      </c>
    </row>
    <row r="2295" spans="1:9" ht="17" x14ac:dyDescent="0.2">
      <c r="A2295" t="s">
        <v>5779</v>
      </c>
      <c r="B2295" s="1" t="s">
        <v>5780</v>
      </c>
      <c r="C2295" t="s">
        <v>736</v>
      </c>
      <c r="D2295" s="1" t="s">
        <v>5781</v>
      </c>
      <c r="E2295" t="b">
        <v>1</v>
      </c>
      <c r="F2295">
        <v>172963</v>
      </c>
      <c r="G2295">
        <v>217</v>
      </c>
      <c r="H2295" t="s">
        <v>11</v>
      </c>
      <c r="I2295" t="b" cm="1">
        <f t="array" ref="I2295">isDup(B2295,B2296, 0.7)</f>
        <v>0</v>
      </c>
    </row>
    <row r="2296" spans="1:9" ht="17" x14ac:dyDescent="0.2">
      <c r="A2296" t="s">
        <v>5047</v>
      </c>
      <c r="B2296" s="1" t="s">
        <v>5048</v>
      </c>
      <c r="C2296" t="s">
        <v>1506</v>
      </c>
      <c r="D2296" s="1" t="s">
        <v>5049</v>
      </c>
      <c r="E2296" t="b">
        <v>0</v>
      </c>
      <c r="F2296">
        <v>136</v>
      </c>
      <c r="G2296">
        <v>115</v>
      </c>
      <c r="H2296" t="s">
        <v>11</v>
      </c>
      <c r="I2296" t="b" cm="1">
        <f t="array" ref="I2296">isDup(B2296,B2297, 0.7)</f>
        <v>0</v>
      </c>
    </row>
    <row r="2297" spans="1:9" ht="17" x14ac:dyDescent="0.2">
      <c r="A2297" t="s">
        <v>1357</v>
      </c>
      <c r="B2297" s="1" t="s">
        <v>1360</v>
      </c>
      <c r="C2297" t="s">
        <v>1361</v>
      </c>
      <c r="D2297" s="1" t="s">
        <v>1362</v>
      </c>
      <c r="E2297" t="b">
        <v>0</v>
      </c>
      <c r="F2297">
        <v>188</v>
      </c>
      <c r="G2297">
        <v>9</v>
      </c>
      <c r="H2297" t="s">
        <v>11</v>
      </c>
      <c r="I2297" t="b" cm="1">
        <f t="array" ref="I2297">isDup(B2297,B2298, 0.7)</f>
        <v>0</v>
      </c>
    </row>
    <row r="2298" spans="1:9" ht="17" x14ac:dyDescent="0.2">
      <c r="A2298" t="s">
        <v>1967</v>
      </c>
      <c r="B2298" s="1" t="s">
        <v>1968</v>
      </c>
      <c r="C2298" t="s">
        <v>1324</v>
      </c>
      <c r="D2298" s="1" t="s">
        <v>1969</v>
      </c>
      <c r="E2298" t="b">
        <v>0</v>
      </c>
      <c r="F2298">
        <v>30874</v>
      </c>
      <c r="G2298">
        <v>5408</v>
      </c>
      <c r="H2298" t="s">
        <v>11</v>
      </c>
      <c r="I2298" t="b" cm="1">
        <f t="array" ref="I2298">isDup(B2298,B2299, 0.7)</f>
        <v>0</v>
      </c>
    </row>
    <row r="2299" spans="1:9" ht="17" x14ac:dyDescent="0.2">
      <c r="A2299" t="s">
        <v>5802</v>
      </c>
      <c r="B2299" s="1" t="s">
        <v>5803</v>
      </c>
      <c r="C2299" t="s">
        <v>4082</v>
      </c>
      <c r="D2299" s="1" t="s">
        <v>2</v>
      </c>
      <c r="E2299" t="b">
        <v>0</v>
      </c>
      <c r="F2299">
        <v>2295</v>
      </c>
      <c r="G2299">
        <v>1650</v>
      </c>
      <c r="H2299" t="s">
        <v>11</v>
      </c>
      <c r="I2299" t="b" cm="1">
        <f t="array" ref="I2299">isDup(B2299,B2300, 0.7)</f>
        <v>0</v>
      </c>
    </row>
    <row r="2300" spans="1:9" ht="17" x14ac:dyDescent="0.2">
      <c r="A2300" t="s">
        <v>4880</v>
      </c>
      <c r="B2300" s="1" t="s">
        <v>4881</v>
      </c>
      <c r="C2300" t="s">
        <v>406</v>
      </c>
      <c r="D2300" s="1" t="s">
        <v>2099</v>
      </c>
      <c r="E2300" t="b">
        <v>0</v>
      </c>
      <c r="F2300">
        <v>12</v>
      </c>
      <c r="G2300">
        <v>104</v>
      </c>
      <c r="H2300" t="s">
        <v>11</v>
      </c>
      <c r="I2300" t="b" cm="1">
        <f t="array" ref="I2300">isDup(B2300,B2301, 0.7)</f>
        <v>0</v>
      </c>
    </row>
    <row r="2301" spans="1:9" ht="17" x14ac:dyDescent="0.2">
      <c r="A2301" t="s">
        <v>6196</v>
      </c>
      <c r="B2301" s="1" t="s">
        <v>6197</v>
      </c>
      <c r="C2301" t="s">
        <v>564</v>
      </c>
      <c r="D2301" s="1" t="s">
        <v>2</v>
      </c>
      <c r="E2301" t="b">
        <v>0</v>
      </c>
      <c r="F2301">
        <v>46</v>
      </c>
      <c r="G2301">
        <v>83</v>
      </c>
      <c r="H2301" t="s">
        <v>11</v>
      </c>
      <c r="I2301" t="b" cm="1">
        <f t="array" ref="I2301">isDup(B2301,B2302, 0.7)</f>
        <v>0</v>
      </c>
    </row>
    <row r="2302" spans="1:9" ht="17" x14ac:dyDescent="0.2">
      <c r="A2302" t="s">
        <v>12</v>
      </c>
      <c r="B2302" s="1" t="s">
        <v>13</v>
      </c>
      <c r="C2302" t="s">
        <v>14</v>
      </c>
      <c r="D2302" s="1" t="s">
        <v>15</v>
      </c>
      <c r="E2302" t="b">
        <v>0</v>
      </c>
      <c r="F2302">
        <v>1996</v>
      </c>
      <c r="G2302">
        <v>1967</v>
      </c>
      <c r="H2302" t="s">
        <v>11</v>
      </c>
      <c r="I2302" t="b" cm="1">
        <f t="array" ref="I2302">isDup(B2302,B2303, 0.7)</f>
        <v>0</v>
      </c>
    </row>
    <row r="2303" spans="1:9" ht="17" x14ac:dyDescent="0.2">
      <c r="A2303" t="s">
        <v>5326</v>
      </c>
      <c r="B2303" s="1" t="s">
        <v>5327</v>
      </c>
      <c r="C2303" t="s">
        <v>1148</v>
      </c>
      <c r="D2303" s="1" t="s">
        <v>2</v>
      </c>
      <c r="E2303" t="b">
        <v>0</v>
      </c>
      <c r="F2303">
        <v>12352</v>
      </c>
      <c r="G2303">
        <v>539</v>
      </c>
      <c r="H2303" t="s">
        <v>11</v>
      </c>
      <c r="I2303" t="b" cm="1">
        <f t="array" ref="I2303">isDup(B2303,B2304, 0.7)</f>
        <v>0</v>
      </c>
    </row>
    <row r="2304" spans="1:9" ht="17" x14ac:dyDescent="0.2">
      <c r="A2304" t="s">
        <v>1691</v>
      </c>
      <c r="B2304" s="1" t="s">
        <v>1692</v>
      </c>
      <c r="C2304" t="s">
        <v>1693</v>
      </c>
      <c r="D2304" s="1" t="s">
        <v>1694</v>
      </c>
      <c r="E2304" t="b">
        <v>0</v>
      </c>
      <c r="F2304">
        <v>516</v>
      </c>
      <c r="G2304">
        <v>499</v>
      </c>
      <c r="H2304" t="s">
        <v>11</v>
      </c>
      <c r="I2304" t="b" cm="1">
        <f t="array" ref="I2304">isDup(B2304,B2305, 0.7)</f>
        <v>0</v>
      </c>
    </row>
    <row r="2305" spans="1:9" ht="17" x14ac:dyDescent="0.2">
      <c r="A2305" t="s">
        <v>6159</v>
      </c>
      <c r="B2305" s="1" t="s">
        <v>6160</v>
      </c>
      <c r="C2305" t="s">
        <v>564</v>
      </c>
      <c r="D2305" s="1" t="s">
        <v>2</v>
      </c>
      <c r="E2305" t="b">
        <v>0</v>
      </c>
      <c r="F2305">
        <v>46</v>
      </c>
      <c r="G2305">
        <v>83</v>
      </c>
      <c r="H2305" t="s">
        <v>11</v>
      </c>
      <c r="I2305" t="b" cm="1">
        <f t="array" ref="I2305">isDup(B2305,B2306, 0.7)</f>
        <v>0</v>
      </c>
    </row>
    <row r="2306" spans="1:9" ht="17" x14ac:dyDescent="0.2">
      <c r="A2306" t="s">
        <v>6208</v>
      </c>
      <c r="B2306" s="1" t="s">
        <v>6209</v>
      </c>
      <c r="C2306" t="s">
        <v>3848</v>
      </c>
      <c r="D2306" s="1" t="s">
        <v>1348</v>
      </c>
      <c r="E2306" t="b">
        <v>0</v>
      </c>
      <c r="F2306">
        <v>123</v>
      </c>
      <c r="G2306">
        <v>188</v>
      </c>
      <c r="H2306" t="s">
        <v>122</v>
      </c>
      <c r="I2306" t="b" cm="1">
        <f t="array" ref="I2306">isDup(B2306,B2307, 0.7)</f>
        <v>0</v>
      </c>
    </row>
    <row r="2307" spans="1:9" ht="34" x14ac:dyDescent="0.2">
      <c r="A2307" t="s">
        <v>7120</v>
      </c>
      <c r="B2307" s="1" t="s">
        <v>7121</v>
      </c>
      <c r="C2307" t="s">
        <v>7122</v>
      </c>
      <c r="D2307" s="1" t="s">
        <v>7123</v>
      </c>
      <c r="E2307" t="b">
        <v>0</v>
      </c>
      <c r="F2307">
        <v>42</v>
      </c>
      <c r="G2307">
        <v>22</v>
      </c>
      <c r="H2307" t="s">
        <v>11</v>
      </c>
      <c r="I2307" t="b" cm="1">
        <f t="array" ref="I2307">isDup(B2307,B2308, 0.7)</f>
        <v>0</v>
      </c>
    </row>
    <row r="2308" spans="1:9" ht="17" x14ac:dyDescent="0.2">
      <c r="A2308" t="s">
        <v>5851</v>
      </c>
      <c r="B2308" s="1" t="s">
        <v>5852</v>
      </c>
      <c r="C2308" t="s">
        <v>34</v>
      </c>
      <c r="D2308" s="1" t="s">
        <v>5853</v>
      </c>
      <c r="E2308" t="b">
        <v>0</v>
      </c>
      <c r="F2308">
        <v>3250</v>
      </c>
      <c r="G2308">
        <v>1002</v>
      </c>
      <c r="H2308" t="s">
        <v>11</v>
      </c>
      <c r="I2308" t="b" cm="1">
        <f t="array" ref="I2308">isDup(B2308,B2309, 0.7)</f>
        <v>0</v>
      </c>
    </row>
    <row r="2309" spans="1:9" ht="17" x14ac:dyDescent="0.2">
      <c r="A2309" t="s">
        <v>3551</v>
      </c>
      <c r="B2309" s="1" t="s">
        <v>3552</v>
      </c>
      <c r="C2309" t="s">
        <v>3553</v>
      </c>
      <c r="D2309" s="1" t="s">
        <v>2</v>
      </c>
      <c r="E2309" t="b">
        <v>0</v>
      </c>
      <c r="F2309">
        <v>58</v>
      </c>
      <c r="G2309">
        <v>32</v>
      </c>
      <c r="H2309" t="s">
        <v>11</v>
      </c>
      <c r="I2309" t="b" cm="1">
        <f t="array" ref="I2309">isDup(B2309,B2310, 0.7)</f>
        <v>0</v>
      </c>
    </row>
    <row r="2310" spans="1:9" ht="34" x14ac:dyDescent="0.2">
      <c r="A2310" t="s">
        <v>1349</v>
      </c>
      <c r="B2310" s="1" t="s">
        <v>1350</v>
      </c>
      <c r="C2310" t="s">
        <v>557</v>
      </c>
      <c r="D2310" s="1" t="s">
        <v>659</v>
      </c>
      <c r="E2310" t="b">
        <v>0</v>
      </c>
      <c r="F2310">
        <v>222</v>
      </c>
      <c r="G2310">
        <v>793</v>
      </c>
      <c r="H2310" t="s">
        <v>11</v>
      </c>
      <c r="I2310" t="b" cm="1">
        <f t="array" ref="I2310">isDup(B2310,B2311, 0.7)</f>
        <v>0</v>
      </c>
    </row>
    <row r="2311" spans="1:9" ht="17" x14ac:dyDescent="0.2">
      <c r="A2311" t="s">
        <v>2337</v>
      </c>
      <c r="B2311" s="1" t="s">
        <v>2338</v>
      </c>
      <c r="C2311" t="s">
        <v>1015</v>
      </c>
      <c r="D2311" s="1" t="s">
        <v>2339</v>
      </c>
      <c r="E2311" t="b">
        <v>0</v>
      </c>
      <c r="F2311">
        <v>98</v>
      </c>
      <c r="G2311">
        <v>134</v>
      </c>
      <c r="H2311" t="s">
        <v>11</v>
      </c>
      <c r="I2311" t="b" cm="1">
        <f t="array" ref="I2311">isDup(B2311,B2312, 0.7)</f>
        <v>0</v>
      </c>
    </row>
    <row r="2312" spans="1:9" ht="17" x14ac:dyDescent="0.2">
      <c r="A2312" t="s">
        <v>6848</v>
      </c>
      <c r="B2312" s="1" t="s">
        <v>6849</v>
      </c>
      <c r="C2312" t="s">
        <v>2729</v>
      </c>
      <c r="D2312" s="1" t="s">
        <v>2</v>
      </c>
      <c r="E2312" t="b">
        <v>0</v>
      </c>
      <c r="F2312">
        <v>526</v>
      </c>
      <c r="G2312">
        <v>568</v>
      </c>
      <c r="H2312" t="s">
        <v>11</v>
      </c>
      <c r="I2312" t="b" cm="1">
        <f t="array" ref="I2312">isDup(B2312,B2313, 0.7)</f>
        <v>0</v>
      </c>
    </row>
    <row r="2313" spans="1:9" ht="17" x14ac:dyDescent="0.2">
      <c r="A2313" t="s">
        <v>5998</v>
      </c>
      <c r="B2313" s="1" t="s">
        <v>5999</v>
      </c>
      <c r="C2313" t="s">
        <v>682</v>
      </c>
      <c r="D2313" s="1" t="s">
        <v>6000</v>
      </c>
      <c r="E2313" t="b">
        <v>0</v>
      </c>
      <c r="F2313">
        <v>34</v>
      </c>
      <c r="G2313">
        <v>225</v>
      </c>
      <c r="H2313" t="s">
        <v>11</v>
      </c>
      <c r="I2313" t="b" cm="1">
        <f t="array" ref="I2313">isDup(B2313,B2314, 0.7)</f>
        <v>0</v>
      </c>
    </row>
    <row r="2314" spans="1:9" ht="17" x14ac:dyDescent="0.2">
      <c r="A2314" t="s">
        <v>2913</v>
      </c>
      <c r="B2314" s="1" t="s">
        <v>2914</v>
      </c>
      <c r="C2314" t="s">
        <v>2915</v>
      </c>
      <c r="D2314" s="1" t="s">
        <v>1844</v>
      </c>
      <c r="E2314" t="b">
        <v>0</v>
      </c>
      <c r="F2314">
        <v>1415</v>
      </c>
      <c r="G2314">
        <v>472</v>
      </c>
      <c r="H2314" t="s">
        <v>11</v>
      </c>
      <c r="I2314" t="b" cm="1">
        <f t="array" ref="I2314">isDup(B2314,B2315, 0.7)</f>
        <v>0</v>
      </c>
    </row>
    <row r="2315" spans="1:9" ht="34" x14ac:dyDescent="0.2">
      <c r="A2315" t="s">
        <v>780</v>
      </c>
      <c r="B2315" s="1" t="s">
        <v>781</v>
      </c>
      <c r="C2315" t="s">
        <v>782</v>
      </c>
      <c r="D2315" s="1" t="s">
        <v>2</v>
      </c>
      <c r="E2315" t="b">
        <v>0</v>
      </c>
      <c r="F2315">
        <v>17</v>
      </c>
      <c r="G2315">
        <v>167</v>
      </c>
      <c r="H2315" t="s">
        <v>11</v>
      </c>
      <c r="I2315" t="b" cm="1">
        <f t="array" ref="I2315">isDup(B2315,B2316, 0.7)</f>
        <v>0</v>
      </c>
    </row>
    <row r="2316" spans="1:9" ht="17" x14ac:dyDescent="0.2">
      <c r="A2316" t="s">
        <v>3958</v>
      </c>
      <c r="B2316" s="1" t="s">
        <v>3959</v>
      </c>
      <c r="C2316" t="s">
        <v>1099</v>
      </c>
      <c r="D2316" s="1" t="s">
        <v>2167</v>
      </c>
      <c r="E2316" t="b">
        <v>0</v>
      </c>
      <c r="F2316">
        <v>5</v>
      </c>
      <c r="G2316">
        <v>24</v>
      </c>
      <c r="H2316" t="s">
        <v>11</v>
      </c>
      <c r="I2316" t="b" cm="1">
        <f t="array" ref="I2316">isDup(B2316,B2317, 0.7)</f>
        <v>0</v>
      </c>
    </row>
    <row r="2317" spans="1:9" ht="17" x14ac:dyDescent="0.2">
      <c r="A2317" t="s">
        <v>213</v>
      </c>
      <c r="B2317" s="1" t="s">
        <v>214</v>
      </c>
      <c r="C2317" t="s">
        <v>215</v>
      </c>
      <c r="D2317" s="1" t="s">
        <v>216</v>
      </c>
      <c r="E2317" t="b">
        <v>0</v>
      </c>
      <c r="F2317">
        <v>61</v>
      </c>
      <c r="G2317">
        <v>121</v>
      </c>
      <c r="H2317" t="s">
        <v>11</v>
      </c>
      <c r="I2317" t="b" cm="1">
        <f t="array" ref="I2317">isDup(B2317,B2318, 0.7)</f>
        <v>0</v>
      </c>
    </row>
    <row r="2318" spans="1:9" ht="34" x14ac:dyDescent="0.2">
      <c r="A2318" t="s">
        <v>4716</v>
      </c>
      <c r="B2318" s="1" t="s">
        <v>4717</v>
      </c>
      <c r="C2318" t="s">
        <v>4718</v>
      </c>
      <c r="D2318" s="1" t="s">
        <v>3814</v>
      </c>
      <c r="E2318" t="b">
        <v>0</v>
      </c>
      <c r="F2318">
        <v>90</v>
      </c>
      <c r="G2318">
        <v>444</v>
      </c>
      <c r="H2318" t="s">
        <v>11</v>
      </c>
      <c r="I2318" t="b" cm="1">
        <f t="array" ref="I2318">isDup(B2318,B2319, 0.7)</f>
        <v>0</v>
      </c>
    </row>
    <row r="2319" spans="1:9" ht="34" x14ac:dyDescent="0.2">
      <c r="A2319" t="s">
        <v>6088</v>
      </c>
      <c r="B2319" s="1" t="s">
        <v>6089</v>
      </c>
      <c r="C2319" t="s">
        <v>1287</v>
      </c>
      <c r="D2319" s="1" t="s">
        <v>6090</v>
      </c>
      <c r="E2319" t="b">
        <v>0</v>
      </c>
      <c r="F2319">
        <v>118</v>
      </c>
      <c r="G2319">
        <v>180</v>
      </c>
      <c r="H2319" t="s">
        <v>11</v>
      </c>
      <c r="I2319" t="b" cm="1">
        <f t="array" ref="I2319">isDup(B2319,B2320, 0.7)</f>
        <v>0</v>
      </c>
    </row>
    <row r="2320" spans="1:9" ht="17" x14ac:dyDescent="0.2">
      <c r="A2320" t="s">
        <v>1922</v>
      </c>
      <c r="B2320" s="1" t="s">
        <v>1923</v>
      </c>
      <c r="C2320" t="s">
        <v>1924</v>
      </c>
      <c r="D2320" s="1" t="s">
        <v>2</v>
      </c>
      <c r="E2320" t="b">
        <v>0</v>
      </c>
      <c r="F2320">
        <v>5841</v>
      </c>
      <c r="G2320">
        <v>5841</v>
      </c>
      <c r="H2320" t="s">
        <v>3</v>
      </c>
      <c r="I2320" t="b" cm="1">
        <f t="array" ref="I2320">isDup(B2320,B2321, 0.7)</f>
        <v>0</v>
      </c>
    </row>
    <row r="2321" spans="1:9" ht="17" x14ac:dyDescent="0.2">
      <c r="A2321" t="s">
        <v>503</v>
      </c>
      <c r="B2321" s="1" t="s">
        <v>504</v>
      </c>
      <c r="C2321" t="s">
        <v>505</v>
      </c>
      <c r="D2321" s="1" t="s">
        <v>506</v>
      </c>
      <c r="E2321" t="b">
        <v>0</v>
      </c>
      <c r="F2321">
        <v>95</v>
      </c>
      <c r="G2321">
        <v>285</v>
      </c>
      <c r="H2321" t="s">
        <v>11</v>
      </c>
      <c r="I2321" t="b" cm="1">
        <f t="array" ref="I2321">isDup(B2321,B2322, 0.7)</f>
        <v>0</v>
      </c>
    </row>
    <row r="2322" spans="1:9" ht="17" x14ac:dyDescent="0.2">
      <c r="A2322" t="s">
        <v>3463</v>
      </c>
      <c r="B2322" s="1" t="s">
        <v>3464</v>
      </c>
      <c r="C2322" t="s">
        <v>2087</v>
      </c>
      <c r="D2322" s="1" t="s">
        <v>2</v>
      </c>
      <c r="E2322" t="b">
        <v>0</v>
      </c>
      <c r="F2322">
        <v>85</v>
      </c>
      <c r="G2322">
        <v>14</v>
      </c>
      <c r="H2322" t="s">
        <v>11</v>
      </c>
      <c r="I2322" t="b" cm="1">
        <f t="array" ref="I2322">isDup(B2322,B2323, 0.7)</f>
        <v>0</v>
      </c>
    </row>
    <row r="2323" spans="1:9" ht="17" x14ac:dyDescent="0.2">
      <c r="A2323" t="s">
        <v>1577</v>
      </c>
      <c r="B2323" s="1" t="s">
        <v>1578</v>
      </c>
      <c r="C2323" t="s">
        <v>1579</v>
      </c>
      <c r="D2323" s="1" t="s">
        <v>2</v>
      </c>
      <c r="E2323" t="b">
        <v>0</v>
      </c>
      <c r="F2323">
        <v>57</v>
      </c>
      <c r="G2323">
        <v>108</v>
      </c>
      <c r="H2323" t="s">
        <v>1580</v>
      </c>
      <c r="I2323" t="b" cm="1">
        <f t="array" ref="I2323">isDup(B2323,B2324, 0.7)</f>
        <v>0</v>
      </c>
    </row>
    <row r="2324" spans="1:9" ht="17" x14ac:dyDescent="0.2">
      <c r="A2324" t="s">
        <v>1655</v>
      </c>
      <c r="B2324" s="1" t="s">
        <v>1656</v>
      </c>
      <c r="C2324" t="s">
        <v>1657</v>
      </c>
      <c r="D2324" s="1" t="s">
        <v>2</v>
      </c>
      <c r="E2324" t="b">
        <v>0</v>
      </c>
      <c r="F2324">
        <v>97</v>
      </c>
      <c r="G2324">
        <v>727</v>
      </c>
      <c r="H2324" t="s">
        <v>11</v>
      </c>
      <c r="I2324" t="b" cm="1">
        <f t="array" ref="I2324">isDup(B2324,B2325, 0.7)</f>
        <v>0</v>
      </c>
    </row>
    <row r="2325" spans="1:9" ht="34" x14ac:dyDescent="0.2">
      <c r="A2325" t="s">
        <v>964</v>
      </c>
      <c r="B2325" s="1" t="s">
        <v>965</v>
      </c>
      <c r="C2325" t="s">
        <v>564</v>
      </c>
      <c r="D2325" s="1" t="s">
        <v>2</v>
      </c>
      <c r="E2325" t="b">
        <v>0</v>
      </c>
      <c r="F2325">
        <v>7</v>
      </c>
      <c r="G2325">
        <v>78</v>
      </c>
      <c r="H2325" t="s">
        <v>11</v>
      </c>
      <c r="I2325" t="b" cm="1">
        <f t="array" ref="I2325">isDup(B2325,B2326, 0.7)</f>
        <v>0</v>
      </c>
    </row>
    <row r="2326" spans="1:9" ht="34" x14ac:dyDescent="0.2">
      <c r="A2326" t="s">
        <v>7073</v>
      </c>
      <c r="B2326" s="1" t="s">
        <v>7074</v>
      </c>
      <c r="C2326" t="s">
        <v>271</v>
      </c>
      <c r="D2326" s="1" t="s">
        <v>3570</v>
      </c>
      <c r="E2326" t="b">
        <v>0</v>
      </c>
      <c r="F2326">
        <v>3338</v>
      </c>
      <c r="G2326">
        <v>463</v>
      </c>
      <c r="H2326" t="s">
        <v>11</v>
      </c>
      <c r="I2326" t="b" cm="1">
        <f t="array" ref="I2326">isDup(B2326,B2327, 0.7)</f>
        <v>0</v>
      </c>
    </row>
    <row r="2327" spans="1:9" ht="17" x14ac:dyDescent="0.2">
      <c r="A2327" t="s">
        <v>3268</v>
      </c>
      <c r="B2327" s="1" t="s">
        <v>3269</v>
      </c>
      <c r="C2327" t="s">
        <v>3244</v>
      </c>
      <c r="D2327" s="1" t="s">
        <v>3270</v>
      </c>
      <c r="E2327" t="b">
        <v>0</v>
      </c>
      <c r="F2327">
        <v>5950</v>
      </c>
      <c r="G2327">
        <v>5955</v>
      </c>
      <c r="H2327" t="s">
        <v>11</v>
      </c>
      <c r="I2327" t="b" cm="1">
        <f t="array" ref="I2327">isDup(B2327,B2328, 0.7)</f>
        <v>0</v>
      </c>
    </row>
    <row r="2328" spans="1:9" ht="17" x14ac:dyDescent="0.2">
      <c r="A2328" t="s">
        <v>6269</v>
      </c>
      <c r="B2328" s="1" t="s">
        <v>6270</v>
      </c>
      <c r="C2328" t="s">
        <v>6271</v>
      </c>
      <c r="D2328" s="1" t="s">
        <v>1932</v>
      </c>
      <c r="E2328" t="b">
        <v>0</v>
      </c>
      <c r="F2328">
        <v>42</v>
      </c>
      <c r="G2328">
        <v>162</v>
      </c>
      <c r="H2328" t="s">
        <v>11</v>
      </c>
      <c r="I2328" t="b" cm="1">
        <f t="array" ref="I2328">isDup(B2328,B2329, 0.7)</f>
        <v>0</v>
      </c>
    </row>
    <row r="2329" spans="1:9" ht="34" x14ac:dyDescent="0.2">
      <c r="A2329" t="s">
        <v>7057</v>
      </c>
      <c r="B2329" s="1" t="s">
        <v>7058</v>
      </c>
      <c r="C2329" t="s">
        <v>7059</v>
      </c>
      <c r="D2329" s="1" t="s">
        <v>7060</v>
      </c>
      <c r="E2329" t="b">
        <v>0</v>
      </c>
      <c r="F2329">
        <v>64</v>
      </c>
      <c r="G2329">
        <v>110</v>
      </c>
      <c r="H2329" t="s">
        <v>11</v>
      </c>
      <c r="I2329" t="b" cm="1">
        <f t="array" ref="I2329">isDup(B2329,B2330, 0.7)</f>
        <v>0</v>
      </c>
    </row>
    <row r="2330" spans="1:9" ht="17" x14ac:dyDescent="0.2">
      <c r="A2330" t="s">
        <v>3983</v>
      </c>
      <c r="B2330" s="1" t="s">
        <v>3984</v>
      </c>
      <c r="C2330" t="s">
        <v>3985</v>
      </c>
      <c r="D2330" s="1" t="s">
        <v>487</v>
      </c>
      <c r="E2330" t="b">
        <v>0</v>
      </c>
      <c r="F2330">
        <v>857</v>
      </c>
      <c r="G2330">
        <v>906</v>
      </c>
      <c r="H2330" t="s">
        <v>11</v>
      </c>
      <c r="I2330" t="b" cm="1">
        <f t="array" ref="I2330">isDup(B2330,B2331, 0.7)</f>
        <v>0</v>
      </c>
    </row>
    <row r="2331" spans="1:9" ht="17" x14ac:dyDescent="0.2">
      <c r="A2331" t="s">
        <v>896</v>
      </c>
      <c r="B2331" s="1" t="s">
        <v>897</v>
      </c>
      <c r="C2331" t="s">
        <v>898</v>
      </c>
      <c r="D2331" s="1" t="s">
        <v>2</v>
      </c>
      <c r="E2331" t="b">
        <v>0</v>
      </c>
      <c r="F2331">
        <v>71</v>
      </c>
      <c r="G2331">
        <v>39</v>
      </c>
      <c r="H2331" t="s">
        <v>11</v>
      </c>
      <c r="I2331" t="b" cm="1">
        <f t="array" ref="I2331">isDup(B2331,B2332, 0.7)</f>
        <v>0</v>
      </c>
    </row>
    <row r="2332" spans="1:9" ht="17" x14ac:dyDescent="0.2">
      <c r="A2332" t="s">
        <v>5514</v>
      </c>
      <c r="B2332" s="1" t="s">
        <v>5515</v>
      </c>
      <c r="C2332" t="s">
        <v>319</v>
      </c>
      <c r="D2332" s="1" t="s">
        <v>5516</v>
      </c>
      <c r="E2332" t="b">
        <v>0</v>
      </c>
      <c r="F2332">
        <v>88</v>
      </c>
      <c r="G2332">
        <v>94</v>
      </c>
      <c r="H2332" t="s">
        <v>11</v>
      </c>
      <c r="I2332" t="b" cm="1">
        <f t="array" ref="I2332">isDup(B2332,B2333, 0.7)</f>
        <v>0</v>
      </c>
    </row>
    <row r="2333" spans="1:9" ht="34" x14ac:dyDescent="0.2">
      <c r="A2333" t="s">
        <v>6652</v>
      </c>
      <c r="B2333" s="1" t="s">
        <v>6653</v>
      </c>
      <c r="C2333" t="s">
        <v>6654</v>
      </c>
      <c r="D2333" s="1" t="s">
        <v>5142</v>
      </c>
      <c r="E2333" t="b">
        <v>0</v>
      </c>
      <c r="F2333">
        <v>302</v>
      </c>
      <c r="G2333">
        <v>383</v>
      </c>
      <c r="H2333" t="s">
        <v>11</v>
      </c>
      <c r="I2333" t="b" cm="1">
        <f t="array" ref="I2333">isDup(B2333,B2334, 0.7)</f>
        <v>0</v>
      </c>
    </row>
    <row r="2334" spans="1:9" ht="17" x14ac:dyDescent="0.2">
      <c r="A2334" t="s">
        <v>447</v>
      </c>
      <c r="B2334" s="1" t="s">
        <v>448</v>
      </c>
      <c r="C2334" t="s">
        <v>449</v>
      </c>
      <c r="D2334" s="1" t="s">
        <v>2</v>
      </c>
      <c r="E2334" t="b">
        <v>0</v>
      </c>
      <c r="F2334">
        <v>145</v>
      </c>
      <c r="G2334">
        <v>493</v>
      </c>
      <c r="H2334" t="s">
        <v>359</v>
      </c>
      <c r="I2334" t="b" cm="1">
        <f t="array" ref="I2334">isDup(B2334,B2335, 0.7)</f>
        <v>0</v>
      </c>
    </row>
    <row r="2335" spans="1:9" ht="17" x14ac:dyDescent="0.2">
      <c r="A2335" t="s">
        <v>3739</v>
      </c>
      <c r="B2335" s="1" t="s">
        <v>3740</v>
      </c>
      <c r="C2335" t="s">
        <v>402</v>
      </c>
      <c r="D2335" s="1" t="s">
        <v>2</v>
      </c>
      <c r="E2335" t="b">
        <v>0</v>
      </c>
      <c r="F2335">
        <v>340</v>
      </c>
      <c r="G2335">
        <v>115</v>
      </c>
      <c r="H2335" t="s">
        <v>11</v>
      </c>
      <c r="I2335" t="b" cm="1">
        <f t="array" ref="I2335">isDup(B2335,B2336, 0.7)</f>
        <v>0</v>
      </c>
    </row>
    <row r="2336" spans="1:9" ht="17" x14ac:dyDescent="0.2">
      <c r="A2336" t="s">
        <v>6661</v>
      </c>
      <c r="B2336" s="1" t="s">
        <v>6662</v>
      </c>
      <c r="C2336" t="s">
        <v>6663</v>
      </c>
      <c r="D2336" s="1" t="s">
        <v>6664</v>
      </c>
      <c r="E2336" t="b">
        <v>0</v>
      </c>
      <c r="F2336">
        <v>485</v>
      </c>
      <c r="G2336">
        <v>478</v>
      </c>
      <c r="H2336" t="s">
        <v>11</v>
      </c>
      <c r="I2336" t="b" cm="1">
        <f t="array" ref="I2336">isDup(B2336,B2337, 0.7)</f>
        <v>0</v>
      </c>
    </row>
    <row r="2337" spans="1:9" ht="34" x14ac:dyDescent="0.2">
      <c r="A2337" t="s">
        <v>972</v>
      </c>
      <c r="B2337" s="1" t="s">
        <v>973</v>
      </c>
      <c r="C2337" t="s">
        <v>974</v>
      </c>
      <c r="D2337" s="1" t="s">
        <v>487</v>
      </c>
      <c r="E2337" t="b">
        <v>0</v>
      </c>
      <c r="F2337">
        <v>714</v>
      </c>
      <c r="G2337">
        <v>2458</v>
      </c>
      <c r="H2337" t="s">
        <v>11</v>
      </c>
      <c r="I2337" t="b" cm="1">
        <f t="array" ref="I2337">isDup(B2337,B2338, 0.7)</f>
        <v>0</v>
      </c>
    </row>
    <row r="2338" spans="1:9" ht="34" x14ac:dyDescent="0.2">
      <c r="A2338" t="s">
        <v>198</v>
      </c>
      <c r="B2338" s="1" t="s">
        <v>199</v>
      </c>
      <c r="C2338" t="s">
        <v>200</v>
      </c>
      <c r="D2338" s="1" t="s">
        <v>201</v>
      </c>
      <c r="E2338" t="b">
        <v>0</v>
      </c>
      <c r="F2338">
        <v>147</v>
      </c>
      <c r="G2338">
        <v>335</v>
      </c>
      <c r="H2338" t="s">
        <v>11</v>
      </c>
      <c r="I2338" t="b" cm="1">
        <f t="array" ref="I2338">isDup(B2338,B2339, 0.7)</f>
        <v>0</v>
      </c>
    </row>
    <row r="2339" spans="1:9" ht="17" x14ac:dyDescent="0.2">
      <c r="A2339" t="s">
        <v>2369</v>
      </c>
      <c r="B2339" s="1" t="s">
        <v>2370</v>
      </c>
      <c r="C2339" t="s">
        <v>2371</v>
      </c>
      <c r="D2339" s="1" t="s">
        <v>2372</v>
      </c>
      <c r="E2339" t="b">
        <v>0</v>
      </c>
      <c r="F2339">
        <v>73</v>
      </c>
      <c r="G2339">
        <v>113</v>
      </c>
      <c r="H2339" t="s">
        <v>11</v>
      </c>
      <c r="I2339" t="b" cm="1">
        <f t="array" ref="I2339">isDup(B2339,B2340, 0.7)</f>
        <v>0</v>
      </c>
    </row>
    <row r="2340" spans="1:9" ht="17" x14ac:dyDescent="0.2">
      <c r="A2340" t="s">
        <v>3214</v>
      </c>
      <c r="B2340" s="1" t="s">
        <v>3215</v>
      </c>
      <c r="C2340" t="s">
        <v>3216</v>
      </c>
      <c r="D2340" s="1" t="s">
        <v>3217</v>
      </c>
      <c r="E2340" t="b">
        <v>0</v>
      </c>
      <c r="F2340">
        <v>1259</v>
      </c>
      <c r="G2340">
        <v>726</v>
      </c>
      <c r="H2340" t="s">
        <v>73</v>
      </c>
      <c r="I2340" t="b" cm="1">
        <f t="array" ref="I2340">isDup(B2340,B2341, 0.7)</f>
        <v>0</v>
      </c>
    </row>
    <row r="2341" spans="1:9" ht="17" x14ac:dyDescent="0.2">
      <c r="A2341" t="s">
        <v>1322</v>
      </c>
      <c r="B2341" s="1" t="s">
        <v>1323</v>
      </c>
      <c r="C2341" t="s">
        <v>1324</v>
      </c>
      <c r="D2341" s="1" t="s">
        <v>2</v>
      </c>
      <c r="E2341" t="b">
        <v>0</v>
      </c>
      <c r="F2341">
        <v>50</v>
      </c>
      <c r="G2341">
        <v>45</v>
      </c>
      <c r="H2341" t="s">
        <v>11</v>
      </c>
      <c r="I2341" t="b" cm="1">
        <f t="array" ref="I2341">isDup(B2341,B2342, 0.7)</f>
        <v>0</v>
      </c>
    </row>
    <row r="2342" spans="1:9" ht="34" x14ac:dyDescent="0.2">
      <c r="A2342" t="s">
        <v>662</v>
      </c>
      <c r="B2342" s="1" t="s">
        <v>663</v>
      </c>
      <c r="C2342" t="s">
        <v>181</v>
      </c>
      <c r="D2342" s="1" t="s">
        <v>664</v>
      </c>
      <c r="E2342" t="b">
        <v>1</v>
      </c>
      <c r="F2342">
        <v>46227</v>
      </c>
      <c r="G2342">
        <v>2125</v>
      </c>
      <c r="H2342" t="s">
        <v>11</v>
      </c>
      <c r="I2342" t="b" cm="1">
        <f t="array" ref="I2342">isDup(B2342,B2343, 0.7)</f>
        <v>0</v>
      </c>
    </row>
    <row r="2343" spans="1:9" ht="17" x14ac:dyDescent="0.2">
      <c r="A2343" t="s">
        <v>1941</v>
      </c>
      <c r="B2343" s="1" t="s">
        <v>1942</v>
      </c>
      <c r="C2343" t="s">
        <v>1943</v>
      </c>
      <c r="D2343" s="1" t="s">
        <v>1348</v>
      </c>
      <c r="E2343" t="b">
        <v>0</v>
      </c>
      <c r="F2343">
        <v>6738</v>
      </c>
      <c r="G2343">
        <v>7165</v>
      </c>
      <c r="H2343" t="s">
        <v>3</v>
      </c>
      <c r="I2343" t="b" cm="1">
        <f t="array" ref="I2343">isDup(B2343,B2344, 0.7)</f>
        <v>0</v>
      </c>
    </row>
    <row r="2344" spans="1:9" ht="17" x14ac:dyDescent="0.2">
      <c r="A2344" t="s">
        <v>3821</v>
      </c>
      <c r="B2344" s="1" t="s">
        <v>3822</v>
      </c>
      <c r="C2344" t="s">
        <v>3072</v>
      </c>
      <c r="D2344" s="1" t="s">
        <v>61</v>
      </c>
      <c r="E2344" t="b">
        <v>0</v>
      </c>
      <c r="F2344">
        <v>31</v>
      </c>
      <c r="G2344">
        <v>116</v>
      </c>
      <c r="H2344" t="s">
        <v>11</v>
      </c>
      <c r="I2344" t="b" cm="1">
        <f t="array" ref="I2344">isDup(B2344,B2345, 0.7)</f>
        <v>0</v>
      </c>
    </row>
    <row r="2345" spans="1:9" ht="17" x14ac:dyDescent="0.2">
      <c r="A2345" t="s">
        <v>2961</v>
      </c>
      <c r="B2345" s="1" t="s">
        <v>2962</v>
      </c>
      <c r="C2345" t="s">
        <v>265</v>
      </c>
      <c r="D2345" s="1" t="s">
        <v>2</v>
      </c>
      <c r="E2345" t="b">
        <v>0</v>
      </c>
      <c r="F2345">
        <v>15</v>
      </c>
      <c r="G2345">
        <v>139</v>
      </c>
      <c r="H2345" t="s">
        <v>370</v>
      </c>
      <c r="I2345" t="b" cm="1">
        <f t="array" ref="I2345">isDup(B2345,B2346, 0.7)</f>
        <v>0</v>
      </c>
    </row>
    <row r="2346" spans="1:9" ht="17" x14ac:dyDescent="0.2">
      <c r="A2346" t="s">
        <v>4889</v>
      </c>
      <c r="B2346" s="1" t="s">
        <v>4890</v>
      </c>
      <c r="C2346" t="s">
        <v>4891</v>
      </c>
      <c r="D2346" s="1" t="s">
        <v>2</v>
      </c>
      <c r="E2346" t="b">
        <v>0</v>
      </c>
      <c r="F2346">
        <v>1061</v>
      </c>
      <c r="G2346">
        <v>792</v>
      </c>
      <c r="H2346" t="s">
        <v>11</v>
      </c>
      <c r="I2346" t="b" cm="1">
        <f t="array" ref="I2346">isDup(B2346,B2347, 0.7)</f>
        <v>0</v>
      </c>
    </row>
    <row r="2347" spans="1:9" ht="17" x14ac:dyDescent="0.2">
      <c r="A2347" t="s">
        <v>7260</v>
      </c>
      <c r="B2347" s="1" t="s">
        <v>0</v>
      </c>
      <c r="C2347" t="s">
        <v>1</v>
      </c>
      <c r="D2347" s="1" t="s">
        <v>2</v>
      </c>
      <c r="E2347" t="b">
        <v>0</v>
      </c>
      <c r="F2347">
        <v>1597</v>
      </c>
      <c r="G2347">
        <v>17</v>
      </c>
      <c r="H2347" t="s">
        <v>3</v>
      </c>
      <c r="I2347" t="b" cm="1">
        <f t="array" ref="I2347">isDup(B2347,B2348, 0.7)</f>
        <v>0</v>
      </c>
    </row>
    <row r="2348" spans="1:9" ht="17" x14ac:dyDescent="0.2">
      <c r="A2348" t="s">
        <v>1257</v>
      </c>
      <c r="B2348" s="1" t="s">
        <v>1258</v>
      </c>
      <c r="C2348" t="s">
        <v>1259</v>
      </c>
      <c r="D2348" s="1" t="s">
        <v>1260</v>
      </c>
      <c r="E2348" t="b">
        <v>0</v>
      </c>
      <c r="F2348">
        <v>392</v>
      </c>
      <c r="G2348">
        <v>470</v>
      </c>
      <c r="H2348" t="s">
        <v>11</v>
      </c>
      <c r="I2348" t="b" cm="1">
        <f t="array" ref="I2348">isDup(B2348,B2349, 0.7)</f>
        <v>1</v>
      </c>
    </row>
    <row r="2349" spans="1:9" ht="17" x14ac:dyDescent="0.2">
      <c r="A2349" t="s">
        <v>1945</v>
      </c>
      <c r="B2349" s="1" t="s">
        <v>1946</v>
      </c>
      <c r="C2349" t="s">
        <v>1947</v>
      </c>
      <c r="D2349" s="1" t="s">
        <v>2</v>
      </c>
      <c r="E2349" t="b">
        <v>0</v>
      </c>
      <c r="F2349">
        <v>178</v>
      </c>
      <c r="G2349">
        <v>814</v>
      </c>
      <c r="H2349" t="s">
        <v>11</v>
      </c>
      <c r="I2349" t="b" cm="1">
        <f t="array" ref="I2349">isDup(B2349,B2350, 0.7)</f>
        <v>0</v>
      </c>
    </row>
    <row r="2350" spans="1:9" ht="17" x14ac:dyDescent="0.2">
      <c r="A2350" t="s">
        <v>16</v>
      </c>
      <c r="B2350" s="1" t="s">
        <v>17</v>
      </c>
      <c r="C2350" t="s">
        <v>18</v>
      </c>
      <c r="D2350" s="1" t="s">
        <v>19</v>
      </c>
      <c r="E2350" t="b">
        <v>0</v>
      </c>
      <c r="F2350">
        <v>1164</v>
      </c>
      <c r="G2350">
        <v>1998</v>
      </c>
      <c r="H2350" t="s">
        <v>11</v>
      </c>
      <c r="I2350" t="b" cm="1">
        <f t="array" ref="I2350">isDup(B2350,B2351, 0.7)</f>
        <v>0</v>
      </c>
    </row>
    <row r="2351" spans="1:9" ht="17" x14ac:dyDescent="0.2">
      <c r="A2351" t="s">
        <v>5574</v>
      </c>
      <c r="B2351" s="1" t="s">
        <v>5575</v>
      </c>
      <c r="C2351" t="s">
        <v>4601</v>
      </c>
      <c r="D2351" s="1" t="s">
        <v>5576</v>
      </c>
      <c r="E2351" t="b">
        <v>0</v>
      </c>
      <c r="F2351">
        <v>517</v>
      </c>
      <c r="G2351">
        <v>850</v>
      </c>
      <c r="H2351" t="s">
        <v>11</v>
      </c>
      <c r="I2351" t="b" cm="1">
        <f t="array" ref="I2351">isDup(B2351,B2352, 0.7)</f>
        <v>0</v>
      </c>
    </row>
    <row r="2352" spans="1:9" ht="34" x14ac:dyDescent="0.2">
      <c r="A2352" t="s">
        <v>421</v>
      </c>
      <c r="B2352" s="1" t="s">
        <v>422</v>
      </c>
      <c r="C2352" t="s">
        <v>413</v>
      </c>
      <c r="D2352" s="1" t="s">
        <v>414</v>
      </c>
      <c r="E2352" t="b">
        <v>0</v>
      </c>
      <c r="F2352">
        <v>2713</v>
      </c>
      <c r="G2352">
        <v>1823</v>
      </c>
      <c r="H2352" t="s">
        <v>11</v>
      </c>
      <c r="I2352" t="b" cm="1">
        <f t="array" ref="I2352">isDup(B2352,B2353, 0.7)</f>
        <v>1</v>
      </c>
    </row>
    <row r="2353" spans="1:9" ht="34" x14ac:dyDescent="0.2">
      <c r="A2353" t="s">
        <v>411</v>
      </c>
      <c r="B2353" s="1" t="s">
        <v>412</v>
      </c>
      <c r="C2353" t="s">
        <v>413</v>
      </c>
      <c r="D2353" s="1" t="s">
        <v>414</v>
      </c>
      <c r="E2353" t="b">
        <v>0</v>
      </c>
      <c r="F2353">
        <v>2713</v>
      </c>
      <c r="G2353">
        <v>1823</v>
      </c>
      <c r="H2353" t="s">
        <v>11</v>
      </c>
      <c r="I2353" t="b" cm="1">
        <f t="array" ref="I2353">isDup(B2353,B2354, 0.7)</f>
        <v>1</v>
      </c>
    </row>
    <row r="2354" spans="1:9" ht="34" x14ac:dyDescent="0.2">
      <c r="A2354" t="s">
        <v>704</v>
      </c>
      <c r="B2354" s="1" t="s">
        <v>705</v>
      </c>
      <c r="C2354" t="s">
        <v>413</v>
      </c>
      <c r="D2354" s="1" t="s">
        <v>414</v>
      </c>
      <c r="E2354" t="b">
        <v>0</v>
      </c>
      <c r="F2354">
        <v>2715</v>
      </c>
      <c r="G2354">
        <v>1823</v>
      </c>
      <c r="H2354" t="s">
        <v>11</v>
      </c>
      <c r="I2354" t="b" cm="1">
        <f t="array" ref="I2354">isDup(B2354,B2355, 0.7)</f>
        <v>1</v>
      </c>
    </row>
    <row r="2355" spans="1:9" ht="34" x14ac:dyDescent="0.2">
      <c r="A2355" t="s">
        <v>718</v>
      </c>
      <c r="B2355" s="1" t="s">
        <v>719</v>
      </c>
      <c r="C2355" t="s">
        <v>413</v>
      </c>
      <c r="D2355" s="1" t="s">
        <v>414</v>
      </c>
      <c r="E2355" t="b">
        <v>0</v>
      </c>
      <c r="F2355">
        <v>2715</v>
      </c>
      <c r="G2355">
        <v>1823</v>
      </c>
      <c r="H2355" t="s">
        <v>11</v>
      </c>
      <c r="I2355" t="b" cm="1">
        <f t="array" ref="I2355">isDup(B2355,B2356, 0.7)</f>
        <v>1</v>
      </c>
    </row>
    <row r="2356" spans="1:9" ht="34" x14ac:dyDescent="0.2">
      <c r="A2356" t="s">
        <v>4065</v>
      </c>
      <c r="B2356" s="1" t="s">
        <v>4066</v>
      </c>
      <c r="C2356" t="s">
        <v>413</v>
      </c>
      <c r="D2356" s="1" t="s">
        <v>414</v>
      </c>
      <c r="E2356" t="b">
        <v>0</v>
      </c>
      <c r="F2356">
        <v>2719</v>
      </c>
      <c r="G2356">
        <v>1831</v>
      </c>
      <c r="H2356" t="s">
        <v>11</v>
      </c>
      <c r="I2356" t="b" cm="1">
        <f t="array" ref="I2356">isDup(B2356,B2357, 0.7)</f>
        <v>1</v>
      </c>
    </row>
    <row r="2357" spans="1:9" ht="34" x14ac:dyDescent="0.2">
      <c r="A2357" t="s">
        <v>4017</v>
      </c>
      <c r="B2357" s="1" t="s">
        <v>4019</v>
      </c>
      <c r="C2357" t="s">
        <v>413</v>
      </c>
      <c r="D2357" s="1" t="s">
        <v>414</v>
      </c>
      <c r="E2357" t="b">
        <v>0</v>
      </c>
      <c r="F2357">
        <v>2718</v>
      </c>
      <c r="G2357">
        <v>1831</v>
      </c>
      <c r="H2357" t="s">
        <v>11</v>
      </c>
      <c r="I2357" t="b" cm="1">
        <f t="array" ref="I2357">isDup(B2357,B2358, 0.7)</f>
        <v>1</v>
      </c>
    </row>
    <row r="2358" spans="1:9" ht="34" x14ac:dyDescent="0.2">
      <c r="A2358" t="s">
        <v>1938</v>
      </c>
      <c r="B2358" s="1" t="s">
        <v>1939</v>
      </c>
      <c r="C2358" t="s">
        <v>413</v>
      </c>
      <c r="D2358" s="1" t="s">
        <v>414</v>
      </c>
      <c r="E2358" t="b">
        <v>0</v>
      </c>
      <c r="F2358">
        <v>2717</v>
      </c>
      <c r="G2358">
        <v>1822</v>
      </c>
      <c r="H2358" t="s">
        <v>11</v>
      </c>
      <c r="I2358" t="b" cm="1">
        <f t="array" ref="I2358">isDup(B2358,B2359, 0.7)</f>
        <v>1</v>
      </c>
    </row>
    <row r="2359" spans="1:9" ht="34" x14ac:dyDescent="0.2">
      <c r="A2359" t="s">
        <v>2003</v>
      </c>
      <c r="B2359" s="1" t="s">
        <v>2004</v>
      </c>
      <c r="C2359" t="s">
        <v>413</v>
      </c>
      <c r="D2359" s="1" t="s">
        <v>414</v>
      </c>
      <c r="E2359" t="b">
        <v>0</v>
      </c>
      <c r="F2359">
        <v>2717</v>
      </c>
      <c r="G2359">
        <v>1822</v>
      </c>
      <c r="H2359" t="s">
        <v>11</v>
      </c>
      <c r="I2359" t="b" cm="1">
        <f t="array" ref="I2359">isDup(B2359,B2360, 0.7)</f>
        <v>1</v>
      </c>
    </row>
    <row r="2360" spans="1:9" ht="34" x14ac:dyDescent="0.2">
      <c r="A2360" t="s">
        <v>2188</v>
      </c>
      <c r="B2360" s="1" t="s">
        <v>2189</v>
      </c>
      <c r="C2360" t="s">
        <v>413</v>
      </c>
      <c r="D2360" s="1" t="s">
        <v>414</v>
      </c>
      <c r="E2360" t="b">
        <v>0</v>
      </c>
      <c r="F2360">
        <v>2717</v>
      </c>
      <c r="G2360">
        <v>1822</v>
      </c>
      <c r="H2360" t="s">
        <v>11</v>
      </c>
      <c r="I2360" t="b" cm="1">
        <f t="array" ref="I2360">isDup(B2360,B2361, 0.7)</f>
        <v>1</v>
      </c>
    </row>
    <row r="2361" spans="1:9" ht="34" x14ac:dyDescent="0.2">
      <c r="A2361" t="s">
        <v>4984</v>
      </c>
      <c r="B2361" s="1" t="s">
        <v>4985</v>
      </c>
      <c r="C2361" t="s">
        <v>584</v>
      </c>
      <c r="D2361" s="1" t="s">
        <v>2</v>
      </c>
      <c r="E2361" t="b">
        <v>0</v>
      </c>
      <c r="F2361">
        <v>8724</v>
      </c>
      <c r="G2361">
        <v>268</v>
      </c>
      <c r="H2361" t="s">
        <v>11</v>
      </c>
      <c r="I2361" t="b" cm="1">
        <f t="array" ref="I2361">isDup(B2361,B2362, 0.7)</f>
        <v>1</v>
      </c>
    </row>
    <row r="2362" spans="1:9" ht="34" x14ac:dyDescent="0.2">
      <c r="A2362" t="s">
        <v>582</v>
      </c>
      <c r="B2362" s="1" t="s">
        <v>583</v>
      </c>
      <c r="C2362" t="s">
        <v>584</v>
      </c>
      <c r="D2362" s="1" t="s">
        <v>2</v>
      </c>
      <c r="E2362" t="b">
        <v>0</v>
      </c>
      <c r="F2362">
        <v>8723</v>
      </c>
      <c r="G2362">
        <v>268</v>
      </c>
      <c r="H2362" t="s">
        <v>11</v>
      </c>
      <c r="I2362" t="b" cm="1">
        <f t="array" ref="I2362">isDup(B2362,B2363, 0.7)</f>
        <v>1</v>
      </c>
    </row>
    <row r="2363" spans="1:9" ht="34" x14ac:dyDescent="0.2">
      <c r="A2363" t="s">
        <v>7055</v>
      </c>
      <c r="B2363" s="1" t="s">
        <v>7056</v>
      </c>
      <c r="C2363" t="s">
        <v>584</v>
      </c>
      <c r="D2363" s="1" t="s">
        <v>2</v>
      </c>
      <c r="E2363" t="b">
        <v>0</v>
      </c>
      <c r="F2363">
        <v>8725</v>
      </c>
      <c r="G2363">
        <v>268</v>
      </c>
      <c r="H2363" t="s">
        <v>11</v>
      </c>
      <c r="I2363" t="b" cm="1">
        <f t="array" ref="I2363">isDup(B2363,B2364, 0.7)</f>
        <v>1</v>
      </c>
    </row>
    <row r="2364" spans="1:9" ht="34" x14ac:dyDescent="0.2">
      <c r="A2364" t="s">
        <v>3503</v>
      </c>
      <c r="B2364" s="1" t="s">
        <v>3504</v>
      </c>
      <c r="C2364" t="s">
        <v>584</v>
      </c>
      <c r="D2364" s="1" t="s">
        <v>2</v>
      </c>
      <c r="E2364" t="b">
        <v>0</v>
      </c>
      <c r="F2364">
        <v>8726</v>
      </c>
      <c r="G2364">
        <v>268</v>
      </c>
      <c r="H2364" t="s">
        <v>11</v>
      </c>
      <c r="I2364" t="b" cm="1">
        <f t="array" ref="I2364">isDup(B2364,B2365, 0.7)</f>
        <v>1</v>
      </c>
    </row>
    <row r="2365" spans="1:9" ht="34" x14ac:dyDescent="0.2">
      <c r="A2365" t="s">
        <v>1920</v>
      </c>
      <c r="B2365" s="1" t="s">
        <v>1921</v>
      </c>
      <c r="C2365" t="s">
        <v>584</v>
      </c>
      <c r="D2365" s="1" t="s">
        <v>2</v>
      </c>
      <c r="E2365" t="b">
        <v>0</v>
      </c>
      <c r="F2365">
        <v>8725</v>
      </c>
      <c r="G2365">
        <v>268</v>
      </c>
      <c r="H2365" t="s">
        <v>11</v>
      </c>
      <c r="I2365" t="b" cm="1">
        <f t="array" ref="I2365">isDup(B2365,B2366, 0.7)</f>
        <v>1</v>
      </c>
    </row>
    <row r="2366" spans="1:9" ht="34" x14ac:dyDescent="0.2">
      <c r="A2366" t="s">
        <v>6428</v>
      </c>
      <c r="B2366" s="1" t="s">
        <v>6429</v>
      </c>
      <c r="C2366" t="s">
        <v>584</v>
      </c>
      <c r="D2366" s="1" t="s">
        <v>2</v>
      </c>
      <c r="E2366" t="b">
        <v>0</v>
      </c>
      <c r="F2366">
        <v>8723</v>
      </c>
      <c r="G2366">
        <v>268</v>
      </c>
      <c r="H2366" t="s">
        <v>11</v>
      </c>
      <c r="I2366" t="b" cm="1">
        <f t="array" ref="I2366">isDup(B2366,B2367, 0.7)</f>
        <v>1</v>
      </c>
    </row>
    <row r="2367" spans="1:9" ht="34" x14ac:dyDescent="0.2">
      <c r="A2367" t="s">
        <v>4264</v>
      </c>
      <c r="B2367" s="1" t="s">
        <v>4265</v>
      </c>
      <c r="C2367" t="s">
        <v>584</v>
      </c>
      <c r="D2367" s="1" t="s">
        <v>2</v>
      </c>
      <c r="E2367" t="b">
        <v>0</v>
      </c>
      <c r="F2367">
        <v>8725</v>
      </c>
      <c r="G2367">
        <v>268</v>
      </c>
      <c r="H2367" t="s">
        <v>11</v>
      </c>
      <c r="I2367" t="b" cm="1">
        <f t="array" ref="I2367">isDup(B2367,B2368, 0.7)</f>
        <v>1</v>
      </c>
    </row>
    <row r="2368" spans="1:9" ht="34" x14ac:dyDescent="0.2">
      <c r="A2368" t="s">
        <v>5623</v>
      </c>
      <c r="B2368" s="1" t="s">
        <v>5624</v>
      </c>
      <c r="C2368" t="s">
        <v>584</v>
      </c>
      <c r="D2368" s="1" t="s">
        <v>2</v>
      </c>
      <c r="E2368" t="b">
        <v>0</v>
      </c>
      <c r="F2368">
        <v>8724</v>
      </c>
      <c r="G2368">
        <v>268</v>
      </c>
      <c r="H2368" t="s">
        <v>11</v>
      </c>
      <c r="I2368" t="b" cm="1">
        <f t="array" ref="I2368">isDup(B2368,B2369, 0.7)</f>
        <v>0</v>
      </c>
    </row>
    <row r="2369" spans="1:9" ht="17" x14ac:dyDescent="0.2">
      <c r="A2369" t="s">
        <v>4450</v>
      </c>
      <c r="B2369" s="1" t="s">
        <v>4451</v>
      </c>
      <c r="C2369" t="s">
        <v>4452</v>
      </c>
      <c r="D2369" s="1" t="s">
        <v>4453</v>
      </c>
      <c r="E2369" t="b">
        <v>0</v>
      </c>
      <c r="F2369">
        <v>2685</v>
      </c>
      <c r="G2369">
        <v>1091</v>
      </c>
      <c r="H2369" t="s">
        <v>11</v>
      </c>
      <c r="I2369" t="b" cm="1">
        <f t="array" ref="I2369">isDup(B2369,B2370, 0.7)</f>
        <v>0</v>
      </c>
    </row>
    <row r="2370" spans="1:9" ht="34" x14ac:dyDescent="0.2">
      <c r="A2370" t="s">
        <v>4332</v>
      </c>
      <c r="B2370" s="1" t="s">
        <v>4333</v>
      </c>
      <c r="C2370" t="s">
        <v>1564</v>
      </c>
      <c r="D2370" s="1" t="s">
        <v>4334</v>
      </c>
      <c r="E2370" t="b">
        <v>0</v>
      </c>
      <c r="F2370">
        <v>21</v>
      </c>
      <c r="G2370">
        <v>132</v>
      </c>
      <c r="H2370" t="s">
        <v>11</v>
      </c>
      <c r="I2370" t="b" cm="1">
        <f t="array" ref="I2370">isDup(B2370,B2371, 0.7)</f>
        <v>0</v>
      </c>
    </row>
    <row r="2371" spans="1:9" ht="17" x14ac:dyDescent="0.2">
      <c r="A2371" t="s">
        <v>6511</v>
      </c>
      <c r="B2371" s="1" t="s">
        <v>6512</v>
      </c>
      <c r="C2371" t="s">
        <v>2554</v>
      </c>
      <c r="D2371" s="1" t="s">
        <v>2</v>
      </c>
      <c r="E2371" t="b">
        <v>0</v>
      </c>
      <c r="F2371">
        <v>38</v>
      </c>
      <c r="G2371">
        <v>274</v>
      </c>
      <c r="H2371" t="s">
        <v>863</v>
      </c>
      <c r="I2371" t="b" cm="1">
        <f t="array" ref="I2371">isDup(B2371,B2372, 0.7)</f>
        <v>0</v>
      </c>
    </row>
    <row r="2372" spans="1:9" ht="17" x14ac:dyDescent="0.2">
      <c r="A2372" t="s">
        <v>3918</v>
      </c>
      <c r="B2372" s="1" t="s">
        <v>3919</v>
      </c>
      <c r="C2372" t="s">
        <v>244</v>
      </c>
      <c r="D2372" s="1" t="s">
        <v>3920</v>
      </c>
      <c r="E2372" t="b">
        <v>0</v>
      </c>
      <c r="F2372">
        <v>139</v>
      </c>
      <c r="G2372">
        <v>447</v>
      </c>
      <c r="H2372" t="s">
        <v>338</v>
      </c>
      <c r="I2372" t="b" cm="1">
        <f t="array" ref="I2372">isDup(B2372,B2373, 0.7)</f>
        <v>0</v>
      </c>
    </row>
    <row r="2373" spans="1:9" ht="34" x14ac:dyDescent="0.2">
      <c r="A2373" t="s">
        <v>3803</v>
      </c>
      <c r="B2373" s="1" t="s">
        <v>3804</v>
      </c>
      <c r="C2373" t="s">
        <v>3805</v>
      </c>
      <c r="D2373" s="1" t="s">
        <v>2</v>
      </c>
      <c r="E2373" t="b">
        <v>0</v>
      </c>
      <c r="F2373">
        <v>500</v>
      </c>
      <c r="G2373">
        <v>510</v>
      </c>
      <c r="H2373" t="s">
        <v>11</v>
      </c>
      <c r="I2373" t="b" cm="1">
        <f t="array" ref="I2373">isDup(B2373,B2374, 0.7)</f>
        <v>0</v>
      </c>
    </row>
    <row r="2374" spans="1:9" ht="17" x14ac:dyDescent="0.2">
      <c r="A2374" t="s">
        <v>5960</v>
      </c>
      <c r="B2374" s="1" t="s">
        <v>5961</v>
      </c>
      <c r="C2374" t="s">
        <v>5962</v>
      </c>
      <c r="D2374" s="1" t="s">
        <v>5963</v>
      </c>
      <c r="E2374" t="b">
        <v>0</v>
      </c>
      <c r="F2374">
        <v>58</v>
      </c>
      <c r="G2374">
        <v>32</v>
      </c>
      <c r="H2374" t="s">
        <v>11</v>
      </c>
      <c r="I2374" t="b" cm="1">
        <f t="array" ref="I2374">isDup(B2374,B2375, 0.7)</f>
        <v>0</v>
      </c>
    </row>
    <row r="2375" spans="1:9" ht="17" x14ac:dyDescent="0.2">
      <c r="A2375" t="s">
        <v>1776</v>
      </c>
      <c r="B2375" s="1" t="s">
        <v>1777</v>
      </c>
      <c r="C2375" t="s">
        <v>289</v>
      </c>
      <c r="D2375" s="1" t="s">
        <v>2</v>
      </c>
      <c r="E2375" t="b">
        <v>0</v>
      </c>
      <c r="F2375">
        <v>3633</v>
      </c>
      <c r="G2375">
        <v>3731</v>
      </c>
      <c r="H2375" t="s">
        <v>11</v>
      </c>
      <c r="I2375" t="b" cm="1">
        <f t="array" ref="I2375">isDup(B2375,B2376, 0.7)</f>
        <v>0</v>
      </c>
    </row>
    <row r="2376" spans="1:9" ht="17" x14ac:dyDescent="0.2">
      <c r="A2376" t="s">
        <v>3599</v>
      </c>
      <c r="B2376" s="1" t="s">
        <v>3600</v>
      </c>
      <c r="C2376" t="s">
        <v>275</v>
      </c>
      <c r="D2376" s="1" t="s">
        <v>3601</v>
      </c>
      <c r="E2376" t="b">
        <v>0</v>
      </c>
      <c r="F2376">
        <v>1</v>
      </c>
      <c r="G2376">
        <v>9</v>
      </c>
      <c r="H2376" t="s">
        <v>11</v>
      </c>
      <c r="I2376" t="b" cm="1">
        <f t="array" ref="I2376">isDup(B2376,B2377, 0.7)</f>
        <v>0</v>
      </c>
    </row>
    <row r="2377" spans="1:9" ht="34" x14ac:dyDescent="0.2">
      <c r="A2377" t="s">
        <v>4175</v>
      </c>
      <c r="B2377" s="1" t="s">
        <v>4176</v>
      </c>
      <c r="C2377" t="s">
        <v>2486</v>
      </c>
      <c r="D2377" s="1" t="s">
        <v>4177</v>
      </c>
      <c r="E2377" t="b">
        <v>1</v>
      </c>
      <c r="F2377">
        <v>26488</v>
      </c>
      <c r="G2377">
        <v>4858</v>
      </c>
      <c r="H2377" t="s">
        <v>11</v>
      </c>
      <c r="I2377" t="b" cm="1">
        <f t="array" ref="I2377">isDup(B2377,B2378, 0.7)</f>
        <v>0</v>
      </c>
    </row>
    <row r="2378" spans="1:9" ht="17" x14ac:dyDescent="0.2">
      <c r="A2378" t="s">
        <v>4212</v>
      </c>
      <c r="B2378" s="1" t="s">
        <v>4213</v>
      </c>
      <c r="C2378" t="s">
        <v>4214</v>
      </c>
      <c r="D2378" s="1" t="s">
        <v>4215</v>
      </c>
      <c r="E2378" t="b">
        <v>0</v>
      </c>
      <c r="F2378">
        <v>9</v>
      </c>
      <c r="G2378">
        <v>47</v>
      </c>
      <c r="H2378" t="s">
        <v>11</v>
      </c>
      <c r="I2378" t="b" cm="1">
        <f t="array" ref="I2378">isDup(B2378,B2379, 0.7)</f>
        <v>0</v>
      </c>
    </row>
    <row r="2379" spans="1:9" ht="17" x14ac:dyDescent="0.2">
      <c r="A2379" t="s">
        <v>6796</v>
      </c>
      <c r="B2379" s="1" t="s">
        <v>6797</v>
      </c>
      <c r="C2379" t="s">
        <v>6798</v>
      </c>
      <c r="D2379" s="1" t="s">
        <v>6799</v>
      </c>
      <c r="E2379" t="b">
        <v>0</v>
      </c>
      <c r="F2379">
        <v>1</v>
      </c>
      <c r="G2379">
        <v>3</v>
      </c>
      <c r="H2379" t="s">
        <v>11</v>
      </c>
      <c r="I2379" t="b" cm="1">
        <f t="array" ref="I2379">isDup(B2379,B2380, 0.7)</f>
        <v>0</v>
      </c>
    </row>
    <row r="2380" spans="1:9" ht="17" x14ac:dyDescent="0.2">
      <c r="A2380" t="s">
        <v>6976</v>
      </c>
      <c r="B2380" s="1" t="s">
        <v>6977</v>
      </c>
      <c r="C2380" t="s">
        <v>1226</v>
      </c>
      <c r="D2380" s="1" t="s">
        <v>6932</v>
      </c>
      <c r="E2380" t="b">
        <v>0</v>
      </c>
      <c r="F2380">
        <v>485</v>
      </c>
      <c r="G2380">
        <v>1409</v>
      </c>
      <c r="H2380" t="s">
        <v>11</v>
      </c>
      <c r="I2380" t="b" cm="1">
        <f t="array" ref="I2380">isDup(B2380,B2381, 0.7)</f>
        <v>0</v>
      </c>
    </row>
    <row r="2381" spans="1:9" ht="17" x14ac:dyDescent="0.2">
      <c r="A2381" t="s">
        <v>6552</v>
      </c>
      <c r="B2381" s="1" t="s">
        <v>6553</v>
      </c>
      <c r="C2381" t="s">
        <v>992</v>
      </c>
      <c r="D2381" s="1" t="s">
        <v>1073</v>
      </c>
      <c r="E2381" t="b">
        <v>0</v>
      </c>
      <c r="F2381">
        <v>28369</v>
      </c>
      <c r="G2381">
        <v>186</v>
      </c>
      <c r="H2381" t="s">
        <v>11</v>
      </c>
      <c r="I2381" t="b" cm="1">
        <f t="array" ref="I2381">isDup(B2381,B2382, 0.7)</f>
        <v>0</v>
      </c>
    </row>
    <row r="2382" spans="1:9" ht="17" x14ac:dyDescent="0.2">
      <c r="A2382" t="s">
        <v>4621</v>
      </c>
      <c r="B2382" s="1" t="s">
        <v>4622</v>
      </c>
      <c r="C2382" t="s">
        <v>708</v>
      </c>
      <c r="D2382" s="1" t="s">
        <v>61</v>
      </c>
      <c r="E2382" t="b">
        <v>0</v>
      </c>
      <c r="F2382">
        <v>1944</v>
      </c>
      <c r="G2382">
        <v>2200</v>
      </c>
      <c r="H2382" t="s">
        <v>11</v>
      </c>
      <c r="I2382" t="b" cm="1">
        <f t="array" ref="I2382">isDup(B2382,B2383, 0.7)</f>
        <v>0</v>
      </c>
    </row>
    <row r="2383" spans="1:9" ht="17" x14ac:dyDescent="0.2">
      <c r="A2383" t="s">
        <v>6301</v>
      </c>
      <c r="B2383" s="1" t="s">
        <v>6302</v>
      </c>
      <c r="C2383" t="s">
        <v>26</v>
      </c>
      <c r="D2383" s="1" t="s">
        <v>2</v>
      </c>
      <c r="E2383" t="b">
        <v>0</v>
      </c>
      <c r="F2383">
        <v>92</v>
      </c>
      <c r="G2383">
        <v>161</v>
      </c>
      <c r="H2383" t="s">
        <v>83</v>
      </c>
      <c r="I2383" t="b" cm="1">
        <f t="array" ref="I2383">isDup(B2383,B2384, 0.7)</f>
        <v>0</v>
      </c>
    </row>
    <row r="2384" spans="1:9" ht="34" x14ac:dyDescent="0.2">
      <c r="A2384" t="s">
        <v>2843</v>
      </c>
      <c r="B2384" s="1" t="s">
        <v>2844</v>
      </c>
      <c r="C2384" t="s">
        <v>2600</v>
      </c>
      <c r="D2384" s="1" t="s">
        <v>2601</v>
      </c>
      <c r="E2384" t="b">
        <v>0</v>
      </c>
      <c r="F2384">
        <v>504</v>
      </c>
      <c r="G2384">
        <v>673</v>
      </c>
      <c r="H2384" t="s">
        <v>47</v>
      </c>
      <c r="I2384" t="b" cm="1">
        <f t="array" ref="I2384">isDup(B2384,B2385, 0.7)</f>
        <v>0</v>
      </c>
    </row>
    <row r="2385" spans="1:9" ht="34" x14ac:dyDescent="0.2">
      <c r="A2385" t="s">
        <v>4092</v>
      </c>
      <c r="B2385" s="1" t="s">
        <v>4093</v>
      </c>
      <c r="C2385" t="s">
        <v>898</v>
      </c>
      <c r="D2385" s="1" t="s">
        <v>2</v>
      </c>
      <c r="E2385" t="b">
        <v>0</v>
      </c>
      <c r="F2385">
        <v>9</v>
      </c>
      <c r="G2385">
        <v>43</v>
      </c>
      <c r="H2385" t="s">
        <v>11</v>
      </c>
      <c r="I2385" t="b" cm="1">
        <f t="array" ref="I2385">isDup(B2385,B2386, 0.7)</f>
        <v>0</v>
      </c>
    </row>
    <row r="2386" spans="1:9" ht="17" x14ac:dyDescent="0.2">
      <c r="A2386" t="s">
        <v>2462</v>
      </c>
      <c r="B2386" s="1" t="s">
        <v>2463</v>
      </c>
      <c r="C2386" t="s">
        <v>1158</v>
      </c>
      <c r="D2386" s="1" t="s">
        <v>2</v>
      </c>
      <c r="E2386" t="b">
        <v>0</v>
      </c>
      <c r="F2386">
        <v>270</v>
      </c>
      <c r="G2386">
        <v>96</v>
      </c>
      <c r="H2386" t="s">
        <v>641</v>
      </c>
      <c r="I2386" t="b" cm="1">
        <f t="array" ref="I2386">isDup(B2386,B2387, 0.7)</f>
        <v>0</v>
      </c>
    </row>
    <row r="2387" spans="1:9" ht="34" x14ac:dyDescent="0.2">
      <c r="A2387" t="s">
        <v>6758</v>
      </c>
      <c r="B2387" s="1" t="s">
        <v>6761</v>
      </c>
      <c r="C2387" t="s">
        <v>6762</v>
      </c>
      <c r="D2387" s="1" t="s">
        <v>2</v>
      </c>
      <c r="E2387" t="b">
        <v>0</v>
      </c>
      <c r="F2387">
        <v>57</v>
      </c>
      <c r="G2387">
        <v>41</v>
      </c>
      <c r="H2387" t="s">
        <v>11</v>
      </c>
      <c r="I2387" t="b" cm="1">
        <f t="array" ref="I2387">isDup(B2387,B2388, 0.7)</f>
        <v>0</v>
      </c>
    </row>
    <row r="2388" spans="1:9" ht="17" x14ac:dyDescent="0.2">
      <c r="A2388" t="s">
        <v>4097</v>
      </c>
      <c r="B2388" s="1" t="s">
        <v>4099</v>
      </c>
      <c r="C2388" t="s">
        <v>4100</v>
      </c>
      <c r="D2388" s="1" t="s">
        <v>4101</v>
      </c>
      <c r="E2388" t="b">
        <v>0</v>
      </c>
      <c r="F2388">
        <v>1840</v>
      </c>
      <c r="G2388">
        <v>1255</v>
      </c>
      <c r="H2388" t="s">
        <v>11</v>
      </c>
      <c r="I2388" t="b" cm="1">
        <f t="array" ref="I2388">isDup(B2388,B2389, 0.7)</f>
        <v>0</v>
      </c>
    </row>
    <row r="2389" spans="1:9" ht="17" x14ac:dyDescent="0.2">
      <c r="A2389" t="s">
        <v>3595</v>
      </c>
      <c r="B2389" s="1" t="s">
        <v>3596</v>
      </c>
      <c r="C2389" t="s">
        <v>3597</v>
      </c>
      <c r="D2389" s="1" t="s">
        <v>3598</v>
      </c>
      <c r="E2389" t="b">
        <v>0</v>
      </c>
      <c r="F2389">
        <v>527</v>
      </c>
      <c r="G2389">
        <v>274</v>
      </c>
      <c r="H2389" t="s">
        <v>11</v>
      </c>
      <c r="I2389" t="b" cm="1">
        <f t="array" ref="I2389">isDup(B2389,B2390, 0.7)</f>
        <v>0</v>
      </c>
    </row>
    <row r="2390" spans="1:9" ht="34" x14ac:dyDescent="0.2">
      <c r="A2390" t="s">
        <v>6991</v>
      </c>
      <c r="B2390" s="1" t="s">
        <v>6992</v>
      </c>
      <c r="C2390" t="s">
        <v>1564</v>
      </c>
      <c r="D2390" s="1" t="s">
        <v>4334</v>
      </c>
      <c r="E2390" t="b">
        <v>0</v>
      </c>
      <c r="F2390">
        <v>21</v>
      </c>
      <c r="G2390">
        <v>130</v>
      </c>
      <c r="H2390" t="s">
        <v>11</v>
      </c>
      <c r="I2390" t="b" cm="1">
        <f t="array" ref="I2390">isDup(B2390,B2391, 0.7)</f>
        <v>0</v>
      </c>
    </row>
    <row r="2391" spans="1:9" ht="17" x14ac:dyDescent="0.2">
      <c r="A2391" t="s">
        <v>1798</v>
      </c>
      <c r="B2391" s="1" t="s">
        <v>1799</v>
      </c>
      <c r="C2391" t="s">
        <v>82</v>
      </c>
      <c r="D2391" s="1" t="s">
        <v>2</v>
      </c>
      <c r="E2391" t="b">
        <v>0</v>
      </c>
      <c r="F2391">
        <v>4</v>
      </c>
      <c r="G2391">
        <v>58</v>
      </c>
      <c r="H2391" t="s">
        <v>11</v>
      </c>
      <c r="I2391" t="b" cm="1">
        <f t="array" ref="I2391">isDup(B2391,B2392, 0.7)</f>
        <v>0</v>
      </c>
    </row>
    <row r="2392" spans="1:9" ht="34" x14ac:dyDescent="0.2">
      <c r="A2392" t="s">
        <v>945</v>
      </c>
      <c r="B2392" s="1" t="s">
        <v>946</v>
      </c>
      <c r="C2392" t="s">
        <v>817</v>
      </c>
      <c r="D2392" s="1" t="s">
        <v>178</v>
      </c>
      <c r="E2392" t="b">
        <v>0</v>
      </c>
      <c r="F2392">
        <v>691</v>
      </c>
      <c r="G2392">
        <v>1513</v>
      </c>
      <c r="H2392" t="s">
        <v>11</v>
      </c>
      <c r="I2392" t="b" cm="1">
        <f t="array" ref="I2392">isDup(B2392,B2393, 0.7)</f>
        <v>0</v>
      </c>
    </row>
    <row r="2393" spans="1:9" ht="34" x14ac:dyDescent="0.2">
      <c r="A2393" t="s">
        <v>7207</v>
      </c>
      <c r="B2393" s="1" t="s">
        <v>7208</v>
      </c>
      <c r="C2393" t="s">
        <v>143</v>
      </c>
      <c r="D2393" s="1" t="s">
        <v>2804</v>
      </c>
      <c r="E2393" t="b">
        <v>0</v>
      </c>
      <c r="F2393">
        <v>227</v>
      </c>
      <c r="G2393">
        <v>219</v>
      </c>
      <c r="H2393" t="s">
        <v>11</v>
      </c>
      <c r="I2393" t="b" cm="1">
        <f t="array" ref="I2393">isDup(B2393,B2394, 0.7)</f>
        <v>0</v>
      </c>
    </row>
    <row r="2394" spans="1:9" ht="34" x14ac:dyDescent="0.2">
      <c r="A2394" t="s">
        <v>6959</v>
      </c>
      <c r="B2394" s="1" t="s">
        <v>6960</v>
      </c>
      <c r="C2394" t="s">
        <v>1902</v>
      </c>
      <c r="D2394" s="1" t="s">
        <v>6961</v>
      </c>
      <c r="E2394" t="b">
        <v>0</v>
      </c>
      <c r="F2394">
        <v>257</v>
      </c>
      <c r="G2394">
        <v>524</v>
      </c>
      <c r="H2394" t="s">
        <v>11</v>
      </c>
      <c r="I2394" t="b" cm="1">
        <f t="array" ref="I2394">isDup(B2394,B2395, 0.7)</f>
        <v>0</v>
      </c>
    </row>
    <row r="2395" spans="1:9" ht="34" x14ac:dyDescent="0.2">
      <c r="A2395" t="s">
        <v>6014</v>
      </c>
      <c r="B2395" s="1" t="s">
        <v>6015</v>
      </c>
      <c r="C2395" t="s">
        <v>1189</v>
      </c>
      <c r="D2395" s="1" t="s">
        <v>1190</v>
      </c>
      <c r="E2395" t="b">
        <v>0</v>
      </c>
      <c r="F2395">
        <v>7990</v>
      </c>
      <c r="G2395">
        <v>410</v>
      </c>
      <c r="H2395" t="s">
        <v>11</v>
      </c>
      <c r="I2395" t="b" cm="1">
        <f t="array" ref="I2395">isDup(B2395,B2396, 0.7)</f>
        <v>0</v>
      </c>
    </row>
    <row r="2396" spans="1:9" ht="17" x14ac:dyDescent="0.2">
      <c r="A2396" t="s">
        <v>628</v>
      </c>
      <c r="B2396" s="1" t="s">
        <v>629</v>
      </c>
      <c r="C2396" t="s">
        <v>630</v>
      </c>
      <c r="D2396" s="1" t="s">
        <v>2</v>
      </c>
      <c r="E2396" t="b">
        <v>0</v>
      </c>
      <c r="F2396">
        <v>192</v>
      </c>
      <c r="G2396">
        <v>28</v>
      </c>
      <c r="H2396" t="s">
        <v>11</v>
      </c>
      <c r="I2396" t="b" cm="1">
        <f t="array" ref="I2396">isDup(B2396,B2397, 0.7)</f>
        <v>0</v>
      </c>
    </row>
    <row r="2397" spans="1:9" ht="17" x14ac:dyDescent="0.2">
      <c r="A2397" t="s">
        <v>6802</v>
      </c>
      <c r="B2397" s="1" t="s">
        <v>6803</v>
      </c>
      <c r="C2397" t="s">
        <v>6804</v>
      </c>
      <c r="D2397" s="1" t="s">
        <v>2</v>
      </c>
      <c r="E2397" t="b">
        <v>0</v>
      </c>
      <c r="F2397">
        <v>101</v>
      </c>
      <c r="G2397">
        <v>198</v>
      </c>
      <c r="H2397" t="s">
        <v>11</v>
      </c>
      <c r="I2397" t="b" cm="1">
        <f t="array" ref="I2397">isDup(B2397,B2398, 0.7)</f>
        <v>0</v>
      </c>
    </row>
    <row r="2398" spans="1:9" ht="17" x14ac:dyDescent="0.2">
      <c r="A2398" t="s">
        <v>2475</v>
      </c>
      <c r="B2398" s="1" t="s">
        <v>2476</v>
      </c>
      <c r="C2398" t="s">
        <v>1824</v>
      </c>
      <c r="D2398" s="1" t="s">
        <v>61</v>
      </c>
      <c r="E2398" t="b">
        <v>0</v>
      </c>
      <c r="F2398">
        <v>142</v>
      </c>
      <c r="G2398">
        <v>313</v>
      </c>
      <c r="H2398" t="s">
        <v>11</v>
      </c>
      <c r="I2398" t="b" cm="1">
        <f t="array" ref="I2398">isDup(B2398,B2399, 0.7)</f>
        <v>0</v>
      </c>
    </row>
    <row r="2399" spans="1:9" ht="17" x14ac:dyDescent="0.2">
      <c r="A2399" t="s">
        <v>4911</v>
      </c>
      <c r="B2399" s="1" t="s">
        <v>4912</v>
      </c>
      <c r="C2399" t="s">
        <v>4750</v>
      </c>
      <c r="D2399" s="1" t="s">
        <v>2</v>
      </c>
      <c r="E2399" t="b">
        <v>0</v>
      </c>
      <c r="F2399">
        <v>18</v>
      </c>
      <c r="G2399">
        <v>107</v>
      </c>
      <c r="H2399" t="s">
        <v>11</v>
      </c>
      <c r="I2399" t="b" cm="1">
        <f t="array" ref="I2399">isDup(B2399,B2400, 0.7)</f>
        <v>0</v>
      </c>
    </row>
    <row r="2400" spans="1:9" ht="34" x14ac:dyDescent="0.2">
      <c r="A2400" t="s">
        <v>3879</v>
      </c>
      <c r="B2400" s="1" t="s">
        <v>3880</v>
      </c>
      <c r="C2400" t="s">
        <v>3881</v>
      </c>
      <c r="D2400" s="1" t="s">
        <v>2</v>
      </c>
      <c r="E2400" t="b">
        <v>0</v>
      </c>
      <c r="F2400">
        <v>20</v>
      </c>
      <c r="G2400">
        <v>89</v>
      </c>
      <c r="H2400" t="s">
        <v>11</v>
      </c>
      <c r="I2400" t="b" cm="1">
        <f t="array" ref="I2400">isDup(B2400,B2401, 0.7)</f>
        <v>0</v>
      </c>
    </row>
    <row r="2401" spans="1:9" ht="17" x14ac:dyDescent="0.2">
      <c r="A2401" t="s">
        <v>5282</v>
      </c>
      <c r="B2401" s="1" t="s">
        <v>5283</v>
      </c>
      <c r="C2401" t="s">
        <v>1091</v>
      </c>
      <c r="D2401" s="1" t="s">
        <v>2</v>
      </c>
      <c r="E2401" t="b">
        <v>0</v>
      </c>
      <c r="F2401">
        <v>19</v>
      </c>
      <c r="G2401">
        <v>11</v>
      </c>
      <c r="H2401" t="s">
        <v>11</v>
      </c>
      <c r="I2401" t="b" cm="1">
        <f t="array" ref="I2401">isDup(B2401,B2402, 0.7)</f>
        <v>0</v>
      </c>
    </row>
    <row r="2402" spans="1:9" ht="34" x14ac:dyDescent="0.2">
      <c r="A2402" t="s">
        <v>6091</v>
      </c>
      <c r="B2402" s="1" t="s">
        <v>6092</v>
      </c>
      <c r="C2402" t="s">
        <v>6093</v>
      </c>
      <c r="D2402" s="1" t="s">
        <v>3570</v>
      </c>
      <c r="E2402" t="b">
        <v>0</v>
      </c>
      <c r="F2402">
        <v>727</v>
      </c>
      <c r="G2402">
        <v>840</v>
      </c>
      <c r="H2402" t="s">
        <v>11</v>
      </c>
      <c r="I2402" t="b" cm="1">
        <f t="array" ref="I2402">isDup(B2402,B2403, 0.7)</f>
        <v>0</v>
      </c>
    </row>
    <row r="2403" spans="1:9" ht="17" x14ac:dyDescent="0.2">
      <c r="A2403" t="s">
        <v>4193</v>
      </c>
      <c r="B2403" s="1" t="s">
        <v>4194</v>
      </c>
      <c r="C2403" t="s">
        <v>748</v>
      </c>
      <c r="D2403" s="1" t="s">
        <v>749</v>
      </c>
      <c r="E2403" t="b">
        <v>0</v>
      </c>
      <c r="F2403">
        <v>3059</v>
      </c>
      <c r="G2403">
        <v>983</v>
      </c>
      <c r="H2403" t="s">
        <v>11</v>
      </c>
      <c r="I2403" t="b" cm="1">
        <f t="array" ref="I2403">isDup(B2403,B2404, 0.7)</f>
        <v>0</v>
      </c>
    </row>
    <row r="2404" spans="1:9" ht="34" x14ac:dyDescent="0.2">
      <c r="A2404" t="s">
        <v>5010</v>
      </c>
      <c r="B2404" s="1" t="s">
        <v>5011</v>
      </c>
      <c r="C2404" t="s">
        <v>289</v>
      </c>
      <c r="D2404" s="1" t="s">
        <v>2</v>
      </c>
      <c r="E2404" t="b">
        <v>0</v>
      </c>
      <c r="F2404">
        <v>3634</v>
      </c>
      <c r="G2404">
        <v>3732</v>
      </c>
      <c r="H2404" t="s">
        <v>11</v>
      </c>
      <c r="I2404" t="b" cm="1">
        <f t="array" ref="I2404">isDup(B2404,B2405, 0.7)</f>
        <v>0</v>
      </c>
    </row>
    <row r="2405" spans="1:9" ht="17" x14ac:dyDescent="0.2">
      <c r="A2405" t="s">
        <v>5973</v>
      </c>
      <c r="B2405" s="1" t="s">
        <v>5974</v>
      </c>
      <c r="C2405" t="s">
        <v>5975</v>
      </c>
      <c r="D2405" s="1" t="s">
        <v>5976</v>
      </c>
      <c r="E2405" t="b">
        <v>0</v>
      </c>
      <c r="F2405">
        <v>490</v>
      </c>
      <c r="G2405">
        <v>649</v>
      </c>
      <c r="H2405" t="s">
        <v>370</v>
      </c>
      <c r="I2405" t="b" cm="1">
        <f t="array" ref="I2405">isDup(B2405,B2406, 0.7)</f>
        <v>0</v>
      </c>
    </row>
    <row r="2406" spans="1:9" ht="17" x14ac:dyDescent="0.2">
      <c r="A2406" t="s">
        <v>2511</v>
      </c>
      <c r="B2406" s="1" t="s">
        <v>2512</v>
      </c>
      <c r="C2406" t="s">
        <v>2513</v>
      </c>
      <c r="D2406" s="1" t="s">
        <v>2</v>
      </c>
      <c r="E2406" t="b">
        <v>0</v>
      </c>
      <c r="F2406">
        <v>1666</v>
      </c>
      <c r="G2406">
        <v>4978</v>
      </c>
      <c r="H2406" t="s">
        <v>3</v>
      </c>
      <c r="I2406" t="b" cm="1">
        <f t="array" ref="I2406">isDup(B2406,B2407, 0.7)</f>
        <v>0</v>
      </c>
    </row>
    <row r="2407" spans="1:9" ht="34" x14ac:dyDescent="0.2">
      <c r="A2407" t="s">
        <v>6413</v>
      </c>
      <c r="B2407" s="1" t="s">
        <v>6414</v>
      </c>
      <c r="C2407" t="s">
        <v>5901</v>
      </c>
      <c r="D2407" s="1" t="s">
        <v>2</v>
      </c>
      <c r="E2407" t="b">
        <v>0</v>
      </c>
      <c r="F2407">
        <v>235</v>
      </c>
      <c r="G2407">
        <v>2</v>
      </c>
      <c r="H2407" t="s">
        <v>11</v>
      </c>
      <c r="I2407" t="b" cm="1">
        <f t="array" ref="I2407">isDup(B2407,B2408, 0.7)</f>
        <v>0</v>
      </c>
    </row>
    <row r="2408" spans="1:9" ht="17" x14ac:dyDescent="0.2">
      <c r="A2408" t="s">
        <v>6642</v>
      </c>
      <c r="B2408" s="1" t="s">
        <v>6643</v>
      </c>
      <c r="C2408" t="s">
        <v>2980</v>
      </c>
      <c r="D2408" s="1" t="s">
        <v>2</v>
      </c>
      <c r="E2408" t="b">
        <v>0</v>
      </c>
      <c r="F2408">
        <v>1</v>
      </c>
      <c r="G2408">
        <v>28</v>
      </c>
      <c r="H2408" t="s">
        <v>3</v>
      </c>
      <c r="I2408" t="b" cm="1">
        <f t="array" ref="I2408">isDup(B2408,B2409, 0.7)</f>
        <v>0</v>
      </c>
    </row>
    <row r="2409" spans="1:9" ht="17" x14ac:dyDescent="0.2">
      <c r="A2409" t="s">
        <v>6549</v>
      </c>
      <c r="B2409" s="1" t="s">
        <v>6550</v>
      </c>
      <c r="C2409" t="s">
        <v>1355</v>
      </c>
      <c r="D2409" s="1" t="s">
        <v>6551</v>
      </c>
      <c r="E2409" t="b">
        <v>0</v>
      </c>
      <c r="F2409">
        <v>1314</v>
      </c>
      <c r="G2409">
        <v>224</v>
      </c>
      <c r="H2409" t="s">
        <v>11</v>
      </c>
      <c r="I2409" t="b" cm="1">
        <f t="array" ref="I2409">isDup(B2409,B2410, 0.7)</f>
        <v>0</v>
      </c>
    </row>
    <row r="2410" spans="1:9" ht="17" x14ac:dyDescent="0.2">
      <c r="A2410" t="s">
        <v>3941</v>
      </c>
      <c r="B2410" s="1" t="s">
        <v>3942</v>
      </c>
      <c r="C2410" t="s">
        <v>1544</v>
      </c>
      <c r="E2410" t="b">
        <v>0</v>
      </c>
      <c r="F2410">
        <v>310</v>
      </c>
      <c r="G2410">
        <v>378</v>
      </c>
      <c r="H2410" t="s">
        <v>31</v>
      </c>
      <c r="I2410" t="b" cm="1">
        <f t="array" ref="I2410">isDup(B2410,B2411, 0.7)</f>
        <v>0</v>
      </c>
    </row>
    <row r="2411" spans="1:9" ht="17" x14ac:dyDescent="0.2">
      <c r="A2411" t="s">
        <v>2448</v>
      </c>
      <c r="B2411" s="1" t="s">
        <v>2449</v>
      </c>
      <c r="C2411" t="s">
        <v>880</v>
      </c>
      <c r="D2411" s="1" t="s">
        <v>2</v>
      </c>
      <c r="E2411" t="b">
        <v>0</v>
      </c>
      <c r="F2411">
        <v>1870</v>
      </c>
      <c r="G2411">
        <v>988</v>
      </c>
      <c r="H2411" t="s">
        <v>11</v>
      </c>
      <c r="I2411" t="b" cm="1">
        <f t="array" ref="I2411">isDup(B2411,B2412, 0.7)</f>
        <v>0</v>
      </c>
    </row>
    <row r="2412" spans="1:9" ht="17" x14ac:dyDescent="0.2">
      <c r="A2412" t="s">
        <v>2978</v>
      </c>
      <c r="B2412" s="1" t="s">
        <v>2979</v>
      </c>
      <c r="C2412" t="s">
        <v>2980</v>
      </c>
      <c r="D2412" s="1" t="s">
        <v>2</v>
      </c>
      <c r="E2412" t="b">
        <v>0</v>
      </c>
      <c r="F2412">
        <v>53</v>
      </c>
      <c r="G2412">
        <v>95</v>
      </c>
      <c r="H2412" t="s">
        <v>11</v>
      </c>
      <c r="I2412" t="b" cm="1">
        <f t="array" ref="I2412">isDup(B2412,B2413, 0.7)</f>
        <v>0</v>
      </c>
    </row>
    <row r="2413" spans="1:9" ht="17" x14ac:dyDescent="0.2">
      <c r="A2413" t="s">
        <v>5759</v>
      </c>
      <c r="B2413" s="1" t="s">
        <v>5760</v>
      </c>
      <c r="C2413" t="s">
        <v>94</v>
      </c>
      <c r="D2413" s="1" t="s">
        <v>5761</v>
      </c>
      <c r="E2413" t="b">
        <v>0</v>
      </c>
      <c r="F2413">
        <v>448</v>
      </c>
      <c r="G2413">
        <v>1336</v>
      </c>
      <c r="H2413" t="s">
        <v>11</v>
      </c>
      <c r="I2413" t="b" cm="1">
        <f t="array" ref="I2413">isDup(B2413,B2414, 0.7)</f>
        <v>0</v>
      </c>
    </row>
    <row r="2414" spans="1:9" ht="34" x14ac:dyDescent="0.2">
      <c r="A2414" t="s">
        <v>4401</v>
      </c>
      <c r="B2414" s="1" t="s">
        <v>4402</v>
      </c>
      <c r="C2414" t="s">
        <v>4403</v>
      </c>
      <c r="D2414" s="1" t="s">
        <v>2</v>
      </c>
      <c r="E2414" t="b">
        <v>0</v>
      </c>
      <c r="F2414">
        <v>6</v>
      </c>
      <c r="G2414">
        <v>31</v>
      </c>
      <c r="H2414" t="s">
        <v>11</v>
      </c>
      <c r="I2414" t="b" cm="1">
        <f t="array" ref="I2414">isDup(B2414,B2415, 0.7)</f>
        <v>0</v>
      </c>
    </row>
    <row r="2415" spans="1:9" ht="34" x14ac:dyDescent="0.2">
      <c r="A2415" t="s">
        <v>4684</v>
      </c>
      <c r="B2415" s="1" t="s">
        <v>4685</v>
      </c>
      <c r="C2415" t="s">
        <v>4686</v>
      </c>
      <c r="D2415" s="1" t="s">
        <v>1251</v>
      </c>
      <c r="E2415" t="b">
        <v>0</v>
      </c>
      <c r="F2415">
        <v>46</v>
      </c>
      <c r="G2415">
        <v>21</v>
      </c>
      <c r="H2415" t="s">
        <v>11</v>
      </c>
      <c r="I2415" t="b" cm="1">
        <f t="array" ref="I2415">isDup(B2415,B2416, 0.7)</f>
        <v>0</v>
      </c>
    </row>
    <row r="2416" spans="1:9" ht="17" x14ac:dyDescent="0.2">
      <c r="A2416" t="s">
        <v>96</v>
      </c>
      <c r="B2416" s="1" t="s">
        <v>97</v>
      </c>
      <c r="C2416" t="s">
        <v>29</v>
      </c>
      <c r="E2416" t="b">
        <v>0</v>
      </c>
      <c r="F2416">
        <v>526</v>
      </c>
      <c r="G2416">
        <v>558</v>
      </c>
      <c r="H2416" t="s">
        <v>31</v>
      </c>
      <c r="I2416" t="b" cm="1">
        <f t="array" ref="I2416">isDup(B2416,B2417, 0.7)</f>
        <v>0</v>
      </c>
    </row>
    <row r="2417" spans="1:9" ht="17" x14ac:dyDescent="0.2">
      <c r="A2417" t="s">
        <v>2696</v>
      </c>
      <c r="B2417" s="1" t="s">
        <v>2697</v>
      </c>
      <c r="C2417" t="s">
        <v>2698</v>
      </c>
      <c r="D2417" s="1" t="s">
        <v>2699</v>
      </c>
      <c r="E2417" t="b">
        <v>0</v>
      </c>
      <c r="F2417">
        <v>25</v>
      </c>
      <c r="G2417">
        <v>7</v>
      </c>
      <c r="H2417" t="s">
        <v>11</v>
      </c>
      <c r="I2417" t="b" cm="1">
        <f t="array" ref="I2417">isDup(B2417,B2418, 0.7)</f>
        <v>0</v>
      </c>
    </row>
    <row r="2418" spans="1:9" ht="17" x14ac:dyDescent="0.2">
      <c r="A2418" t="s">
        <v>6993</v>
      </c>
      <c r="B2418" s="1" t="s">
        <v>6994</v>
      </c>
      <c r="C2418" t="s">
        <v>215</v>
      </c>
      <c r="D2418" s="1" t="s">
        <v>6995</v>
      </c>
      <c r="E2418" t="b">
        <v>0</v>
      </c>
      <c r="F2418">
        <v>352</v>
      </c>
      <c r="G2418">
        <v>81</v>
      </c>
      <c r="H2418" t="s">
        <v>641</v>
      </c>
      <c r="I2418" t="b" cm="1">
        <f t="array" ref="I2418">isDup(B2418,B2419, 0.7)</f>
        <v>0</v>
      </c>
    </row>
    <row r="2419" spans="1:9" ht="17" x14ac:dyDescent="0.2">
      <c r="A2419" t="s">
        <v>3034</v>
      </c>
      <c r="B2419" s="1" t="s">
        <v>3036</v>
      </c>
      <c r="C2419" t="s">
        <v>3037</v>
      </c>
      <c r="D2419" s="1" t="s">
        <v>2</v>
      </c>
      <c r="E2419" t="b">
        <v>0</v>
      </c>
      <c r="F2419">
        <v>1411</v>
      </c>
      <c r="G2419">
        <v>1074</v>
      </c>
      <c r="H2419" t="s">
        <v>11</v>
      </c>
      <c r="I2419" t="b" cm="1">
        <f t="array" ref="I2419">isDup(B2419,B2420, 0.7)</f>
        <v>0</v>
      </c>
    </row>
    <row r="2420" spans="1:9" ht="17" x14ac:dyDescent="0.2">
      <c r="A2420" t="s">
        <v>3361</v>
      </c>
      <c r="B2420" s="1" t="s">
        <v>3362</v>
      </c>
      <c r="C2420" t="s">
        <v>995</v>
      </c>
      <c r="D2420" s="1" t="s">
        <v>1932</v>
      </c>
      <c r="E2420" t="b">
        <v>0</v>
      </c>
      <c r="F2420">
        <v>1364</v>
      </c>
      <c r="G2420">
        <v>2650</v>
      </c>
      <c r="H2420" t="s">
        <v>11</v>
      </c>
      <c r="I2420" t="b" cm="1">
        <f t="array" ref="I2420">isDup(B2420,B2421, 0.7)</f>
        <v>0</v>
      </c>
    </row>
    <row r="2421" spans="1:9" ht="17" x14ac:dyDescent="0.2">
      <c r="A2421" t="s">
        <v>878</v>
      </c>
      <c r="B2421" s="1" t="s">
        <v>879</v>
      </c>
      <c r="C2421" t="s">
        <v>880</v>
      </c>
      <c r="D2421" s="1" t="s">
        <v>2</v>
      </c>
      <c r="E2421" t="b">
        <v>0</v>
      </c>
      <c r="F2421">
        <v>18</v>
      </c>
      <c r="G2421">
        <v>119</v>
      </c>
      <c r="H2421" t="s">
        <v>11</v>
      </c>
      <c r="I2421" t="b" cm="1">
        <f t="array" ref="I2421">isDup(B2421,B2422, 0.7)</f>
        <v>0</v>
      </c>
    </row>
    <row r="2422" spans="1:9" ht="17" x14ac:dyDescent="0.2">
      <c r="A2422" t="s">
        <v>4461</v>
      </c>
      <c r="B2422" s="1" t="s">
        <v>4462</v>
      </c>
      <c r="C2422" t="s">
        <v>319</v>
      </c>
      <c r="D2422" s="1" t="s">
        <v>2</v>
      </c>
      <c r="E2422" t="b">
        <v>0</v>
      </c>
      <c r="F2422">
        <v>11278</v>
      </c>
      <c r="G2422">
        <v>126</v>
      </c>
      <c r="H2422" t="s">
        <v>359</v>
      </c>
      <c r="I2422" t="b" cm="1">
        <f t="array" ref="I2422">isDup(B2422,B2423, 0.7)</f>
        <v>0</v>
      </c>
    </row>
    <row r="2423" spans="1:9" ht="17" x14ac:dyDescent="0.2">
      <c r="A2423" t="s">
        <v>6706</v>
      </c>
      <c r="B2423" s="1" t="s">
        <v>6707</v>
      </c>
      <c r="C2423" t="s">
        <v>6708</v>
      </c>
      <c r="D2423" s="1" t="s">
        <v>477</v>
      </c>
      <c r="E2423" t="b">
        <v>0</v>
      </c>
      <c r="F2423">
        <v>304</v>
      </c>
      <c r="G2423">
        <v>560</v>
      </c>
      <c r="H2423" t="s">
        <v>11</v>
      </c>
      <c r="I2423" t="b" cm="1">
        <f t="array" ref="I2423">isDup(B2423,B2424, 0.7)</f>
        <v>0</v>
      </c>
    </row>
    <row r="2424" spans="1:9" ht="17" x14ac:dyDescent="0.2">
      <c r="A2424" t="s">
        <v>5139</v>
      </c>
      <c r="B2424" s="1" t="s">
        <v>5140</v>
      </c>
      <c r="C2424" t="s">
        <v>5141</v>
      </c>
      <c r="D2424" s="1" t="s">
        <v>5142</v>
      </c>
      <c r="E2424" t="b">
        <v>0</v>
      </c>
      <c r="F2424">
        <v>29</v>
      </c>
      <c r="G2424">
        <v>27</v>
      </c>
      <c r="H2424" t="s">
        <v>11</v>
      </c>
      <c r="I2424" t="b" cm="1">
        <f t="array" ref="I2424">isDup(B2424,B2425, 0.7)</f>
        <v>0</v>
      </c>
    </row>
    <row r="2425" spans="1:9" ht="17" x14ac:dyDescent="0.2">
      <c r="A2425" t="s">
        <v>299</v>
      </c>
      <c r="B2425" s="1" t="s">
        <v>300</v>
      </c>
      <c r="C2425" t="s">
        <v>301</v>
      </c>
      <c r="D2425" s="1" t="s">
        <v>302</v>
      </c>
      <c r="E2425" t="b">
        <v>0</v>
      </c>
      <c r="F2425">
        <v>456</v>
      </c>
      <c r="G2425">
        <v>132</v>
      </c>
      <c r="H2425" t="s">
        <v>11</v>
      </c>
      <c r="I2425" t="b" cm="1">
        <f t="array" ref="I2425">isDup(B2425,B2426, 0.7)</f>
        <v>0</v>
      </c>
    </row>
    <row r="2426" spans="1:9" ht="34" x14ac:dyDescent="0.2">
      <c r="A2426" t="s">
        <v>3203</v>
      </c>
      <c r="B2426" s="1" t="s">
        <v>3204</v>
      </c>
      <c r="C2426" t="s">
        <v>3205</v>
      </c>
      <c r="D2426" s="1" t="s">
        <v>3206</v>
      </c>
      <c r="E2426" t="b">
        <v>0</v>
      </c>
      <c r="F2426">
        <v>88</v>
      </c>
      <c r="G2426">
        <v>192</v>
      </c>
      <c r="H2426" t="s">
        <v>11</v>
      </c>
      <c r="I2426" t="b" cm="1">
        <f t="array" ref="I2426">isDup(B2426,B2427, 0.7)</f>
        <v>0</v>
      </c>
    </row>
    <row r="2427" spans="1:9" ht="17" x14ac:dyDescent="0.2">
      <c r="A2427" t="s">
        <v>4463</v>
      </c>
      <c r="B2427" s="1" t="s">
        <v>4464</v>
      </c>
      <c r="C2427" t="s">
        <v>26</v>
      </c>
      <c r="D2427" s="1" t="s">
        <v>2</v>
      </c>
      <c r="E2427" t="b">
        <v>0</v>
      </c>
      <c r="F2427">
        <v>3</v>
      </c>
      <c r="G2427">
        <v>1</v>
      </c>
      <c r="H2427" t="s">
        <v>11</v>
      </c>
      <c r="I2427" t="b" cm="1">
        <f t="array" ref="I2427">isDup(B2427,B2428, 0.7)</f>
        <v>0</v>
      </c>
    </row>
    <row r="2428" spans="1:9" ht="17" x14ac:dyDescent="0.2">
      <c r="A2428" t="s">
        <v>5467</v>
      </c>
      <c r="B2428" s="1" t="s">
        <v>5468</v>
      </c>
      <c r="C2428" t="s">
        <v>1892</v>
      </c>
      <c r="D2428" s="1" t="s">
        <v>2</v>
      </c>
      <c r="E2428" t="b">
        <v>0</v>
      </c>
      <c r="F2428">
        <v>223</v>
      </c>
      <c r="G2428">
        <v>292</v>
      </c>
      <c r="H2428" t="s">
        <v>641</v>
      </c>
      <c r="I2428" t="b" cm="1">
        <f t="array" ref="I2428">isDup(B2428,B2429, 0.7)</f>
        <v>0</v>
      </c>
    </row>
    <row r="2429" spans="1:9" ht="17" x14ac:dyDescent="0.2">
      <c r="A2429" t="s">
        <v>6033</v>
      </c>
      <c r="B2429" s="1" t="s">
        <v>6034</v>
      </c>
      <c r="C2429" t="s">
        <v>1148</v>
      </c>
      <c r="D2429" s="1" t="s">
        <v>1844</v>
      </c>
      <c r="E2429" t="b">
        <v>0</v>
      </c>
      <c r="F2429">
        <v>41</v>
      </c>
      <c r="G2429">
        <v>240</v>
      </c>
      <c r="H2429" t="s">
        <v>11</v>
      </c>
      <c r="I2429" t="b" cm="1">
        <f t="array" ref="I2429">isDup(B2429,B2430, 0.7)</f>
        <v>0</v>
      </c>
    </row>
    <row r="2430" spans="1:9" ht="17" x14ac:dyDescent="0.2">
      <c r="A2430" t="s">
        <v>6741</v>
      </c>
      <c r="B2430" s="1" t="s">
        <v>6742</v>
      </c>
      <c r="C2430" t="s">
        <v>6743</v>
      </c>
      <c r="D2430" s="1" t="s">
        <v>2311</v>
      </c>
      <c r="E2430" t="b">
        <v>0</v>
      </c>
      <c r="F2430">
        <v>210</v>
      </c>
      <c r="G2430">
        <v>103</v>
      </c>
      <c r="H2430" t="s">
        <v>11</v>
      </c>
      <c r="I2430" t="b" cm="1">
        <f t="array" ref="I2430">isDup(B2430,B2431, 0.7)</f>
        <v>0</v>
      </c>
    </row>
    <row r="2431" spans="1:9" ht="17" x14ac:dyDescent="0.2">
      <c r="A2431" t="s">
        <v>1810</v>
      </c>
      <c r="B2431" s="1" t="s">
        <v>1811</v>
      </c>
      <c r="C2431" t="s">
        <v>1812</v>
      </c>
      <c r="D2431" s="1" t="s">
        <v>1813</v>
      </c>
      <c r="E2431" t="b">
        <v>0</v>
      </c>
      <c r="F2431">
        <v>1</v>
      </c>
      <c r="G2431">
        <v>42</v>
      </c>
      <c r="H2431" t="s">
        <v>47</v>
      </c>
      <c r="I2431" t="b" cm="1">
        <f t="array" ref="I2431">isDup(B2431,B2432, 0.7)</f>
        <v>0</v>
      </c>
    </row>
    <row r="2432" spans="1:9" ht="34" x14ac:dyDescent="0.2">
      <c r="A2432" t="s">
        <v>2678</v>
      </c>
      <c r="B2432" s="1" t="s">
        <v>2679</v>
      </c>
      <c r="C2432" t="s">
        <v>2680</v>
      </c>
      <c r="D2432" s="1" t="s">
        <v>68</v>
      </c>
      <c r="E2432" t="b">
        <v>0</v>
      </c>
      <c r="F2432">
        <v>395</v>
      </c>
      <c r="G2432">
        <v>671</v>
      </c>
      <c r="H2432" t="s">
        <v>11</v>
      </c>
      <c r="I2432" t="b" cm="1">
        <f t="array" ref="I2432">isDup(B2432,B2433, 0.7)</f>
        <v>0</v>
      </c>
    </row>
    <row r="2433" spans="1:9" ht="17" x14ac:dyDescent="0.2">
      <c r="A2433" t="s">
        <v>7124</v>
      </c>
      <c r="B2433" s="1" t="s">
        <v>7125</v>
      </c>
      <c r="C2433" t="s">
        <v>7126</v>
      </c>
      <c r="D2433" s="1" t="s">
        <v>2</v>
      </c>
      <c r="E2433" t="b">
        <v>0</v>
      </c>
      <c r="F2433">
        <v>10</v>
      </c>
      <c r="G2433">
        <v>106</v>
      </c>
      <c r="H2433" t="s">
        <v>11</v>
      </c>
      <c r="I2433" t="b" cm="1">
        <f t="array" ref="I2433">isDup(B2433,B2434, 0.7)</f>
        <v>0</v>
      </c>
    </row>
    <row r="2434" spans="1:9" ht="17" x14ac:dyDescent="0.2">
      <c r="A2434" t="s">
        <v>2942</v>
      </c>
      <c r="B2434" s="1" t="s">
        <v>2943</v>
      </c>
      <c r="C2434" t="s">
        <v>2944</v>
      </c>
      <c r="D2434" s="1" t="s">
        <v>2945</v>
      </c>
      <c r="E2434" t="b">
        <v>0</v>
      </c>
      <c r="F2434">
        <v>1030</v>
      </c>
      <c r="G2434">
        <v>1010</v>
      </c>
      <c r="H2434" t="s">
        <v>11</v>
      </c>
      <c r="I2434" t="b" cm="1">
        <f t="array" ref="I2434">isDup(B2434,B2435, 0.7)</f>
        <v>0</v>
      </c>
    </row>
    <row r="2435" spans="1:9" ht="17" x14ac:dyDescent="0.2">
      <c r="A2435" t="s">
        <v>1594</v>
      </c>
      <c r="B2435" s="1" t="s">
        <v>1595</v>
      </c>
      <c r="C2435" t="s">
        <v>1193</v>
      </c>
      <c r="D2435" s="1" t="s">
        <v>1194</v>
      </c>
      <c r="E2435" t="b">
        <v>0</v>
      </c>
      <c r="F2435">
        <v>42</v>
      </c>
      <c r="G2435">
        <v>122</v>
      </c>
      <c r="H2435" t="s">
        <v>11</v>
      </c>
      <c r="I2435" t="b" cm="1">
        <f t="array" ref="I2435">isDup(B2435,B2436, 0.7)</f>
        <v>0</v>
      </c>
    </row>
    <row r="2436" spans="1:9" ht="17" x14ac:dyDescent="0.2">
      <c r="A2436" t="s">
        <v>5062</v>
      </c>
      <c r="B2436" s="1" t="s">
        <v>5063</v>
      </c>
      <c r="C2436" t="s">
        <v>782</v>
      </c>
      <c r="D2436" s="1" t="s">
        <v>1348</v>
      </c>
      <c r="E2436" t="b">
        <v>0</v>
      </c>
      <c r="F2436">
        <v>4</v>
      </c>
      <c r="G2436">
        <v>14</v>
      </c>
      <c r="H2436" t="s">
        <v>11</v>
      </c>
      <c r="I2436" t="b" cm="1">
        <f t="array" ref="I2436">isDup(B2436,B2437, 0.7)</f>
        <v>0</v>
      </c>
    </row>
    <row r="2437" spans="1:9" ht="17" x14ac:dyDescent="0.2">
      <c r="A2437" t="s">
        <v>3568</v>
      </c>
      <c r="B2437" s="1" t="s">
        <v>3569</v>
      </c>
      <c r="C2437" t="s">
        <v>402</v>
      </c>
      <c r="D2437" s="1" t="s">
        <v>3570</v>
      </c>
      <c r="E2437" t="b">
        <v>0</v>
      </c>
      <c r="F2437">
        <v>93</v>
      </c>
      <c r="G2437">
        <v>65</v>
      </c>
      <c r="H2437" t="s">
        <v>11</v>
      </c>
      <c r="I2437" t="b" cm="1">
        <f t="array" ref="I2437">isDup(B2437,B2438, 0.7)</f>
        <v>0</v>
      </c>
    </row>
    <row r="2438" spans="1:9" ht="17" x14ac:dyDescent="0.2">
      <c r="A2438" t="s">
        <v>48</v>
      </c>
      <c r="B2438" s="1" t="s">
        <v>52</v>
      </c>
      <c r="C2438" t="s">
        <v>53</v>
      </c>
      <c r="D2438" s="1" t="s">
        <v>54</v>
      </c>
      <c r="E2438" t="b">
        <v>0</v>
      </c>
      <c r="F2438">
        <v>6</v>
      </c>
      <c r="G2438">
        <v>16</v>
      </c>
      <c r="H2438" t="s">
        <v>47</v>
      </c>
      <c r="I2438" t="b" cm="1">
        <f t="array" ref="I2438">isDup(B2438,B2439, 0.7)</f>
        <v>0</v>
      </c>
    </row>
    <row r="2439" spans="1:9" ht="34" x14ac:dyDescent="0.2">
      <c r="A2439" t="s">
        <v>4499</v>
      </c>
      <c r="B2439" s="1" t="s">
        <v>4500</v>
      </c>
      <c r="C2439" t="s">
        <v>2421</v>
      </c>
      <c r="D2439" s="1" t="s">
        <v>4501</v>
      </c>
      <c r="E2439" t="b">
        <v>0</v>
      </c>
      <c r="F2439">
        <v>866</v>
      </c>
      <c r="G2439">
        <v>1918</v>
      </c>
      <c r="H2439" t="s">
        <v>11</v>
      </c>
      <c r="I2439" t="b" cm="1">
        <f t="array" ref="I2439">isDup(B2439,B2440, 0.7)</f>
        <v>0</v>
      </c>
    </row>
    <row r="2440" spans="1:9" ht="17" x14ac:dyDescent="0.2">
      <c r="A2440" t="s">
        <v>5373</v>
      </c>
      <c r="B2440" s="1" t="s">
        <v>5374</v>
      </c>
      <c r="C2440" t="s">
        <v>5375</v>
      </c>
      <c r="D2440" s="1" t="s">
        <v>2</v>
      </c>
      <c r="E2440" t="b">
        <v>0</v>
      </c>
      <c r="F2440">
        <v>103</v>
      </c>
      <c r="G2440">
        <v>581</v>
      </c>
      <c r="H2440" t="s">
        <v>11</v>
      </c>
      <c r="I2440" t="b" cm="1">
        <f t="array" ref="I2440">isDup(B2440,B2441, 0.7)</f>
        <v>0</v>
      </c>
    </row>
    <row r="2441" spans="1:9" ht="17" x14ac:dyDescent="0.2">
      <c r="A2441" t="s">
        <v>6309</v>
      </c>
      <c r="B2441" s="1" t="s">
        <v>6310</v>
      </c>
      <c r="C2441" t="s">
        <v>2039</v>
      </c>
      <c r="D2441" s="1" t="s">
        <v>1694</v>
      </c>
      <c r="E2441" t="b">
        <v>0</v>
      </c>
      <c r="F2441">
        <v>238</v>
      </c>
      <c r="G2441">
        <v>145</v>
      </c>
      <c r="H2441" t="s">
        <v>11</v>
      </c>
      <c r="I2441" t="b" cm="1">
        <f t="array" ref="I2441">isDup(B2441,B2442, 0.7)</f>
        <v>0</v>
      </c>
    </row>
    <row r="2442" spans="1:9" ht="34" x14ac:dyDescent="0.2">
      <c r="A2442" t="s">
        <v>2653</v>
      </c>
      <c r="B2442" s="1" t="s">
        <v>2654</v>
      </c>
      <c r="C2442" t="s">
        <v>501</v>
      </c>
      <c r="D2442" s="1" t="s">
        <v>2</v>
      </c>
      <c r="E2442" t="b">
        <v>0</v>
      </c>
      <c r="F2442">
        <v>9</v>
      </c>
      <c r="G2442">
        <v>76</v>
      </c>
      <c r="H2442" t="s">
        <v>11</v>
      </c>
      <c r="I2442" t="b" cm="1">
        <f t="array" ref="I2442">isDup(B2442,B2443, 0.7)</f>
        <v>0</v>
      </c>
    </row>
    <row r="2443" spans="1:9" ht="34" x14ac:dyDescent="0.2">
      <c r="A2443" t="s">
        <v>5863</v>
      </c>
      <c r="B2443" s="1" t="s">
        <v>5864</v>
      </c>
      <c r="C2443" t="s">
        <v>2701</v>
      </c>
      <c r="D2443" s="1" t="s">
        <v>2</v>
      </c>
      <c r="E2443" t="b">
        <v>0</v>
      </c>
      <c r="F2443">
        <v>29</v>
      </c>
      <c r="G2443">
        <v>48</v>
      </c>
      <c r="H2443" t="s">
        <v>11</v>
      </c>
      <c r="I2443" t="b" cm="1">
        <f t="array" ref="I2443">isDup(B2443,B2444, 0.7)</f>
        <v>0</v>
      </c>
    </row>
    <row r="2444" spans="1:9" ht="34" x14ac:dyDescent="0.2">
      <c r="A2444" t="s">
        <v>3969</v>
      </c>
      <c r="B2444" s="1" t="s">
        <v>3970</v>
      </c>
      <c r="C2444" t="s">
        <v>292</v>
      </c>
      <c r="D2444" s="1" t="s">
        <v>2</v>
      </c>
      <c r="E2444" t="b">
        <v>0</v>
      </c>
      <c r="F2444">
        <v>26</v>
      </c>
      <c r="G2444">
        <v>94</v>
      </c>
      <c r="H2444" t="s">
        <v>11</v>
      </c>
      <c r="I2444" t="b" cm="1">
        <f t="array" ref="I2444">isDup(B2444,B2445, 0.7)</f>
        <v>0</v>
      </c>
    </row>
    <row r="2445" spans="1:9" ht="17" x14ac:dyDescent="0.2">
      <c r="A2445" t="s">
        <v>6391</v>
      </c>
      <c r="B2445" s="1" t="s">
        <v>6392</v>
      </c>
      <c r="C2445" t="s">
        <v>3597</v>
      </c>
      <c r="D2445" s="1" t="s">
        <v>2</v>
      </c>
      <c r="E2445" t="b">
        <v>0</v>
      </c>
      <c r="F2445">
        <v>33</v>
      </c>
      <c r="G2445">
        <v>125</v>
      </c>
      <c r="H2445" t="s">
        <v>11</v>
      </c>
      <c r="I2445" t="b" cm="1">
        <f t="array" ref="I2445">isDup(B2445,B2446, 0.7)</f>
        <v>0</v>
      </c>
    </row>
    <row r="2446" spans="1:9" ht="17" x14ac:dyDescent="0.2">
      <c r="A2446" t="s">
        <v>4206</v>
      </c>
      <c r="B2446" s="1" t="s">
        <v>4207</v>
      </c>
      <c r="C2446" t="s">
        <v>4208</v>
      </c>
      <c r="D2446" s="1" t="s">
        <v>4209</v>
      </c>
      <c r="E2446" t="b">
        <v>0</v>
      </c>
      <c r="F2446">
        <v>2486</v>
      </c>
      <c r="G2446">
        <v>3126</v>
      </c>
      <c r="H2446" t="s">
        <v>11</v>
      </c>
      <c r="I2446" t="b" cm="1">
        <f t="array" ref="I2446">isDup(B2446,B2447, 0.7)</f>
        <v>0</v>
      </c>
    </row>
    <row r="2447" spans="1:9" ht="17" x14ac:dyDescent="0.2">
      <c r="A2447" t="s">
        <v>1501</v>
      </c>
      <c r="B2447" s="1" t="s">
        <v>1502</v>
      </c>
      <c r="C2447" t="s">
        <v>1503</v>
      </c>
      <c r="D2447" s="1" t="s">
        <v>144</v>
      </c>
      <c r="E2447" t="b">
        <v>0</v>
      </c>
      <c r="F2447">
        <v>11</v>
      </c>
      <c r="G2447">
        <v>45</v>
      </c>
      <c r="H2447" t="s">
        <v>11</v>
      </c>
      <c r="I2447" t="b" cm="1">
        <f t="array" ref="I2447">isDup(B2447,B2448, 0.7)</f>
        <v>0</v>
      </c>
    </row>
    <row r="2448" spans="1:9" ht="17" x14ac:dyDescent="0.2">
      <c r="A2448" t="s">
        <v>6927</v>
      </c>
      <c r="B2448" s="1" t="s">
        <v>6928</v>
      </c>
      <c r="C2448" t="s">
        <v>2757</v>
      </c>
      <c r="D2448" s="1" t="s">
        <v>6929</v>
      </c>
      <c r="E2448" t="b">
        <v>0</v>
      </c>
      <c r="F2448">
        <v>45</v>
      </c>
      <c r="G2448">
        <v>276</v>
      </c>
      <c r="H2448" t="s">
        <v>11</v>
      </c>
      <c r="I2448" t="b" cm="1">
        <f t="array" ref="I2448">isDup(B2448,B2449, 0.7)</f>
        <v>0</v>
      </c>
    </row>
    <row r="2449" spans="1:9" ht="17" x14ac:dyDescent="0.2">
      <c r="A2449" t="s">
        <v>6541</v>
      </c>
      <c r="B2449" s="1" t="s">
        <v>6542</v>
      </c>
      <c r="C2449" t="s">
        <v>2639</v>
      </c>
      <c r="D2449" s="1" t="s">
        <v>2</v>
      </c>
      <c r="E2449" t="b">
        <v>0</v>
      </c>
      <c r="F2449">
        <v>3036</v>
      </c>
      <c r="G2449">
        <v>611</v>
      </c>
      <c r="H2449" t="s">
        <v>11</v>
      </c>
      <c r="I2449" t="b" cm="1">
        <f t="array" ref="I2449">isDup(B2449,B2450, 0.7)</f>
        <v>0</v>
      </c>
    </row>
    <row r="2450" spans="1:9" ht="17" x14ac:dyDescent="0.2">
      <c r="A2450" t="s">
        <v>881</v>
      </c>
      <c r="B2450" s="1" t="s">
        <v>882</v>
      </c>
      <c r="C2450" t="s">
        <v>883</v>
      </c>
      <c r="D2450" s="1" t="s">
        <v>2</v>
      </c>
      <c r="E2450" t="b">
        <v>0</v>
      </c>
      <c r="F2450">
        <v>63</v>
      </c>
      <c r="G2450">
        <v>345</v>
      </c>
      <c r="H2450" t="s">
        <v>47</v>
      </c>
      <c r="I2450" t="b" cm="1">
        <f t="array" ref="I2450">isDup(B2450,B2451, 0.7)</f>
        <v>0</v>
      </c>
    </row>
    <row r="2451" spans="1:9" ht="17" x14ac:dyDescent="0.2">
      <c r="A2451" t="s">
        <v>7218</v>
      </c>
      <c r="B2451" s="1" t="s">
        <v>7219</v>
      </c>
      <c r="C2451" t="s">
        <v>7220</v>
      </c>
      <c r="D2451" s="1" t="s">
        <v>2</v>
      </c>
      <c r="E2451" t="b">
        <v>0</v>
      </c>
      <c r="F2451">
        <v>4</v>
      </c>
      <c r="G2451">
        <v>6</v>
      </c>
      <c r="H2451" t="s">
        <v>11</v>
      </c>
      <c r="I2451" t="b" cm="1">
        <f t="array" ref="I2451">isDup(B2451,B2452, 0.7)</f>
        <v>0</v>
      </c>
    </row>
    <row r="2452" spans="1:9" ht="34" x14ac:dyDescent="0.2">
      <c r="A2452" t="s">
        <v>2246</v>
      </c>
      <c r="B2452" s="1" t="s">
        <v>2247</v>
      </c>
      <c r="C2452" t="s">
        <v>1987</v>
      </c>
      <c r="D2452" s="1" t="s">
        <v>2248</v>
      </c>
      <c r="E2452" t="b">
        <v>0</v>
      </c>
      <c r="F2452">
        <v>58</v>
      </c>
      <c r="G2452">
        <v>257</v>
      </c>
      <c r="H2452" t="s">
        <v>11</v>
      </c>
      <c r="I2452" t="b" cm="1">
        <f t="array" ref="I2452">isDup(B2452,B2453, 0.7)</f>
        <v>0</v>
      </c>
    </row>
    <row r="2453" spans="1:9" ht="17" x14ac:dyDescent="0.2">
      <c r="A2453" t="s">
        <v>2626</v>
      </c>
      <c r="B2453" s="1" t="s">
        <v>2627</v>
      </c>
      <c r="C2453" t="s">
        <v>2628</v>
      </c>
      <c r="E2453" t="b">
        <v>0</v>
      </c>
      <c r="F2453">
        <v>84</v>
      </c>
      <c r="G2453">
        <v>57</v>
      </c>
      <c r="H2453" t="s">
        <v>11</v>
      </c>
      <c r="I2453" t="b" cm="1">
        <f t="array" ref="I2453">isDup(B2453,B2454, 0.7)</f>
        <v>0</v>
      </c>
    </row>
    <row r="2454" spans="1:9" ht="17" x14ac:dyDescent="0.2">
      <c r="A2454" t="s">
        <v>2676</v>
      </c>
      <c r="B2454" s="1" t="s">
        <v>2677</v>
      </c>
      <c r="C2454" t="s">
        <v>1237</v>
      </c>
      <c r="D2454" s="1" t="s">
        <v>2</v>
      </c>
      <c r="E2454" t="b">
        <v>0</v>
      </c>
      <c r="F2454">
        <v>7208</v>
      </c>
      <c r="G2454">
        <v>2811</v>
      </c>
      <c r="H2454" t="s">
        <v>11</v>
      </c>
      <c r="I2454" t="b" cm="1">
        <f t="array" ref="I2454">isDup(B2454,B2455, 0.7)</f>
        <v>0</v>
      </c>
    </row>
    <row r="2455" spans="1:9" ht="17" x14ac:dyDescent="0.2">
      <c r="A2455" t="s">
        <v>4165</v>
      </c>
      <c r="B2455" s="1" t="s">
        <v>4166</v>
      </c>
      <c r="C2455" t="s">
        <v>1382</v>
      </c>
      <c r="D2455" s="1" t="s">
        <v>2</v>
      </c>
      <c r="E2455" t="b">
        <v>0</v>
      </c>
      <c r="F2455">
        <v>733</v>
      </c>
      <c r="G2455">
        <v>491</v>
      </c>
      <c r="H2455" t="s">
        <v>11</v>
      </c>
      <c r="I2455" t="b" cm="1">
        <f t="array" ref="I2455">isDup(B2455,B2456, 0.7)</f>
        <v>0</v>
      </c>
    </row>
    <row r="2456" spans="1:9" ht="17" x14ac:dyDescent="0.2">
      <c r="A2456" t="s">
        <v>3605</v>
      </c>
      <c r="B2456" s="1" t="s">
        <v>3606</v>
      </c>
      <c r="C2456" t="s">
        <v>3607</v>
      </c>
      <c r="D2456" s="1" t="s">
        <v>730</v>
      </c>
      <c r="E2456" t="b">
        <v>0</v>
      </c>
      <c r="F2456">
        <v>5264</v>
      </c>
      <c r="G2456">
        <v>130</v>
      </c>
      <c r="H2456" t="s">
        <v>11</v>
      </c>
      <c r="I2456" t="b" cm="1">
        <f t="array" ref="I2456">isDup(B2456,B2457, 0.7)</f>
        <v>0</v>
      </c>
    </row>
    <row r="2457" spans="1:9" ht="34" x14ac:dyDescent="0.2">
      <c r="A2457" t="s">
        <v>1396</v>
      </c>
      <c r="B2457" s="1" t="s">
        <v>1397</v>
      </c>
      <c r="C2457" t="s">
        <v>1398</v>
      </c>
      <c r="D2457" s="1" t="s">
        <v>2</v>
      </c>
      <c r="E2457" t="b">
        <v>0</v>
      </c>
      <c r="F2457">
        <v>2</v>
      </c>
      <c r="G2457">
        <v>19</v>
      </c>
      <c r="H2457" t="s">
        <v>11</v>
      </c>
      <c r="I2457" t="b" cm="1">
        <f t="array" ref="I2457">isDup(B2457,B2458, 0.7)</f>
        <v>0</v>
      </c>
    </row>
    <row r="2458" spans="1:9" ht="17" x14ac:dyDescent="0.2">
      <c r="A2458" t="s">
        <v>6644</v>
      </c>
      <c r="B2458" s="1" t="s">
        <v>6645</v>
      </c>
      <c r="C2458" t="s">
        <v>26</v>
      </c>
      <c r="D2458" s="1" t="s">
        <v>2</v>
      </c>
      <c r="E2458" t="b">
        <v>0</v>
      </c>
      <c r="F2458">
        <v>3</v>
      </c>
      <c r="G2458">
        <v>1</v>
      </c>
      <c r="H2458" t="s">
        <v>11</v>
      </c>
      <c r="I2458" t="b" cm="1">
        <f t="array" ref="I2458">isDup(B2458,B2459, 0.7)</f>
        <v>0</v>
      </c>
    </row>
    <row r="2459" spans="1:9" ht="17" x14ac:dyDescent="0.2">
      <c r="A2459" t="s">
        <v>5906</v>
      </c>
      <c r="B2459" s="1" t="s">
        <v>5907</v>
      </c>
      <c r="C2459" t="s">
        <v>387</v>
      </c>
      <c r="D2459" s="1" t="s">
        <v>2</v>
      </c>
      <c r="E2459" t="b">
        <v>0</v>
      </c>
      <c r="F2459">
        <v>53</v>
      </c>
      <c r="G2459">
        <v>83</v>
      </c>
      <c r="H2459" t="s">
        <v>11</v>
      </c>
      <c r="I2459" t="b" cm="1">
        <f t="array" ref="I2459">isDup(B2459,B2460, 0.7)</f>
        <v>1</v>
      </c>
    </row>
    <row r="2460" spans="1:9" ht="17" x14ac:dyDescent="0.2">
      <c r="A2460" t="s">
        <v>936</v>
      </c>
      <c r="B2460" s="1" t="s">
        <v>937</v>
      </c>
      <c r="C2460" t="s">
        <v>938</v>
      </c>
      <c r="D2460" s="1" t="s">
        <v>109</v>
      </c>
      <c r="E2460" t="b">
        <v>0</v>
      </c>
      <c r="F2460">
        <v>300</v>
      </c>
      <c r="G2460">
        <v>551</v>
      </c>
      <c r="H2460" t="s">
        <v>11</v>
      </c>
      <c r="I2460" t="b" cm="1">
        <f t="array" ref="I2460">isDup(B2460,B2461, 0.7)</f>
        <v>0</v>
      </c>
    </row>
    <row r="2461" spans="1:9" ht="17" x14ac:dyDescent="0.2">
      <c r="A2461" t="s">
        <v>6129</v>
      </c>
      <c r="B2461" s="1" t="s">
        <v>6130</v>
      </c>
      <c r="C2461" t="s">
        <v>6131</v>
      </c>
      <c r="D2461" s="1" t="s">
        <v>2</v>
      </c>
      <c r="E2461" t="b">
        <v>0</v>
      </c>
      <c r="F2461">
        <v>17</v>
      </c>
      <c r="G2461">
        <v>97</v>
      </c>
      <c r="H2461" t="s">
        <v>11</v>
      </c>
      <c r="I2461" t="b" cm="1">
        <f t="array" ref="I2461">isDup(B2461,B2462, 0.7)</f>
        <v>0</v>
      </c>
    </row>
    <row r="2462" spans="1:9" ht="17" x14ac:dyDescent="0.2">
      <c r="A2462" t="s">
        <v>5026</v>
      </c>
      <c r="B2462" s="1" t="s">
        <v>5027</v>
      </c>
      <c r="C2462" t="s">
        <v>5028</v>
      </c>
      <c r="D2462" s="1" t="s">
        <v>5029</v>
      </c>
      <c r="E2462" t="b">
        <v>0</v>
      </c>
      <c r="F2462">
        <v>9</v>
      </c>
      <c r="G2462">
        <v>25</v>
      </c>
      <c r="H2462" t="s">
        <v>11</v>
      </c>
      <c r="I2462" t="b" cm="1">
        <f t="array" ref="I2462">isDup(B2462,B2463, 0.7)</f>
        <v>0</v>
      </c>
    </row>
    <row r="2463" spans="1:9" ht="34" x14ac:dyDescent="0.2">
      <c r="A2463" t="s">
        <v>3118</v>
      </c>
      <c r="B2463" s="1" t="s">
        <v>3119</v>
      </c>
      <c r="C2463" t="s">
        <v>611</v>
      </c>
      <c r="D2463" s="1" t="s">
        <v>61</v>
      </c>
      <c r="E2463" t="b">
        <v>1</v>
      </c>
      <c r="F2463">
        <v>13326</v>
      </c>
      <c r="G2463">
        <v>476</v>
      </c>
      <c r="H2463" t="s">
        <v>11</v>
      </c>
      <c r="I2463" t="b" cm="1">
        <f t="array" ref="I2463">isDup(B2463,B2464, 0.7)</f>
        <v>0</v>
      </c>
    </row>
    <row r="2464" spans="1:9" ht="34" x14ac:dyDescent="0.2">
      <c r="A2464" t="s">
        <v>3085</v>
      </c>
      <c r="B2464" s="1" t="s">
        <v>3086</v>
      </c>
      <c r="C2464" t="s">
        <v>611</v>
      </c>
      <c r="D2464" s="1" t="s">
        <v>61</v>
      </c>
      <c r="E2464" t="b">
        <v>1</v>
      </c>
      <c r="F2464">
        <v>13326</v>
      </c>
      <c r="G2464">
        <v>476</v>
      </c>
      <c r="H2464" t="s">
        <v>11</v>
      </c>
      <c r="I2464" t="b" cm="1">
        <f t="array" ref="I2464">isDup(B2464,B2465, 0.7)</f>
        <v>0</v>
      </c>
    </row>
    <row r="2465" spans="1:9" ht="34" x14ac:dyDescent="0.2">
      <c r="A2465" t="s">
        <v>3122</v>
      </c>
      <c r="B2465" s="1" t="s">
        <v>3123</v>
      </c>
      <c r="C2465" t="s">
        <v>3124</v>
      </c>
      <c r="D2465" s="1" t="s">
        <v>3125</v>
      </c>
      <c r="E2465" t="b">
        <v>0</v>
      </c>
      <c r="F2465">
        <v>4640</v>
      </c>
      <c r="G2465">
        <v>3750</v>
      </c>
      <c r="H2465" t="s">
        <v>11</v>
      </c>
      <c r="I2465" t="b" cm="1">
        <f t="array" ref="I2465">isDup(B2465,B2466, 0.7)</f>
        <v>0</v>
      </c>
    </row>
    <row r="2466" spans="1:9" ht="34" x14ac:dyDescent="0.2">
      <c r="A2466" t="s">
        <v>3168</v>
      </c>
      <c r="B2466" s="1" t="s">
        <v>3169</v>
      </c>
      <c r="C2466" t="s">
        <v>26</v>
      </c>
      <c r="D2466" s="1" t="s">
        <v>2</v>
      </c>
      <c r="E2466" t="b">
        <v>0</v>
      </c>
      <c r="F2466">
        <v>2</v>
      </c>
      <c r="G2466">
        <v>29</v>
      </c>
      <c r="H2466" t="s">
        <v>11</v>
      </c>
      <c r="I2466" t="b" cm="1">
        <f t="array" ref="I2466">isDup(B2466,B2467, 0.7)</f>
        <v>0</v>
      </c>
    </row>
    <row r="2467" spans="1:9" ht="17" x14ac:dyDescent="0.2">
      <c r="A2467" t="s">
        <v>3016</v>
      </c>
      <c r="B2467" s="1" t="s">
        <v>3017</v>
      </c>
      <c r="C2467" t="s">
        <v>3018</v>
      </c>
      <c r="D2467" s="1" t="s">
        <v>829</v>
      </c>
      <c r="E2467" t="b">
        <v>0</v>
      </c>
      <c r="F2467">
        <v>4050</v>
      </c>
      <c r="G2467">
        <v>1677</v>
      </c>
      <c r="H2467" t="s">
        <v>11</v>
      </c>
      <c r="I2467" t="b" cm="1">
        <f t="array" ref="I2467">isDup(B2467,B2468, 0.7)</f>
        <v>0</v>
      </c>
    </row>
    <row r="2468" spans="1:9" ht="34" x14ac:dyDescent="0.2">
      <c r="A2468" t="s">
        <v>1737</v>
      </c>
      <c r="B2468" s="1" t="s">
        <v>1738</v>
      </c>
      <c r="C2468" t="s">
        <v>1739</v>
      </c>
      <c r="E2468" t="b">
        <v>0</v>
      </c>
      <c r="F2468">
        <v>1223</v>
      </c>
      <c r="G2468">
        <v>2150</v>
      </c>
      <c r="H2468" t="s">
        <v>11</v>
      </c>
      <c r="I2468" t="b" cm="1">
        <f t="array" ref="I2468">isDup(B2468,B2469, 0.7)</f>
        <v>0</v>
      </c>
    </row>
    <row r="2469" spans="1:9" ht="17" x14ac:dyDescent="0.2">
      <c r="A2469" t="s">
        <v>1056</v>
      </c>
      <c r="B2469" s="1" t="s">
        <v>1057</v>
      </c>
      <c r="C2469" t="s">
        <v>1058</v>
      </c>
      <c r="D2469" s="1" t="s">
        <v>1059</v>
      </c>
      <c r="E2469" t="b">
        <v>0</v>
      </c>
      <c r="F2469">
        <v>110</v>
      </c>
      <c r="G2469">
        <v>144</v>
      </c>
      <c r="H2469" t="s">
        <v>11</v>
      </c>
      <c r="I2469" t="b" cm="1">
        <f t="array" ref="I2469">isDup(B2469,B2470, 0.7)</f>
        <v>0</v>
      </c>
    </row>
    <row r="2470" spans="1:9" ht="17" x14ac:dyDescent="0.2">
      <c r="A2470" t="s">
        <v>6219</v>
      </c>
      <c r="B2470" s="1" t="s">
        <v>6220</v>
      </c>
      <c r="C2470" t="s">
        <v>6221</v>
      </c>
      <c r="D2470" s="1" t="s">
        <v>2</v>
      </c>
      <c r="E2470" t="b">
        <v>0</v>
      </c>
      <c r="F2470">
        <v>377</v>
      </c>
      <c r="G2470">
        <v>2338</v>
      </c>
      <c r="H2470" t="s">
        <v>11</v>
      </c>
      <c r="I2470" t="b" cm="1">
        <f t="array" ref="I2470">isDup(B2470,B2471, 0.7)</f>
        <v>0</v>
      </c>
    </row>
    <row r="2471" spans="1:9" ht="34" x14ac:dyDescent="0.2">
      <c r="A2471" t="s">
        <v>4297</v>
      </c>
      <c r="B2471" s="1" t="s">
        <v>4298</v>
      </c>
      <c r="C2471" t="s">
        <v>4299</v>
      </c>
      <c r="D2471" s="1" t="s">
        <v>2</v>
      </c>
      <c r="E2471" t="b">
        <v>0</v>
      </c>
      <c r="F2471">
        <v>3414</v>
      </c>
      <c r="G2471">
        <v>3547</v>
      </c>
      <c r="H2471" t="s">
        <v>11</v>
      </c>
      <c r="I2471" t="b" cm="1">
        <f t="array" ref="I2471">isDup(B2471,B2472, 0.7)</f>
        <v>0</v>
      </c>
    </row>
    <row r="2472" spans="1:9" ht="17" x14ac:dyDescent="0.2">
      <c r="A2472" t="s">
        <v>3255</v>
      </c>
      <c r="B2472" s="1" t="s">
        <v>3256</v>
      </c>
      <c r="C2472" t="s">
        <v>1592</v>
      </c>
      <c r="D2472" s="1" t="s">
        <v>1593</v>
      </c>
      <c r="E2472" t="b">
        <v>0</v>
      </c>
      <c r="F2472">
        <v>4</v>
      </c>
      <c r="G2472">
        <v>0</v>
      </c>
      <c r="H2472" t="s">
        <v>11</v>
      </c>
      <c r="I2472" t="b" cm="1">
        <f t="array" ref="I2472">isDup(B2472,B2473, 0.7)</f>
        <v>0</v>
      </c>
    </row>
    <row r="2473" spans="1:9" ht="17" x14ac:dyDescent="0.2">
      <c r="A2473" t="s">
        <v>1609</v>
      </c>
      <c r="B2473" s="1" t="s">
        <v>1610</v>
      </c>
      <c r="C2473" t="s">
        <v>319</v>
      </c>
      <c r="D2473" s="1" t="s">
        <v>1611</v>
      </c>
      <c r="E2473" t="b">
        <v>0</v>
      </c>
      <c r="F2473">
        <v>417</v>
      </c>
      <c r="G2473">
        <v>74</v>
      </c>
      <c r="H2473" t="s">
        <v>11</v>
      </c>
      <c r="I2473" t="b" cm="1">
        <f t="array" ref="I2473">isDup(B2473,B2474, 0.7)</f>
        <v>0</v>
      </c>
    </row>
    <row r="2474" spans="1:9" ht="34" x14ac:dyDescent="0.2">
      <c r="A2474" t="s">
        <v>2968</v>
      </c>
      <c r="B2474" s="1" t="s">
        <v>2969</v>
      </c>
      <c r="C2474" t="s">
        <v>2970</v>
      </c>
      <c r="D2474" s="1" t="s">
        <v>2</v>
      </c>
      <c r="E2474" t="b">
        <v>0</v>
      </c>
      <c r="F2474">
        <v>708</v>
      </c>
      <c r="G2474">
        <v>374</v>
      </c>
      <c r="H2474" t="s">
        <v>11</v>
      </c>
      <c r="I2474" t="b" cm="1">
        <f t="array" ref="I2474">isDup(B2474,B2475, 0.7)</f>
        <v>0</v>
      </c>
    </row>
    <row r="2475" spans="1:9" ht="34" x14ac:dyDescent="0.2">
      <c r="A2475" t="s">
        <v>6385</v>
      </c>
      <c r="B2475" s="1" t="s">
        <v>6386</v>
      </c>
      <c r="C2475" t="s">
        <v>1324</v>
      </c>
      <c r="D2475" s="1" t="s">
        <v>2</v>
      </c>
      <c r="E2475" t="b">
        <v>0</v>
      </c>
      <c r="F2475">
        <v>16</v>
      </c>
      <c r="G2475">
        <v>8</v>
      </c>
      <c r="H2475" t="s">
        <v>11</v>
      </c>
      <c r="I2475" t="b" cm="1">
        <f t="array" ref="I2475">isDup(B2475,B2476, 0.7)</f>
        <v>0</v>
      </c>
    </row>
    <row r="2476" spans="1:9" ht="17" x14ac:dyDescent="0.2">
      <c r="A2476" t="s">
        <v>698</v>
      </c>
      <c r="B2476" s="1" t="s">
        <v>699</v>
      </c>
      <c r="C2476" t="s">
        <v>700</v>
      </c>
      <c r="D2476" s="1" t="s">
        <v>701</v>
      </c>
      <c r="E2476" t="b">
        <v>0</v>
      </c>
      <c r="F2476">
        <v>1996</v>
      </c>
      <c r="G2476">
        <v>2545</v>
      </c>
      <c r="H2476" t="s">
        <v>11</v>
      </c>
      <c r="I2476" t="b" cm="1">
        <f t="array" ref="I2476">isDup(B2476,B2477, 0.7)</f>
        <v>0</v>
      </c>
    </row>
    <row r="2477" spans="1:9" ht="34" x14ac:dyDescent="0.2">
      <c r="A2477" t="s">
        <v>6648</v>
      </c>
      <c r="B2477" s="1" t="s">
        <v>6649</v>
      </c>
      <c r="C2477" t="s">
        <v>2398</v>
      </c>
      <c r="D2477" s="1" t="s">
        <v>1238</v>
      </c>
      <c r="E2477" t="b">
        <v>0</v>
      </c>
      <c r="F2477">
        <v>4935</v>
      </c>
      <c r="G2477">
        <v>497</v>
      </c>
      <c r="H2477" t="s">
        <v>11</v>
      </c>
      <c r="I2477" t="b" cm="1">
        <f t="array" ref="I2477">isDup(B2477,B2478, 0.7)</f>
        <v>0</v>
      </c>
    </row>
    <row r="2478" spans="1:9" ht="17" x14ac:dyDescent="0.2">
      <c r="A2478" t="s">
        <v>3709</v>
      </c>
      <c r="B2478" s="1" t="s">
        <v>3710</v>
      </c>
      <c r="C2478" t="s">
        <v>3711</v>
      </c>
      <c r="D2478" s="1" t="s">
        <v>3712</v>
      </c>
      <c r="E2478" t="b">
        <v>0</v>
      </c>
      <c r="F2478">
        <v>15</v>
      </c>
      <c r="G2478">
        <v>84</v>
      </c>
      <c r="H2478" t="s">
        <v>11</v>
      </c>
      <c r="I2478" t="b" cm="1">
        <f t="array" ref="I2478">isDup(B2478,B2479, 0.7)</f>
        <v>0</v>
      </c>
    </row>
    <row r="2479" spans="1:9" ht="34" x14ac:dyDescent="0.2">
      <c r="A2479" t="s">
        <v>3076</v>
      </c>
      <c r="B2479" s="1" t="s">
        <v>3077</v>
      </c>
      <c r="C2479" t="s">
        <v>1847</v>
      </c>
      <c r="D2479" s="1" t="s">
        <v>2</v>
      </c>
      <c r="E2479" t="b">
        <v>0</v>
      </c>
      <c r="F2479">
        <v>37</v>
      </c>
      <c r="G2479">
        <v>104</v>
      </c>
      <c r="H2479" t="s">
        <v>3078</v>
      </c>
      <c r="I2479" t="b" cm="1">
        <f t="array" ref="I2479">isDup(B2479,B2480, 0.7)</f>
        <v>0</v>
      </c>
    </row>
    <row r="2480" spans="1:9" ht="17" x14ac:dyDescent="0.2">
      <c r="A2480" t="s">
        <v>6356</v>
      </c>
      <c r="B2480" s="1" t="s">
        <v>6357</v>
      </c>
      <c r="C2480" t="s">
        <v>3333</v>
      </c>
      <c r="D2480" s="1" t="s">
        <v>2716</v>
      </c>
      <c r="E2480" t="b">
        <v>0</v>
      </c>
      <c r="F2480">
        <v>671</v>
      </c>
      <c r="G2480">
        <v>217</v>
      </c>
      <c r="H2480" t="s">
        <v>11</v>
      </c>
      <c r="I2480" t="b" cm="1">
        <f t="array" ref="I2480">isDup(B2480,B2481, 0.7)</f>
        <v>0</v>
      </c>
    </row>
    <row r="2481" spans="1:9" ht="17" x14ac:dyDescent="0.2">
      <c r="A2481" t="s">
        <v>5251</v>
      </c>
      <c r="B2481" s="1" t="s">
        <v>5252</v>
      </c>
      <c r="C2481" t="s">
        <v>769</v>
      </c>
      <c r="D2481" s="1" t="s">
        <v>2</v>
      </c>
      <c r="E2481" t="b">
        <v>0</v>
      </c>
      <c r="F2481">
        <v>4</v>
      </c>
      <c r="G2481">
        <v>0</v>
      </c>
      <c r="H2481" t="s">
        <v>11</v>
      </c>
      <c r="I2481" t="b" cm="1">
        <f t="array" ref="I2481">isDup(B2481,B2482, 0.7)</f>
        <v>0</v>
      </c>
    </row>
    <row r="2482" spans="1:9" ht="17" x14ac:dyDescent="0.2">
      <c r="A2482" t="s">
        <v>968</v>
      </c>
      <c r="B2482" s="1" t="s">
        <v>969</v>
      </c>
      <c r="C2482" t="s">
        <v>970</v>
      </c>
      <c r="D2482" s="1" t="s">
        <v>971</v>
      </c>
      <c r="E2482" t="b">
        <v>0</v>
      </c>
      <c r="F2482">
        <v>320</v>
      </c>
      <c r="G2482">
        <v>304</v>
      </c>
      <c r="H2482" t="s">
        <v>11</v>
      </c>
      <c r="I2482" t="b" cm="1">
        <f t="array" ref="I2482">isDup(B2482,B2483, 0.7)</f>
        <v>0</v>
      </c>
    </row>
    <row r="2483" spans="1:9" ht="17" x14ac:dyDescent="0.2">
      <c r="A2483" t="s">
        <v>5928</v>
      </c>
      <c r="B2483" s="1" t="s">
        <v>5929</v>
      </c>
      <c r="C2483" t="s">
        <v>607</v>
      </c>
      <c r="D2483" s="1" t="s">
        <v>5930</v>
      </c>
      <c r="E2483" t="b">
        <v>0</v>
      </c>
      <c r="F2483">
        <v>566</v>
      </c>
      <c r="G2483">
        <v>1347</v>
      </c>
      <c r="H2483" t="s">
        <v>11</v>
      </c>
      <c r="I2483" t="b" cm="1">
        <f t="array" ref="I2483">isDup(B2483,B2484, 0.7)</f>
        <v>1</v>
      </c>
    </row>
    <row r="2484" spans="1:9" ht="17" x14ac:dyDescent="0.2">
      <c r="A2484" t="s">
        <v>3327</v>
      </c>
      <c r="B2484" s="1" t="s">
        <v>3328</v>
      </c>
      <c r="C2484" t="s">
        <v>3329</v>
      </c>
      <c r="D2484" s="1" t="s">
        <v>3330</v>
      </c>
      <c r="E2484" t="b">
        <v>0</v>
      </c>
      <c r="F2484">
        <v>424</v>
      </c>
      <c r="G2484">
        <v>377</v>
      </c>
      <c r="H2484" t="s">
        <v>11</v>
      </c>
      <c r="I2484" t="b" cm="1">
        <f t="array" ref="I2484">isDup(B2484,B2485, 0.7)</f>
        <v>0</v>
      </c>
    </row>
    <row r="2485" spans="1:9" ht="17" x14ac:dyDescent="0.2">
      <c r="A2485" t="s">
        <v>6028</v>
      </c>
      <c r="B2485" s="1" t="s">
        <v>6029</v>
      </c>
      <c r="C2485" t="s">
        <v>6030</v>
      </c>
      <c r="D2485" s="1" t="s">
        <v>68</v>
      </c>
      <c r="E2485" t="b">
        <v>0</v>
      </c>
      <c r="F2485">
        <v>9</v>
      </c>
      <c r="G2485">
        <v>42</v>
      </c>
      <c r="H2485" t="s">
        <v>11</v>
      </c>
      <c r="I2485" t="b" cm="1">
        <f t="array" ref="I2485">isDup(B2485,B2486, 0.7)</f>
        <v>0</v>
      </c>
    </row>
    <row r="2486" spans="1:9" ht="17" x14ac:dyDescent="0.2">
      <c r="A2486" t="s">
        <v>2288</v>
      </c>
      <c r="B2486" s="1" t="s">
        <v>2289</v>
      </c>
      <c r="C2486" t="s">
        <v>1226</v>
      </c>
      <c r="D2486" s="1" t="s">
        <v>2</v>
      </c>
      <c r="E2486" t="b">
        <v>0</v>
      </c>
      <c r="F2486">
        <v>0</v>
      </c>
      <c r="G2486">
        <v>2</v>
      </c>
      <c r="H2486" t="s">
        <v>11</v>
      </c>
      <c r="I2486" t="b" cm="1">
        <f t="array" ref="I2486">isDup(B2486,B2487, 0.7)</f>
        <v>1</v>
      </c>
    </row>
    <row r="2487" spans="1:9" ht="17" x14ac:dyDescent="0.2">
      <c r="A2487" t="s">
        <v>1366</v>
      </c>
      <c r="B2487" s="1" t="s">
        <v>1367</v>
      </c>
      <c r="C2487" t="s">
        <v>958</v>
      </c>
      <c r="D2487" s="1" t="s">
        <v>1368</v>
      </c>
      <c r="E2487" t="b">
        <v>0</v>
      </c>
      <c r="F2487">
        <v>5440</v>
      </c>
      <c r="G2487">
        <v>3396</v>
      </c>
      <c r="H2487" t="s">
        <v>11</v>
      </c>
      <c r="I2487" t="b" cm="1">
        <f t="array" ref="I2487">isDup(B2487,B2488, 0.7)</f>
        <v>1</v>
      </c>
    </row>
    <row r="2488" spans="1:9" ht="34" x14ac:dyDescent="0.2">
      <c r="A2488" t="s">
        <v>7155</v>
      </c>
      <c r="B2488" s="1" t="s">
        <v>7158</v>
      </c>
      <c r="C2488" t="s">
        <v>5508</v>
      </c>
      <c r="D2488" s="1" t="s">
        <v>7159</v>
      </c>
      <c r="E2488" t="b">
        <v>0</v>
      </c>
      <c r="F2488">
        <v>31617</v>
      </c>
      <c r="G2488">
        <v>156</v>
      </c>
      <c r="H2488" t="s">
        <v>11</v>
      </c>
      <c r="I2488" t="b" cm="1">
        <f t="array" ref="I2488">isDup(B2488,B2489, 0.7)</f>
        <v>0</v>
      </c>
    </row>
    <row r="2489" spans="1:9" ht="17" x14ac:dyDescent="0.2">
      <c r="A2489" t="s">
        <v>6570</v>
      </c>
      <c r="B2489" s="1" t="s">
        <v>6571</v>
      </c>
      <c r="C2489" t="s">
        <v>6572</v>
      </c>
      <c r="D2489" s="1" t="s">
        <v>2</v>
      </c>
      <c r="E2489" t="b">
        <v>0</v>
      </c>
      <c r="F2489">
        <v>10</v>
      </c>
      <c r="G2489">
        <v>56</v>
      </c>
      <c r="H2489" t="s">
        <v>11</v>
      </c>
      <c r="I2489" t="b" cm="1">
        <f t="array" ref="I2489">isDup(B2489,B2490, 0.7)</f>
        <v>0</v>
      </c>
    </row>
    <row r="2490" spans="1:9" ht="17" x14ac:dyDescent="0.2">
      <c r="A2490" t="s">
        <v>4354</v>
      </c>
      <c r="B2490" s="1" t="s">
        <v>4355</v>
      </c>
      <c r="C2490" t="s">
        <v>1907</v>
      </c>
      <c r="D2490" s="1" t="s">
        <v>4356</v>
      </c>
      <c r="E2490" t="b">
        <v>0</v>
      </c>
      <c r="F2490">
        <v>371</v>
      </c>
      <c r="G2490">
        <v>42</v>
      </c>
      <c r="H2490" t="s">
        <v>73</v>
      </c>
      <c r="I2490" t="b" cm="1">
        <f t="array" ref="I2490">isDup(B2490,B2491, 0.7)</f>
        <v>0</v>
      </c>
    </row>
    <row r="2491" spans="1:9" ht="17" x14ac:dyDescent="0.2">
      <c r="A2491" t="s">
        <v>6086</v>
      </c>
      <c r="B2491" s="1" t="s">
        <v>6087</v>
      </c>
      <c r="C2491" t="s">
        <v>2375</v>
      </c>
      <c r="D2491" s="1" t="s">
        <v>2</v>
      </c>
      <c r="E2491" t="b">
        <v>0</v>
      </c>
      <c r="F2491">
        <v>610</v>
      </c>
      <c r="G2491">
        <v>389</v>
      </c>
      <c r="H2491" t="s">
        <v>11</v>
      </c>
      <c r="I2491" t="b" cm="1">
        <f t="array" ref="I2491">isDup(B2491,B2492, 0.7)</f>
        <v>0</v>
      </c>
    </row>
    <row r="2492" spans="1:9" ht="17" x14ac:dyDescent="0.2">
      <c r="A2492" t="s">
        <v>1718</v>
      </c>
      <c r="B2492" s="1" t="s">
        <v>1719</v>
      </c>
      <c r="C2492" t="s">
        <v>1720</v>
      </c>
      <c r="D2492" s="1" t="s">
        <v>1721</v>
      </c>
      <c r="E2492" t="b">
        <v>0</v>
      </c>
      <c r="F2492">
        <v>1848</v>
      </c>
      <c r="G2492">
        <v>1184</v>
      </c>
      <c r="H2492" t="s">
        <v>11</v>
      </c>
      <c r="I2492" t="b" cm="1">
        <f t="array" ref="I2492">isDup(B2492,B2493, 0.7)</f>
        <v>0</v>
      </c>
    </row>
    <row r="2493" spans="1:9" ht="34" x14ac:dyDescent="0.2">
      <c r="A2493" t="s">
        <v>6347</v>
      </c>
      <c r="B2493" s="1" t="s">
        <v>6348</v>
      </c>
      <c r="C2493" t="s">
        <v>627</v>
      </c>
      <c r="D2493" s="1" t="s">
        <v>2</v>
      </c>
      <c r="E2493" t="b">
        <v>0</v>
      </c>
      <c r="F2493">
        <v>18</v>
      </c>
      <c r="G2493">
        <v>118</v>
      </c>
      <c r="H2493" t="s">
        <v>47</v>
      </c>
      <c r="I2493" t="b" cm="1">
        <f t="array" ref="I2493">isDup(B2493,B2494, 0.7)</f>
        <v>0</v>
      </c>
    </row>
    <row r="2494" spans="1:9" ht="17" x14ac:dyDescent="0.2">
      <c r="A2494" t="s">
        <v>2162</v>
      </c>
      <c r="B2494" s="1" t="s">
        <v>2163</v>
      </c>
      <c r="C2494" t="s">
        <v>2058</v>
      </c>
      <c r="D2494" s="1" t="s">
        <v>701</v>
      </c>
      <c r="E2494" t="b">
        <v>0</v>
      </c>
      <c r="F2494">
        <v>792</v>
      </c>
      <c r="G2494">
        <v>310</v>
      </c>
      <c r="H2494" t="s">
        <v>11</v>
      </c>
      <c r="I2494" t="b" cm="1">
        <f t="array" ref="I2494">isDup(B2494,B2495, 0.7)</f>
        <v>0</v>
      </c>
    </row>
    <row r="2495" spans="1:9" ht="17" x14ac:dyDescent="0.2">
      <c r="A2495" t="s">
        <v>853</v>
      </c>
      <c r="B2495" s="1" t="s">
        <v>854</v>
      </c>
      <c r="C2495" t="s">
        <v>855</v>
      </c>
      <c r="D2495" s="1" t="s">
        <v>2</v>
      </c>
      <c r="E2495" t="b">
        <v>0</v>
      </c>
      <c r="F2495">
        <v>20</v>
      </c>
      <c r="G2495">
        <v>188</v>
      </c>
      <c r="H2495" t="s">
        <v>11</v>
      </c>
      <c r="I2495" t="b" cm="1">
        <f t="array" ref="I2495">isDup(B2495,B2496, 0.7)</f>
        <v>0</v>
      </c>
    </row>
    <row r="2496" spans="1:9" ht="17" x14ac:dyDescent="0.2">
      <c r="A2496" t="s">
        <v>1128</v>
      </c>
      <c r="B2496" s="1" t="s">
        <v>1129</v>
      </c>
      <c r="C2496" t="s">
        <v>700</v>
      </c>
      <c r="D2496" s="1" t="s">
        <v>2</v>
      </c>
      <c r="E2496" t="b">
        <v>0</v>
      </c>
      <c r="F2496">
        <v>35</v>
      </c>
      <c r="G2496">
        <v>45</v>
      </c>
      <c r="H2496" t="s">
        <v>11</v>
      </c>
      <c r="I2496" t="b" cm="1">
        <f t="array" ref="I2496">isDup(B2496,B2497, 0.7)</f>
        <v>0</v>
      </c>
    </row>
    <row r="2497" spans="1:9" ht="34" x14ac:dyDescent="0.2">
      <c r="A2497" t="s">
        <v>4510</v>
      </c>
      <c r="B2497" s="1" t="s">
        <v>4511</v>
      </c>
      <c r="C2497" t="s">
        <v>1324</v>
      </c>
      <c r="D2497" s="1" t="s">
        <v>1897</v>
      </c>
      <c r="E2497" t="b">
        <v>0</v>
      </c>
      <c r="F2497">
        <v>101</v>
      </c>
      <c r="G2497">
        <v>89</v>
      </c>
      <c r="H2497" t="s">
        <v>11</v>
      </c>
      <c r="I2497" t="b" cm="1">
        <f t="array" ref="I2497">isDup(B2497,B2498, 0.7)</f>
        <v>0</v>
      </c>
    </row>
    <row r="2498" spans="1:9" ht="17" x14ac:dyDescent="0.2">
      <c r="A2498" t="s">
        <v>3838</v>
      </c>
      <c r="B2498" s="1" t="s">
        <v>3839</v>
      </c>
      <c r="C2498" t="s">
        <v>3840</v>
      </c>
      <c r="D2498" s="1" t="s">
        <v>61</v>
      </c>
      <c r="E2498" t="b">
        <v>0</v>
      </c>
      <c r="F2498">
        <v>72</v>
      </c>
      <c r="G2498">
        <v>516</v>
      </c>
      <c r="H2498" t="s">
        <v>11</v>
      </c>
      <c r="I2498" t="b" cm="1">
        <f t="array" ref="I2498">isDup(B2498,B2499, 0.7)</f>
        <v>0</v>
      </c>
    </row>
    <row r="2499" spans="1:9" ht="17" x14ac:dyDescent="0.2">
      <c r="A2499" t="s">
        <v>55</v>
      </c>
      <c r="B2499" s="1" t="s">
        <v>56</v>
      </c>
      <c r="C2499" t="s">
        <v>57</v>
      </c>
      <c r="D2499" s="1" t="s">
        <v>58</v>
      </c>
      <c r="E2499" t="b">
        <v>0</v>
      </c>
      <c r="F2499">
        <v>238</v>
      </c>
      <c r="G2499">
        <v>1394</v>
      </c>
      <c r="H2499" t="s">
        <v>11</v>
      </c>
      <c r="I2499" t="b" cm="1">
        <f t="array" ref="I2499">isDup(B2499,B2500, 0.7)</f>
        <v>0</v>
      </c>
    </row>
    <row r="2500" spans="1:9" ht="34" x14ac:dyDescent="0.2">
      <c r="A2500" t="s">
        <v>2403</v>
      </c>
      <c r="B2500" s="1" t="s">
        <v>2404</v>
      </c>
      <c r="C2500" t="s">
        <v>1819</v>
      </c>
      <c r="D2500" s="1" t="s">
        <v>2405</v>
      </c>
      <c r="E2500" t="b">
        <v>0</v>
      </c>
      <c r="F2500">
        <v>460</v>
      </c>
      <c r="G2500">
        <v>277</v>
      </c>
      <c r="H2500" t="s">
        <v>11</v>
      </c>
      <c r="I2500" t="b" cm="1">
        <f t="array" ref="I2500">isDup(B2500,B2501, 0.7)</f>
        <v>0</v>
      </c>
    </row>
    <row r="2501" spans="1:9" ht="34" x14ac:dyDescent="0.2">
      <c r="A2501" t="s">
        <v>3013</v>
      </c>
      <c r="B2501" s="1" t="s">
        <v>3014</v>
      </c>
      <c r="C2501" t="s">
        <v>1621</v>
      </c>
      <c r="D2501" s="1" t="s">
        <v>3015</v>
      </c>
      <c r="E2501" t="b">
        <v>0</v>
      </c>
      <c r="F2501">
        <v>125</v>
      </c>
      <c r="G2501">
        <v>191</v>
      </c>
      <c r="H2501" t="s">
        <v>110</v>
      </c>
      <c r="I2501" t="b" cm="1">
        <f t="array" ref="I2501">isDup(B2501,B2502, 0.7)</f>
        <v>0</v>
      </c>
    </row>
    <row r="2502" spans="1:9" ht="34" x14ac:dyDescent="0.2">
      <c r="A2502" t="s">
        <v>4094</v>
      </c>
      <c r="B2502" s="1" t="s">
        <v>4095</v>
      </c>
      <c r="C2502" t="s">
        <v>1477</v>
      </c>
      <c r="D2502" s="1" t="s">
        <v>4096</v>
      </c>
      <c r="E2502" t="b">
        <v>0</v>
      </c>
      <c r="F2502">
        <v>13777</v>
      </c>
      <c r="G2502">
        <v>1750</v>
      </c>
      <c r="H2502" t="s">
        <v>11</v>
      </c>
      <c r="I2502" t="b" cm="1">
        <f t="array" ref="I2502">isDup(B2502,B2503, 0.7)</f>
        <v>0</v>
      </c>
    </row>
    <row r="2503" spans="1:9" ht="17" x14ac:dyDescent="0.2">
      <c r="A2503" t="s">
        <v>5865</v>
      </c>
      <c r="B2503" s="1" t="s">
        <v>5866</v>
      </c>
      <c r="C2503" t="s">
        <v>2102</v>
      </c>
      <c r="D2503" s="1" t="s">
        <v>928</v>
      </c>
      <c r="E2503" t="b">
        <v>0</v>
      </c>
      <c r="F2503">
        <v>27</v>
      </c>
      <c r="G2503">
        <v>167</v>
      </c>
      <c r="H2503" t="s">
        <v>11</v>
      </c>
      <c r="I2503" t="b" cm="1">
        <f t="array" ref="I2503">isDup(B2503,B2504, 0.7)</f>
        <v>0</v>
      </c>
    </row>
    <row r="2504" spans="1:9" ht="17" x14ac:dyDescent="0.2">
      <c r="A2504" t="s">
        <v>4487</v>
      </c>
      <c r="B2504" s="1" t="s">
        <v>4488</v>
      </c>
      <c r="C2504" t="s">
        <v>4478</v>
      </c>
      <c r="D2504" s="1" t="s">
        <v>2</v>
      </c>
      <c r="E2504" t="b">
        <v>0</v>
      </c>
      <c r="F2504">
        <v>2</v>
      </c>
      <c r="G2504">
        <v>82</v>
      </c>
      <c r="H2504" t="s">
        <v>11</v>
      </c>
      <c r="I2504" t="b" cm="1">
        <f t="array" ref="I2504">isDup(B2504,B2505, 0.7)</f>
        <v>0</v>
      </c>
    </row>
    <row r="2505" spans="1:9" ht="17" x14ac:dyDescent="0.2">
      <c r="A2505" t="s">
        <v>4476</v>
      </c>
      <c r="B2505" s="1" t="s">
        <v>4477</v>
      </c>
      <c r="C2505" t="s">
        <v>4478</v>
      </c>
      <c r="D2505" s="1" t="s">
        <v>2</v>
      </c>
      <c r="E2505" t="b">
        <v>0</v>
      </c>
      <c r="F2505">
        <v>2</v>
      </c>
      <c r="G2505">
        <v>82</v>
      </c>
      <c r="H2505" t="s">
        <v>11</v>
      </c>
      <c r="I2505" t="b" cm="1">
        <f t="array" ref="I2505">isDup(B2505,B2506, 0.7)</f>
        <v>0</v>
      </c>
    </row>
    <row r="2506" spans="1:9" ht="17" x14ac:dyDescent="0.2">
      <c r="A2506" t="s">
        <v>3799</v>
      </c>
      <c r="B2506" s="1" t="s">
        <v>3800</v>
      </c>
      <c r="C2506" t="s">
        <v>2371</v>
      </c>
      <c r="D2506" s="1" t="s">
        <v>2</v>
      </c>
      <c r="E2506" t="b">
        <v>0</v>
      </c>
      <c r="F2506">
        <v>153</v>
      </c>
      <c r="G2506">
        <v>438</v>
      </c>
      <c r="H2506" t="s">
        <v>11</v>
      </c>
      <c r="I2506" t="b" cm="1">
        <f t="array" ref="I2506">isDup(B2506,B2507, 0.7)</f>
        <v>0</v>
      </c>
    </row>
    <row r="2507" spans="1:9" ht="17" x14ac:dyDescent="0.2">
      <c r="A2507" t="s">
        <v>5068</v>
      </c>
      <c r="B2507" s="1" t="s">
        <v>5069</v>
      </c>
      <c r="C2507" t="s">
        <v>3540</v>
      </c>
      <c r="D2507" s="1" t="s">
        <v>2</v>
      </c>
      <c r="E2507" t="b">
        <v>0</v>
      </c>
      <c r="F2507">
        <v>37</v>
      </c>
      <c r="G2507">
        <v>144</v>
      </c>
      <c r="H2507" t="s">
        <v>11</v>
      </c>
      <c r="I2507" t="b" cm="1">
        <f t="array" ref="I2507">isDup(B2507,B2508, 0.7)</f>
        <v>0</v>
      </c>
    </row>
    <row r="2508" spans="1:9" ht="17" x14ac:dyDescent="0.2">
      <c r="A2508" t="s">
        <v>4047</v>
      </c>
      <c r="B2508" s="1" t="s">
        <v>4048</v>
      </c>
      <c r="C2508" t="s">
        <v>4049</v>
      </c>
      <c r="D2508" s="1" t="s">
        <v>2</v>
      </c>
      <c r="E2508" t="b">
        <v>0</v>
      </c>
      <c r="F2508">
        <v>287</v>
      </c>
      <c r="G2508">
        <v>250</v>
      </c>
      <c r="H2508" t="s">
        <v>11</v>
      </c>
      <c r="I2508" t="b" cm="1">
        <f t="array" ref="I2508">isDup(B2508,B2509, 0.7)</f>
        <v>0</v>
      </c>
    </row>
    <row r="2509" spans="1:9" ht="17" x14ac:dyDescent="0.2">
      <c r="A2509" t="s">
        <v>2876</v>
      </c>
      <c r="B2509" s="1" t="s">
        <v>2877</v>
      </c>
      <c r="C2509" t="s">
        <v>94</v>
      </c>
      <c r="D2509" s="1" t="s">
        <v>2878</v>
      </c>
      <c r="E2509" t="b">
        <v>0</v>
      </c>
      <c r="F2509">
        <v>19</v>
      </c>
      <c r="G2509">
        <v>32</v>
      </c>
      <c r="H2509" t="s">
        <v>11</v>
      </c>
      <c r="I2509" t="b" cm="1">
        <f t="array" ref="I2509">isDup(B2509,B2510, 0.7)</f>
        <v>0</v>
      </c>
    </row>
    <row r="2510" spans="1:9" ht="17" x14ac:dyDescent="0.2">
      <c r="A2510" t="s">
        <v>3937</v>
      </c>
      <c r="B2510" s="1" t="s">
        <v>3938</v>
      </c>
      <c r="C2510" t="s">
        <v>526</v>
      </c>
      <c r="D2510" s="1" t="s">
        <v>2</v>
      </c>
      <c r="E2510" t="b">
        <v>0</v>
      </c>
      <c r="F2510">
        <v>3125</v>
      </c>
      <c r="G2510">
        <v>4907</v>
      </c>
      <c r="H2510" t="s">
        <v>338</v>
      </c>
      <c r="I2510" t="b" cm="1">
        <f t="array" ref="I2510">isDup(B2510,B2511, 0.7)</f>
        <v>0</v>
      </c>
    </row>
    <row r="2511" spans="1:9" ht="17" x14ac:dyDescent="0.2">
      <c r="A2511" t="s">
        <v>2534</v>
      </c>
      <c r="B2511" s="1" t="s">
        <v>2535</v>
      </c>
      <c r="C2511" t="s">
        <v>716</v>
      </c>
      <c r="D2511" s="1" t="s">
        <v>2536</v>
      </c>
      <c r="E2511" t="b">
        <v>0</v>
      </c>
      <c r="F2511">
        <v>3247</v>
      </c>
      <c r="G2511">
        <v>196</v>
      </c>
      <c r="H2511" t="s">
        <v>11</v>
      </c>
      <c r="I2511" t="b" cm="1">
        <f t="array" ref="I2511">isDup(B2511,B2512, 0.7)</f>
        <v>0</v>
      </c>
    </row>
    <row r="2512" spans="1:9" ht="34" x14ac:dyDescent="0.2">
      <c r="A2512" t="s">
        <v>1996</v>
      </c>
      <c r="B2512" s="1" t="s">
        <v>1997</v>
      </c>
      <c r="C2512" t="s">
        <v>1998</v>
      </c>
      <c r="D2512" s="1" t="s">
        <v>2</v>
      </c>
      <c r="E2512" t="b">
        <v>0</v>
      </c>
      <c r="F2512">
        <v>4296</v>
      </c>
      <c r="G2512">
        <v>210</v>
      </c>
      <c r="H2512" t="s">
        <v>11</v>
      </c>
      <c r="I2512" t="b" cm="1">
        <f t="array" ref="I2512">isDup(B2512,B2513, 0.7)</f>
        <v>0</v>
      </c>
    </row>
    <row r="2513" spans="1:9" ht="17" x14ac:dyDescent="0.2">
      <c r="A2513" t="s">
        <v>6607</v>
      </c>
      <c r="B2513" s="1" t="s">
        <v>6608</v>
      </c>
      <c r="C2513" t="s">
        <v>1197</v>
      </c>
      <c r="D2513" s="1" t="s">
        <v>6609</v>
      </c>
      <c r="E2513" t="b">
        <v>0</v>
      </c>
      <c r="F2513">
        <v>199</v>
      </c>
      <c r="G2513">
        <v>1865</v>
      </c>
      <c r="H2513" t="s">
        <v>11</v>
      </c>
      <c r="I2513" t="b" cm="1">
        <f t="array" ref="I2513">isDup(B2513,B2514, 0.7)</f>
        <v>0</v>
      </c>
    </row>
    <row r="2514" spans="1:9" ht="34" x14ac:dyDescent="0.2">
      <c r="A2514" t="s">
        <v>385</v>
      </c>
      <c r="B2514" s="1" t="s">
        <v>386</v>
      </c>
      <c r="C2514" t="s">
        <v>387</v>
      </c>
      <c r="D2514" s="1" t="s">
        <v>388</v>
      </c>
      <c r="E2514" t="b">
        <v>0</v>
      </c>
      <c r="F2514">
        <v>2251</v>
      </c>
      <c r="G2514">
        <v>3132</v>
      </c>
      <c r="H2514" t="s">
        <v>11</v>
      </c>
      <c r="I2514" t="b" cm="1">
        <f t="array" ref="I2514">isDup(B2514,B2515, 0.7)</f>
        <v>0</v>
      </c>
    </row>
    <row r="2515" spans="1:9" ht="34" x14ac:dyDescent="0.2">
      <c r="A2515" t="s">
        <v>2085</v>
      </c>
      <c r="B2515" s="1" t="s">
        <v>2086</v>
      </c>
      <c r="C2515" t="s">
        <v>2087</v>
      </c>
      <c r="D2515" s="1" t="s">
        <v>2</v>
      </c>
      <c r="E2515" t="b">
        <v>0</v>
      </c>
      <c r="F2515">
        <v>28</v>
      </c>
      <c r="G2515">
        <v>241</v>
      </c>
      <c r="H2515" t="s">
        <v>11</v>
      </c>
      <c r="I2515" t="b" cm="1">
        <f t="array" ref="I2515">isDup(B2515,B2516, 0.7)</f>
        <v>0</v>
      </c>
    </row>
    <row r="2516" spans="1:9" ht="17" x14ac:dyDescent="0.2">
      <c r="A2516" t="s">
        <v>5412</v>
      </c>
      <c r="B2516" s="1" t="s">
        <v>5413</v>
      </c>
      <c r="C2516" t="s">
        <v>5414</v>
      </c>
      <c r="D2516" s="1" t="s">
        <v>562</v>
      </c>
      <c r="E2516" t="b">
        <v>0</v>
      </c>
      <c r="F2516">
        <v>2</v>
      </c>
      <c r="G2516">
        <v>9</v>
      </c>
      <c r="H2516" t="s">
        <v>359</v>
      </c>
      <c r="I2516" t="b" cm="1">
        <f t="array" ref="I2516">isDup(B2516,B2517, 0.7)</f>
        <v>0</v>
      </c>
    </row>
    <row r="2517" spans="1:9" ht="34" x14ac:dyDescent="0.2">
      <c r="A2517" t="s">
        <v>1376</v>
      </c>
      <c r="B2517" s="1" t="s">
        <v>1377</v>
      </c>
      <c r="C2517" t="s">
        <v>222</v>
      </c>
      <c r="D2517" s="1" t="s">
        <v>223</v>
      </c>
      <c r="E2517" t="b">
        <v>0</v>
      </c>
      <c r="F2517">
        <v>9224</v>
      </c>
      <c r="G2517">
        <v>7169</v>
      </c>
      <c r="H2517" t="s">
        <v>11</v>
      </c>
      <c r="I2517" t="b" cm="1">
        <f t="array" ref="I2517">isDup(B2517,B2518, 0.7)</f>
        <v>0</v>
      </c>
    </row>
    <row r="2518" spans="1:9" ht="34" x14ac:dyDescent="0.2">
      <c r="A2518" t="s">
        <v>4032</v>
      </c>
      <c r="B2518" s="1" t="s">
        <v>4033</v>
      </c>
      <c r="C2518" t="s">
        <v>4034</v>
      </c>
      <c r="D2518" s="1" t="s">
        <v>562</v>
      </c>
      <c r="E2518" t="b">
        <v>0</v>
      </c>
      <c r="F2518">
        <v>144</v>
      </c>
      <c r="G2518">
        <v>355</v>
      </c>
      <c r="H2518" t="s">
        <v>11</v>
      </c>
      <c r="I2518" t="b" cm="1">
        <f t="array" ref="I2518">isDup(B2518,B2519, 0.7)</f>
        <v>0</v>
      </c>
    </row>
    <row r="2519" spans="1:9" ht="34" x14ac:dyDescent="0.2">
      <c r="A2519" t="s">
        <v>228</v>
      </c>
      <c r="B2519" s="1" t="s">
        <v>229</v>
      </c>
      <c r="C2519" t="s">
        <v>230</v>
      </c>
      <c r="D2519" s="1" t="s">
        <v>231</v>
      </c>
      <c r="E2519" t="b">
        <v>0</v>
      </c>
      <c r="F2519">
        <v>22</v>
      </c>
      <c r="G2519">
        <v>105</v>
      </c>
      <c r="H2519" t="s">
        <v>11</v>
      </c>
      <c r="I2519" t="b" cm="1">
        <f t="array" ref="I2519">isDup(B2519,B2520, 0.7)</f>
        <v>0</v>
      </c>
    </row>
    <row r="2520" spans="1:9" ht="17" x14ac:dyDescent="0.2">
      <c r="A2520" t="s">
        <v>3429</v>
      </c>
      <c r="B2520" s="1" t="s">
        <v>3430</v>
      </c>
      <c r="C2520" t="s">
        <v>3431</v>
      </c>
      <c r="D2520" s="1" t="s">
        <v>1653</v>
      </c>
      <c r="E2520" t="b">
        <v>0</v>
      </c>
      <c r="F2520">
        <v>227</v>
      </c>
      <c r="G2520">
        <v>390</v>
      </c>
      <c r="H2520" t="s">
        <v>11</v>
      </c>
      <c r="I2520" t="b" cm="1">
        <f t="array" ref="I2520">isDup(B2520,B2521, 0.7)</f>
        <v>0</v>
      </c>
    </row>
    <row r="2521" spans="1:9" ht="17" x14ac:dyDescent="0.2">
      <c r="A2521" t="s">
        <v>804</v>
      </c>
      <c r="B2521" s="1" t="s">
        <v>805</v>
      </c>
      <c r="C2521" t="s">
        <v>806</v>
      </c>
      <c r="E2521" t="b">
        <v>0</v>
      </c>
      <c r="F2521">
        <v>2287</v>
      </c>
      <c r="G2521">
        <v>42</v>
      </c>
      <c r="H2521" t="s">
        <v>3</v>
      </c>
      <c r="I2521" t="b" cm="1">
        <f t="array" ref="I2521">isDup(B2521,B2522, 0.7)</f>
        <v>0</v>
      </c>
    </row>
    <row r="2522" spans="1:9" ht="17" x14ac:dyDescent="0.2">
      <c r="A2522" t="s">
        <v>5782</v>
      </c>
      <c r="B2522" s="1" t="s">
        <v>5783</v>
      </c>
      <c r="C2522" t="s">
        <v>1720</v>
      </c>
      <c r="D2522" s="1" t="s">
        <v>2</v>
      </c>
      <c r="E2522" t="b">
        <v>0</v>
      </c>
      <c r="F2522">
        <v>226</v>
      </c>
      <c r="G2522">
        <v>480</v>
      </c>
      <c r="H2522" t="s">
        <v>11</v>
      </c>
      <c r="I2522" t="b" cm="1">
        <f t="array" ref="I2522">isDup(B2522,B2523, 0.7)</f>
        <v>0</v>
      </c>
    </row>
    <row r="2523" spans="1:9" ht="17" x14ac:dyDescent="0.2">
      <c r="A2523" t="s">
        <v>3702</v>
      </c>
      <c r="B2523" s="1" t="s">
        <v>3703</v>
      </c>
      <c r="C2523" t="s">
        <v>2926</v>
      </c>
      <c r="D2523" s="1" t="s">
        <v>2</v>
      </c>
      <c r="E2523" t="b">
        <v>0</v>
      </c>
      <c r="F2523">
        <v>67</v>
      </c>
      <c r="G2523">
        <v>366</v>
      </c>
      <c r="H2523" t="s">
        <v>11</v>
      </c>
      <c r="I2523" t="b" cm="1">
        <f t="array" ref="I2523">isDup(B2523,B2524, 0.7)</f>
        <v>0</v>
      </c>
    </row>
    <row r="2524" spans="1:9" ht="17" x14ac:dyDescent="0.2">
      <c r="A2524" t="s">
        <v>6999</v>
      </c>
      <c r="B2524" s="1" t="s">
        <v>7000</v>
      </c>
      <c r="C2524" t="s">
        <v>2900</v>
      </c>
      <c r="D2524" s="1" t="s">
        <v>2</v>
      </c>
      <c r="E2524" t="b">
        <v>0</v>
      </c>
      <c r="F2524">
        <v>304</v>
      </c>
      <c r="G2524">
        <v>116</v>
      </c>
      <c r="H2524" t="s">
        <v>11</v>
      </c>
      <c r="I2524" t="b" cm="1">
        <f t="array" ref="I2524">isDup(B2524,B2525, 0.7)</f>
        <v>0</v>
      </c>
    </row>
    <row r="2525" spans="1:9" ht="34" x14ac:dyDescent="0.2">
      <c r="A2525" t="s">
        <v>4774</v>
      </c>
      <c r="B2525" s="1" t="s">
        <v>4775</v>
      </c>
      <c r="C2525" t="s">
        <v>2061</v>
      </c>
      <c r="D2525" s="1" t="s">
        <v>2062</v>
      </c>
      <c r="E2525" t="b">
        <v>0</v>
      </c>
      <c r="F2525">
        <v>9754</v>
      </c>
      <c r="G2525">
        <v>399</v>
      </c>
      <c r="H2525" t="s">
        <v>11</v>
      </c>
      <c r="I2525" t="b" cm="1">
        <f t="array" ref="I2525">isDup(B2525,B2526, 0.7)</f>
        <v>0</v>
      </c>
    </row>
    <row r="2526" spans="1:9" ht="17" x14ac:dyDescent="0.2">
      <c r="A2526" t="s">
        <v>7258</v>
      </c>
      <c r="B2526" s="1" t="s">
        <v>7259</v>
      </c>
      <c r="C2526" t="s">
        <v>100</v>
      </c>
      <c r="D2526" s="1" t="s">
        <v>101</v>
      </c>
      <c r="E2526" t="b">
        <v>0</v>
      </c>
      <c r="F2526">
        <v>4</v>
      </c>
      <c r="G2526">
        <v>54</v>
      </c>
      <c r="H2526" t="s">
        <v>11</v>
      </c>
      <c r="I2526" t="b" cm="1">
        <f t="array" ref="I2526">isDup(B2526,B2527, 0.7)</f>
        <v>0</v>
      </c>
    </row>
    <row r="2527" spans="1:9" ht="17" x14ac:dyDescent="0.2">
      <c r="A2527" t="s">
        <v>7251</v>
      </c>
      <c r="B2527" s="1" t="s">
        <v>7252</v>
      </c>
      <c r="C2527" t="s">
        <v>769</v>
      </c>
      <c r="D2527" s="1" t="s">
        <v>2</v>
      </c>
      <c r="E2527" t="b">
        <v>0</v>
      </c>
      <c r="F2527">
        <v>5</v>
      </c>
      <c r="G2527">
        <v>3</v>
      </c>
      <c r="H2527" t="s">
        <v>11</v>
      </c>
      <c r="I2527" t="b" cm="1">
        <f t="array" ref="I2527">isDup(B2527,B2528, 0.7)</f>
        <v>0</v>
      </c>
    </row>
    <row r="2528" spans="1:9" ht="17" x14ac:dyDescent="0.2">
      <c r="A2528" t="s">
        <v>3093</v>
      </c>
      <c r="B2528" s="1" t="s">
        <v>3094</v>
      </c>
      <c r="C2528" t="s">
        <v>2208</v>
      </c>
      <c r="D2528" s="1" t="s">
        <v>2</v>
      </c>
      <c r="E2528" t="b">
        <v>0</v>
      </c>
      <c r="F2528">
        <v>0</v>
      </c>
      <c r="G2528">
        <v>7</v>
      </c>
      <c r="H2528" t="s">
        <v>11</v>
      </c>
      <c r="I2528" t="b" cm="1">
        <f t="array" ref="I2528">isDup(B2528,B2529, 0.7)</f>
        <v>0</v>
      </c>
    </row>
    <row r="2529" spans="1:9" ht="17" x14ac:dyDescent="0.2">
      <c r="A2529" t="s">
        <v>5168</v>
      </c>
      <c r="B2529" s="1" t="s">
        <v>5169</v>
      </c>
      <c r="C2529" t="s">
        <v>769</v>
      </c>
      <c r="D2529" s="1" t="s">
        <v>1809</v>
      </c>
      <c r="E2529" t="b">
        <v>0</v>
      </c>
      <c r="F2529">
        <v>56</v>
      </c>
      <c r="G2529">
        <v>227</v>
      </c>
      <c r="H2529" t="s">
        <v>11</v>
      </c>
      <c r="I2529" t="b" cm="1">
        <f t="array" ref="I2529">isDup(B2529,B2530, 0.7)</f>
        <v>0</v>
      </c>
    </row>
    <row r="2530" spans="1:9" ht="17" x14ac:dyDescent="0.2">
      <c r="A2530" t="s">
        <v>80</v>
      </c>
      <c r="B2530" s="1" t="s">
        <v>81</v>
      </c>
      <c r="C2530" t="s">
        <v>82</v>
      </c>
      <c r="D2530" s="1" t="s">
        <v>2</v>
      </c>
      <c r="E2530" t="b">
        <v>0</v>
      </c>
      <c r="F2530">
        <v>706</v>
      </c>
      <c r="G2530">
        <v>493</v>
      </c>
      <c r="H2530" t="s">
        <v>83</v>
      </c>
      <c r="I2530" t="b" cm="1">
        <f t="array" ref="I2530">isDup(B2530,B2531, 0.7)</f>
        <v>0</v>
      </c>
    </row>
    <row r="2531" spans="1:9" ht="17" x14ac:dyDescent="0.2">
      <c r="A2531" t="s">
        <v>1898</v>
      </c>
      <c r="B2531" s="1" t="s">
        <v>1899</v>
      </c>
      <c r="C2531" t="s">
        <v>1885</v>
      </c>
      <c r="D2531" s="1">
        <v>1988</v>
      </c>
      <c r="E2531" t="b">
        <v>0</v>
      </c>
      <c r="F2531">
        <v>134</v>
      </c>
      <c r="G2531">
        <v>196</v>
      </c>
      <c r="H2531" t="s">
        <v>11</v>
      </c>
      <c r="I2531" t="b" cm="1">
        <f t="array" ref="I2531">isDup(B2531,B2532, 0.7)</f>
        <v>0</v>
      </c>
    </row>
    <row r="2532" spans="1:9" ht="17" x14ac:dyDescent="0.2">
      <c r="A2532" t="s">
        <v>6369</v>
      </c>
      <c r="B2532" s="1" t="s">
        <v>6370</v>
      </c>
      <c r="C2532" t="s">
        <v>6371</v>
      </c>
      <c r="D2532" s="1" t="s">
        <v>6372</v>
      </c>
      <c r="E2532" t="b">
        <v>0</v>
      </c>
      <c r="F2532">
        <v>811</v>
      </c>
      <c r="G2532">
        <v>1814</v>
      </c>
      <c r="H2532" t="s">
        <v>11</v>
      </c>
      <c r="I2532" t="b" cm="1">
        <f t="array" ref="I2532">isDup(B2532,B2533, 0.7)</f>
        <v>0</v>
      </c>
    </row>
    <row r="2533" spans="1:9" ht="17" x14ac:dyDescent="0.2">
      <c r="A2533" t="s">
        <v>3948</v>
      </c>
      <c r="B2533" s="1" t="s">
        <v>3949</v>
      </c>
      <c r="C2533" t="s">
        <v>2554</v>
      </c>
      <c r="D2533" s="1" t="s">
        <v>2</v>
      </c>
      <c r="E2533" t="b">
        <v>0</v>
      </c>
      <c r="F2533">
        <v>888</v>
      </c>
      <c r="G2533">
        <v>1446</v>
      </c>
      <c r="H2533" t="s">
        <v>11</v>
      </c>
      <c r="I2533" t="b" cm="1">
        <f t="array" ref="I2533">isDup(B2533,B2534, 0.7)</f>
        <v>0</v>
      </c>
    </row>
    <row r="2534" spans="1:9" ht="17" x14ac:dyDescent="0.2">
      <c r="A2534" t="s">
        <v>6935</v>
      </c>
      <c r="B2534" s="1" t="s">
        <v>6936</v>
      </c>
      <c r="C2534" t="s">
        <v>2604</v>
      </c>
      <c r="D2534" s="1" t="s">
        <v>399</v>
      </c>
      <c r="E2534" t="b">
        <v>0</v>
      </c>
      <c r="F2534">
        <v>3515</v>
      </c>
      <c r="G2534">
        <v>4998</v>
      </c>
      <c r="H2534" t="s">
        <v>11</v>
      </c>
      <c r="I2534" t="b" cm="1">
        <f t="array" ref="I2534">isDup(B2534,B2535, 0.7)</f>
        <v>0</v>
      </c>
    </row>
    <row r="2535" spans="1:9" ht="34" x14ac:dyDescent="0.2">
      <c r="A2535" t="s">
        <v>4187</v>
      </c>
      <c r="B2535" s="1" t="s">
        <v>4188</v>
      </c>
      <c r="C2535" t="s">
        <v>332</v>
      </c>
      <c r="D2535" s="1" t="s">
        <v>4189</v>
      </c>
      <c r="E2535" t="b">
        <v>0</v>
      </c>
      <c r="F2535">
        <v>492</v>
      </c>
      <c r="G2535">
        <v>1211</v>
      </c>
      <c r="H2535" t="s">
        <v>11</v>
      </c>
      <c r="I2535" t="b" cm="1">
        <f t="array" ref="I2535">isDup(B2535,B2536, 0.7)</f>
        <v>0</v>
      </c>
    </row>
    <row r="2536" spans="1:9" ht="17" x14ac:dyDescent="0.2">
      <c r="A2536" t="s">
        <v>6954</v>
      </c>
      <c r="B2536" s="1" t="s">
        <v>6955</v>
      </c>
      <c r="C2536" t="s">
        <v>181</v>
      </c>
      <c r="D2536" s="1" t="s">
        <v>5461</v>
      </c>
      <c r="E2536" t="b">
        <v>0</v>
      </c>
      <c r="F2536">
        <v>3715</v>
      </c>
      <c r="G2536">
        <v>3679</v>
      </c>
      <c r="H2536" t="s">
        <v>11</v>
      </c>
      <c r="I2536" t="b" cm="1">
        <f t="array" ref="I2536">isDup(B2536,B2537, 0.7)</f>
        <v>0</v>
      </c>
    </row>
    <row r="2537" spans="1:9" ht="17" x14ac:dyDescent="0.2">
      <c r="A2537" t="s">
        <v>5034</v>
      </c>
      <c r="B2537" s="1" t="s">
        <v>5035</v>
      </c>
      <c r="C2537" t="s">
        <v>1287</v>
      </c>
      <c r="D2537" s="1" t="s">
        <v>2</v>
      </c>
      <c r="E2537" t="b">
        <v>0</v>
      </c>
      <c r="F2537">
        <v>70</v>
      </c>
      <c r="G2537">
        <v>194</v>
      </c>
      <c r="H2537" t="s">
        <v>11</v>
      </c>
      <c r="I2537" t="b" cm="1">
        <f t="array" ref="I2537">isDup(B2537,B2538, 0.7)</f>
        <v>0</v>
      </c>
    </row>
    <row r="2538" spans="1:9" ht="17" x14ac:dyDescent="0.2">
      <c r="A2538" t="s">
        <v>6244</v>
      </c>
      <c r="B2538" s="1" t="s">
        <v>6245</v>
      </c>
      <c r="C2538" t="s">
        <v>6246</v>
      </c>
      <c r="D2538" s="1" t="s">
        <v>2</v>
      </c>
      <c r="E2538" t="b">
        <v>0</v>
      </c>
      <c r="F2538">
        <v>13</v>
      </c>
      <c r="G2538">
        <v>33</v>
      </c>
      <c r="H2538" t="s">
        <v>11</v>
      </c>
      <c r="I2538" t="b" cm="1">
        <f t="array" ref="I2538">isDup(B2538,B2539, 0.7)</f>
        <v>0</v>
      </c>
    </row>
    <row r="2539" spans="1:9" ht="17" x14ac:dyDescent="0.2">
      <c r="A2539" t="s">
        <v>4703</v>
      </c>
      <c r="B2539" s="1" t="s">
        <v>4704</v>
      </c>
      <c r="C2539" t="s">
        <v>4705</v>
      </c>
      <c r="D2539" s="1" t="s">
        <v>2399</v>
      </c>
      <c r="E2539" t="b">
        <v>0</v>
      </c>
      <c r="F2539">
        <v>884</v>
      </c>
      <c r="G2539">
        <v>1704</v>
      </c>
      <c r="H2539" t="s">
        <v>11</v>
      </c>
      <c r="I2539" t="b" cm="1">
        <f t="array" ref="I2539">isDup(B2539,B2540, 0.7)</f>
        <v>0</v>
      </c>
    </row>
    <row r="2540" spans="1:9" ht="34" x14ac:dyDescent="0.2">
      <c r="A2540" t="s">
        <v>2685</v>
      </c>
      <c r="B2540" s="1" t="s">
        <v>2686</v>
      </c>
      <c r="C2540" t="s">
        <v>2687</v>
      </c>
      <c r="D2540" s="1" t="s">
        <v>2688</v>
      </c>
      <c r="E2540" t="b">
        <v>0</v>
      </c>
      <c r="F2540">
        <v>231</v>
      </c>
      <c r="G2540">
        <v>1002</v>
      </c>
      <c r="H2540" t="s">
        <v>11</v>
      </c>
      <c r="I2540" t="b" cm="1">
        <f t="array" ref="I2540">isDup(B2540,B2541, 0.7)</f>
        <v>0</v>
      </c>
    </row>
    <row r="2541" spans="1:9" ht="17" x14ac:dyDescent="0.2">
      <c r="A2541" t="s">
        <v>6914</v>
      </c>
      <c r="B2541" s="1" t="s">
        <v>6915</v>
      </c>
      <c r="C2541" t="s">
        <v>1158</v>
      </c>
      <c r="D2541" s="1" t="s">
        <v>6916</v>
      </c>
      <c r="E2541" t="b">
        <v>0</v>
      </c>
      <c r="F2541">
        <v>73</v>
      </c>
      <c r="G2541">
        <v>68</v>
      </c>
      <c r="H2541" t="s">
        <v>11</v>
      </c>
      <c r="I2541" t="b" cm="1">
        <f t="array" ref="I2541">isDup(B2541,B2542, 0.7)</f>
        <v>0</v>
      </c>
    </row>
    <row r="2542" spans="1:9" ht="17" x14ac:dyDescent="0.2">
      <c r="A2542" t="s">
        <v>2550</v>
      </c>
      <c r="B2542" s="1" t="s">
        <v>2551</v>
      </c>
      <c r="C2542" t="s">
        <v>700</v>
      </c>
      <c r="D2542" s="1" t="s">
        <v>2</v>
      </c>
      <c r="E2542" t="b">
        <v>0</v>
      </c>
      <c r="F2542">
        <v>3543</v>
      </c>
      <c r="G2542">
        <v>964</v>
      </c>
      <c r="H2542" t="s">
        <v>11</v>
      </c>
      <c r="I2542" t="b" cm="1">
        <f t="array" ref="I2542">isDup(B2542,B2543, 0.7)</f>
        <v>0</v>
      </c>
    </row>
    <row r="2543" spans="1:9" ht="17" x14ac:dyDescent="0.2">
      <c r="A2543" t="s">
        <v>3455</v>
      </c>
      <c r="B2543" s="1" t="s">
        <v>3456</v>
      </c>
      <c r="C2543" t="s">
        <v>3457</v>
      </c>
      <c r="D2543" s="1" t="s">
        <v>3458</v>
      </c>
      <c r="E2543" t="b">
        <v>0</v>
      </c>
      <c r="F2543">
        <v>22</v>
      </c>
      <c r="G2543">
        <v>39</v>
      </c>
      <c r="H2543" t="s">
        <v>11</v>
      </c>
      <c r="I2543" t="b" cm="1">
        <f t="array" ref="I2543">isDup(B2543,B2544, 0.7)</f>
        <v>0</v>
      </c>
    </row>
    <row r="2544" spans="1:9" ht="17" x14ac:dyDescent="0.2">
      <c r="A2544" t="s">
        <v>6996</v>
      </c>
      <c r="B2544" s="1" t="s">
        <v>6997</v>
      </c>
      <c r="C2544" t="s">
        <v>6998</v>
      </c>
      <c r="D2544" s="1" t="s">
        <v>1653</v>
      </c>
      <c r="E2544" t="b">
        <v>0</v>
      </c>
      <c r="F2544">
        <v>34</v>
      </c>
      <c r="G2544">
        <v>337</v>
      </c>
      <c r="H2544" t="s">
        <v>11</v>
      </c>
      <c r="I2544" t="b" cm="1">
        <f t="array" ref="I2544">isDup(B2544,B2545, 0.7)</f>
        <v>0</v>
      </c>
    </row>
    <row r="2545" spans="1:9" ht="17" x14ac:dyDescent="0.2">
      <c r="A2545" t="s">
        <v>309</v>
      </c>
      <c r="B2545" s="1" t="s">
        <v>310</v>
      </c>
      <c r="C2545" t="s">
        <v>311</v>
      </c>
      <c r="D2545" s="1" t="s">
        <v>312</v>
      </c>
      <c r="E2545" t="b">
        <v>0</v>
      </c>
      <c r="F2545">
        <v>207</v>
      </c>
      <c r="G2545">
        <v>630</v>
      </c>
      <c r="H2545" t="s">
        <v>11</v>
      </c>
      <c r="I2545" t="b" cm="1">
        <f t="array" ref="I2545">isDup(B2545,B2546, 0.7)</f>
        <v>0</v>
      </c>
    </row>
    <row r="2546" spans="1:9" ht="17" x14ac:dyDescent="0.2">
      <c r="A2546" t="s">
        <v>3906</v>
      </c>
      <c r="B2546" s="1" t="s">
        <v>3907</v>
      </c>
      <c r="C2546" t="s">
        <v>3908</v>
      </c>
      <c r="D2546" s="1" t="s">
        <v>2</v>
      </c>
      <c r="E2546" t="b">
        <v>0</v>
      </c>
      <c r="F2546">
        <v>748</v>
      </c>
      <c r="G2546">
        <v>1337</v>
      </c>
      <c r="H2546" t="s">
        <v>11</v>
      </c>
      <c r="I2546" t="b" cm="1">
        <f t="array" ref="I2546">isDup(B2546,B2547, 0.7)</f>
        <v>0</v>
      </c>
    </row>
    <row r="2547" spans="1:9" ht="17" x14ac:dyDescent="0.2">
      <c r="A2547" t="s">
        <v>2659</v>
      </c>
      <c r="B2547" s="1" t="s">
        <v>2660</v>
      </c>
      <c r="C2547" t="s">
        <v>2661</v>
      </c>
      <c r="D2547" s="1" t="s">
        <v>2662</v>
      </c>
      <c r="E2547" t="b">
        <v>0</v>
      </c>
      <c r="F2547">
        <v>7</v>
      </c>
      <c r="G2547">
        <v>282</v>
      </c>
      <c r="H2547" t="s">
        <v>11</v>
      </c>
      <c r="I2547" t="b" cm="1">
        <f t="array" ref="I2547">isDup(B2547,B2548, 0.7)</f>
        <v>0</v>
      </c>
    </row>
    <row r="2548" spans="1:9" ht="34" x14ac:dyDescent="0.2">
      <c r="A2548" t="s">
        <v>4435</v>
      </c>
      <c r="B2548" s="1" t="s">
        <v>4436</v>
      </c>
      <c r="C2548" t="s">
        <v>644</v>
      </c>
      <c r="D2548" s="1" t="s">
        <v>316</v>
      </c>
      <c r="E2548" t="b">
        <v>0</v>
      </c>
      <c r="F2548">
        <v>194</v>
      </c>
      <c r="G2548">
        <v>297</v>
      </c>
      <c r="H2548" t="s">
        <v>11</v>
      </c>
      <c r="I2548" t="b" cm="1">
        <f t="array" ref="I2548">isDup(B2548,B2549, 0.7)</f>
        <v>0</v>
      </c>
    </row>
    <row r="2549" spans="1:9" ht="34" x14ac:dyDescent="0.2">
      <c r="A2549" t="s">
        <v>1950</v>
      </c>
      <c r="B2549" s="1" t="s">
        <v>1951</v>
      </c>
      <c r="C2549" t="s">
        <v>1541</v>
      </c>
      <c r="D2549" s="1" t="s">
        <v>2</v>
      </c>
      <c r="E2549" t="b">
        <v>0</v>
      </c>
      <c r="F2549">
        <v>4</v>
      </c>
      <c r="G2549">
        <v>113</v>
      </c>
      <c r="H2549" t="s">
        <v>11</v>
      </c>
      <c r="I2549" t="b" cm="1">
        <f t="array" ref="I2549">isDup(B2549,B2550, 0.7)</f>
        <v>0</v>
      </c>
    </row>
    <row r="2550" spans="1:9" ht="17" x14ac:dyDescent="0.2">
      <c r="A2550" t="s">
        <v>856</v>
      </c>
      <c r="B2550" s="1" t="s">
        <v>857</v>
      </c>
      <c r="C2550" t="s">
        <v>858</v>
      </c>
      <c r="D2550" s="1" t="s">
        <v>2</v>
      </c>
      <c r="E2550" t="b">
        <v>0</v>
      </c>
      <c r="F2550">
        <v>280</v>
      </c>
      <c r="G2550">
        <v>505</v>
      </c>
      <c r="H2550" t="s">
        <v>11</v>
      </c>
      <c r="I2550" t="b" cm="1">
        <f t="array" ref="I2550">isDup(B2550,B2551, 0.7)</f>
        <v>0</v>
      </c>
    </row>
    <row r="2551" spans="1:9" ht="17" x14ac:dyDescent="0.2">
      <c r="A2551" t="s">
        <v>3973</v>
      </c>
      <c r="B2551" s="1" t="s">
        <v>3974</v>
      </c>
      <c r="C2551" t="s">
        <v>3072</v>
      </c>
      <c r="D2551" s="1" t="s">
        <v>506</v>
      </c>
      <c r="E2551" t="b">
        <v>0</v>
      </c>
      <c r="F2551">
        <v>8</v>
      </c>
      <c r="G2551">
        <v>35</v>
      </c>
      <c r="H2551" t="s">
        <v>11</v>
      </c>
      <c r="I2551" t="b" cm="1">
        <f t="array" ref="I2551">isDup(B2551,B2552, 0.7)</f>
        <v>0</v>
      </c>
    </row>
    <row r="2552" spans="1:9" ht="17" x14ac:dyDescent="0.2">
      <c r="A2552" t="s">
        <v>6241</v>
      </c>
      <c r="B2552" s="1" t="s">
        <v>6242</v>
      </c>
      <c r="C2552" t="s">
        <v>6243</v>
      </c>
      <c r="D2552" s="1" t="s">
        <v>2</v>
      </c>
      <c r="E2552" t="b">
        <v>0</v>
      </c>
      <c r="F2552">
        <v>3</v>
      </c>
      <c r="G2552">
        <v>15</v>
      </c>
      <c r="H2552" t="s">
        <v>47</v>
      </c>
      <c r="I2552" t="b" cm="1">
        <f t="array" ref="I2552">isDup(B2552,B2553, 0.7)</f>
        <v>0</v>
      </c>
    </row>
    <row r="2553" spans="1:9" ht="17" x14ac:dyDescent="0.2">
      <c r="A2553" t="s">
        <v>1074</v>
      </c>
      <c r="B2553" s="1" t="s">
        <v>1075</v>
      </c>
      <c r="C2553" t="s">
        <v>275</v>
      </c>
      <c r="D2553" s="1" t="s">
        <v>565</v>
      </c>
      <c r="E2553" t="b">
        <v>0</v>
      </c>
      <c r="F2553">
        <v>299</v>
      </c>
      <c r="G2553">
        <v>310</v>
      </c>
      <c r="H2553" t="s">
        <v>11</v>
      </c>
      <c r="I2553" t="b" cm="1">
        <f t="array" ref="I2553">isDup(B2553,B2554, 0.7)</f>
        <v>0</v>
      </c>
    </row>
    <row r="2554" spans="1:9" ht="34" x14ac:dyDescent="0.2">
      <c r="A2554" t="s">
        <v>5234</v>
      </c>
      <c r="B2554" s="1" t="s">
        <v>5235</v>
      </c>
      <c r="C2554" t="s">
        <v>5163</v>
      </c>
      <c r="D2554" s="1" t="s">
        <v>5236</v>
      </c>
      <c r="E2554" t="b">
        <v>0</v>
      </c>
      <c r="F2554">
        <v>224</v>
      </c>
      <c r="G2554">
        <v>572</v>
      </c>
      <c r="H2554" t="s">
        <v>11</v>
      </c>
      <c r="I2554" t="b" cm="1">
        <f t="array" ref="I2554">isDup(B2554,B2555, 0.7)</f>
        <v>0</v>
      </c>
    </row>
    <row r="2555" spans="1:9" ht="17" x14ac:dyDescent="0.2">
      <c r="A2555" t="s">
        <v>3622</v>
      </c>
      <c r="B2555" s="1" t="s">
        <v>3623</v>
      </c>
      <c r="C2555" t="s">
        <v>435</v>
      </c>
      <c r="D2555" s="1" t="s">
        <v>3624</v>
      </c>
      <c r="E2555" t="b">
        <v>0</v>
      </c>
      <c r="F2555">
        <v>7</v>
      </c>
      <c r="G2555">
        <v>13</v>
      </c>
      <c r="H2555" t="s">
        <v>2180</v>
      </c>
      <c r="I2555" t="b" cm="1">
        <f t="array" ref="I2555">isDup(B2555,B2556, 0.7)</f>
        <v>0</v>
      </c>
    </row>
    <row r="2556" spans="1:9" ht="17" x14ac:dyDescent="0.2">
      <c r="A2556" t="s">
        <v>4550</v>
      </c>
      <c r="B2556" s="1" t="s">
        <v>4551</v>
      </c>
      <c r="C2556" t="s">
        <v>406</v>
      </c>
      <c r="D2556" s="1" t="s">
        <v>4552</v>
      </c>
      <c r="E2556" t="b">
        <v>0</v>
      </c>
      <c r="F2556">
        <v>2089</v>
      </c>
      <c r="G2556">
        <v>4647</v>
      </c>
      <c r="H2556" t="s">
        <v>11</v>
      </c>
      <c r="I2556" t="b" cm="1">
        <f t="array" ref="I2556">isDup(B2556,B2557, 0.7)</f>
        <v>0</v>
      </c>
    </row>
    <row r="2557" spans="1:9" ht="17" x14ac:dyDescent="0.2">
      <c r="A2557" t="s">
        <v>3242</v>
      </c>
      <c r="B2557" s="1" t="s">
        <v>3243</v>
      </c>
      <c r="C2557" t="s">
        <v>3244</v>
      </c>
      <c r="D2557" s="1" t="s">
        <v>2</v>
      </c>
      <c r="E2557" t="b">
        <v>0</v>
      </c>
      <c r="F2557">
        <v>10</v>
      </c>
      <c r="G2557">
        <v>28</v>
      </c>
      <c r="H2557" t="s">
        <v>11</v>
      </c>
      <c r="I2557" t="b" cm="1">
        <f t="array" ref="I2557">isDup(B2557,B2558, 0.7)</f>
        <v>0</v>
      </c>
    </row>
    <row r="2558" spans="1:9" ht="17" x14ac:dyDescent="0.2">
      <c r="A2558" t="s">
        <v>3923</v>
      </c>
      <c r="B2558" s="1" t="s">
        <v>3924</v>
      </c>
      <c r="C2558" t="s">
        <v>275</v>
      </c>
      <c r="D2558" s="1" t="s">
        <v>95</v>
      </c>
      <c r="E2558" t="b">
        <v>0</v>
      </c>
      <c r="F2558">
        <v>707</v>
      </c>
      <c r="G2558">
        <v>0</v>
      </c>
      <c r="H2558" t="s">
        <v>11</v>
      </c>
      <c r="I2558" t="b" cm="1">
        <f t="array" ref="I2558">isDup(B2558,B2559, 0.7)</f>
        <v>0</v>
      </c>
    </row>
    <row r="2559" spans="1:9" ht="17" x14ac:dyDescent="0.2">
      <c r="A2559" t="s">
        <v>3158</v>
      </c>
      <c r="B2559" s="1" t="s">
        <v>3159</v>
      </c>
      <c r="C2559" t="s">
        <v>3160</v>
      </c>
      <c r="D2559" s="1" t="s">
        <v>3161</v>
      </c>
      <c r="E2559" t="b">
        <v>0</v>
      </c>
      <c r="F2559">
        <v>66</v>
      </c>
      <c r="G2559">
        <v>97</v>
      </c>
      <c r="H2559" t="s">
        <v>11</v>
      </c>
      <c r="I2559" t="b" cm="1">
        <f t="array" ref="I2559">isDup(B2559,B2560, 0.7)</f>
        <v>0</v>
      </c>
    </row>
    <row r="2560" spans="1:9" ht="17" x14ac:dyDescent="0.2">
      <c r="A2560" t="s">
        <v>6746</v>
      </c>
      <c r="B2560" s="1" t="s">
        <v>6747</v>
      </c>
      <c r="C2560" t="s">
        <v>2554</v>
      </c>
      <c r="D2560" s="1" t="s">
        <v>2</v>
      </c>
      <c r="E2560" t="b">
        <v>0</v>
      </c>
      <c r="F2560">
        <v>891</v>
      </c>
      <c r="G2560">
        <v>1448</v>
      </c>
      <c r="H2560" t="s">
        <v>11</v>
      </c>
      <c r="I2560" t="b" cm="1">
        <f t="array" ref="I2560">isDup(B2560,B2561, 0.7)</f>
        <v>1</v>
      </c>
    </row>
    <row r="2561" spans="1:9" ht="17" x14ac:dyDescent="0.2">
      <c r="A2561" t="s">
        <v>7229</v>
      </c>
      <c r="B2561" s="1" t="s">
        <v>7230</v>
      </c>
      <c r="C2561" t="s">
        <v>2554</v>
      </c>
      <c r="D2561" s="1" t="s">
        <v>2</v>
      </c>
      <c r="E2561" t="b">
        <v>0</v>
      </c>
      <c r="F2561">
        <v>894</v>
      </c>
      <c r="G2561">
        <v>1448</v>
      </c>
      <c r="H2561" t="s">
        <v>11</v>
      </c>
      <c r="I2561" t="b" cm="1">
        <f t="array" ref="I2561">isDup(B2561,B2562, 0.7)</f>
        <v>0</v>
      </c>
    </row>
    <row r="2562" spans="1:9" ht="17" x14ac:dyDescent="0.2">
      <c r="A2562" t="s">
        <v>4349</v>
      </c>
      <c r="B2562" s="1" t="s">
        <v>4350</v>
      </c>
      <c r="C2562" t="s">
        <v>3817</v>
      </c>
      <c r="D2562" s="1" t="s">
        <v>4351</v>
      </c>
      <c r="E2562" t="b">
        <v>0</v>
      </c>
      <c r="F2562">
        <v>33</v>
      </c>
      <c r="G2562">
        <v>428</v>
      </c>
      <c r="H2562" t="s">
        <v>11</v>
      </c>
      <c r="I2562" t="b" cm="1">
        <f t="array" ref="I2562">isDup(B2562,B2563, 0.7)</f>
        <v>0</v>
      </c>
    </row>
    <row r="2563" spans="1:9" ht="34" x14ac:dyDescent="0.2">
      <c r="A2563" t="s">
        <v>4959</v>
      </c>
      <c r="B2563" s="1" t="s">
        <v>4960</v>
      </c>
      <c r="C2563" t="s">
        <v>769</v>
      </c>
      <c r="D2563" s="1" t="s">
        <v>2</v>
      </c>
      <c r="E2563" t="b">
        <v>0</v>
      </c>
      <c r="F2563">
        <v>1</v>
      </c>
      <c r="G2563">
        <v>0</v>
      </c>
      <c r="H2563" t="s">
        <v>11</v>
      </c>
      <c r="I2563" t="b" cm="1">
        <f t="array" ref="I2563">isDup(B2563,B2564, 0.7)</f>
        <v>0</v>
      </c>
    </row>
    <row r="2564" spans="1:9" ht="17" x14ac:dyDescent="0.2">
      <c r="A2564" t="s">
        <v>4614</v>
      </c>
      <c r="B2564" s="1" t="s">
        <v>4615</v>
      </c>
      <c r="C2564" t="s">
        <v>2896</v>
      </c>
      <c r="D2564" s="1" t="s">
        <v>4616</v>
      </c>
      <c r="E2564" t="b">
        <v>0</v>
      </c>
      <c r="F2564">
        <v>362</v>
      </c>
      <c r="G2564">
        <v>652</v>
      </c>
      <c r="H2564" t="s">
        <v>11</v>
      </c>
      <c r="I2564" t="b" cm="1">
        <f t="array" ref="I2564">isDup(B2564,B2565, 0.7)</f>
        <v>0</v>
      </c>
    </row>
    <row r="2565" spans="1:9" ht="17" x14ac:dyDescent="0.2">
      <c r="A2565" t="s">
        <v>3544</v>
      </c>
      <c r="B2565" s="1" t="s">
        <v>3545</v>
      </c>
      <c r="C2565" t="s">
        <v>222</v>
      </c>
      <c r="D2565" s="1" t="s">
        <v>3546</v>
      </c>
      <c r="E2565" t="b">
        <v>0</v>
      </c>
      <c r="F2565">
        <v>3236</v>
      </c>
      <c r="G2565">
        <v>3407</v>
      </c>
      <c r="H2565" t="s">
        <v>11</v>
      </c>
      <c r="I2565" t="b" cm="1">
        <f t="array" ref="I2565">isDup(B2565,B2566, 0.7)</f>
        <v>0</v>
      </c>
    </row>
    <row r="2566" spans="1:9" ht="17" x14ac:dyDescent="0.2">
      <c r="A2566" t="s">
        <v>4445</v>
      </c>
      <c r="B2566" s="1" t="s">
        <v>4446</v>
      </c>
      <c r="C2566" t="s">
        <v>271</v>
      </c>
      <c r="D2566" s="1" t="s">
        <v>2</v>
      </c>
      <c r="E2566" t="b">
        <v>0</v>
      </c>
      <c r="F2566">
        <v>29984</v>
      </c>
      <c r="G2566">
        <v>981</v>
      </c>
      <c r="H2566" t="s">
        <v>47</v>
      </c>
      <c r="I2566" t="b" cm="1">
        <f t="array" ref="I2566">isDup(B2566,B2567, 0.7)</f>
        <v>1</v>
      </c>
    </row>
    <row r="2567" spans="1:9" ht="17" x14ac:dyDescent="0.2">
      <c r="A2567" t="s">
        <v>7168</v>
      </c>
      <c r="B2567" s="1" t="s">
        <v>7169</v>
      </c>
      <c r="C2567" t="s">
        <v>271</v>
      </c>
      <c r="D2567" s="1" t="s">
        <v>2</v>
      </c>
      <c r="E2567" t="b">
        <v>0</v>
      </c>
      <c r="F2567">
        <v>29718</v>
      </c>
      <c r="G2567">
        <v>981</v>
      </c>
      <c r="H2567" t="s">
        <v>47</v>
      </c>
      <c r="I2567" t="b" cm="1">
        <f t="array" ref="I2567">isDup(B2567,B2568, 0.7)</f>
        <v>0</v>
      </c>
    </row>
    <row r="2568" spans="1:9" ht="17" x14ac:dyDescent="0.2">
      <c r="A2568" t="s">
        <v>5129</v>
      </c>
      <c r="B2568" s="1" t="s">
        <v>5130</v>
      </c>
      <c r="C2568" t="s">
        <v>611</v>
      </c>
      <c r="D2568" s="1" t="s">
        <v>612</v>
      </c>
      <c r="E2568" t="b">
        <v>0</v>
      </c>
      <c r="F2568">
        <v>14</v>
      </c>
      <c r="G2568">
        <v>27</v>
      </c>
      <c r="H2568" t="s">
        <v>47</v>
      </c>
      <c r="I2568" t="b" cm="1">
        <f t="array" ref="I2568">isDup(B2568,B2569, 0.7)</f>
        <v>0</v>
      </c>
    </row>
    <row r="2569" spans="1:9" ht="34" x14ac:dyDescent="0.2">
      <c r="A2569" t="s">
        <v>3427</v>
      </c>
      <c r="B2569" s="1" t="s">
        <v>3428</v>
      </c>
      <c r="C2569" t="s">
        <v>193</v>
      </c>
      <c r="D2569" s="1" t="s">
        <v>2</v>
      </c>
      <c r="E2569" t="b">
        <v>0</v>
      </c>
      <c r="F2569">
        <v>153</v>
      </c>
      <c r="G2569">
        <v>500</v>
      </c>
      <c r="H2569" t="s">
        <v>11</v>
      </c>
      <c r="I2569" t="b" cm="1">
        <f t="array" ref="I2569">isDup(B2569,B2570, 0.7)</f>
        <v>0</v>
      </c>
    </row>
    <row r="2570" spans="1:9" ht="17" x14ac:dyDescent="0.2">
      <c r="A2570" t="s">
        <v>3775</v>
      </c>
      <c r="B2570" s="1" t="s">
        <v>3776</v>
      </c>
      <c r="C2570" t="s">
        <v>3765</v>
      </c>
      <c r="D2570" s="1" t="s">
        <v>3777</v>
      </c>
      <c r="E2570" t="b">
        <v>0</v>
      </c>
      <c r="F2570">
        <v>2014</v>
      </c>
      <c r="G2570">
        <v>402</v>
      </c>
      <c r="H2570" t="s">
        <v>11</v>
      </c>
      <c r="I2570" t="b" cm="1">
        <f t="array" ref="I2570">isDup(B2570,B2571, 0.7)</f>
        <v>0</v>
      </c>
    </row>
    <row r="2571" spans="1:9" ht="34" x14ac:dyDescent="0.2">
      <c r="A2571" t="s">
        <v>4853</v>
      </c>
      <c r="B2571" s="1" t="s">
        <v>4854</v>
      </c>
      <c r="C2571" t="s">
        <v>3439</v>
      </c>
      <c r="D2571" s="1" t="s">
        <v>3712</v>
      </c>
      <c r="E2571" t="b">
        <v>0</v>
      </c>
      <c r="F2571">
        <v>2423</v>
      </c>
      <c r="G2571">
        <v>1340</v>
      </c>
      <c r="H2571" t="s">
        <v>11</v>
      </c>
      <c r="I2571" t="b" cm="1">
        <f t="array" ref="I2571">isDup(B2571,B2572, 0.7)</f>
        <v>0</v>
      </c>
    </row>
    <row r="2572" spans="1:9" ht="17" x14ac:dyDescent="0.2">
      <c r="A2572" t="s">
        <v>743</v>
      </c>
      <c r="B2572" s="1" t="s">
        <v>744</v>
      </c>
      <c r="C2572" t="s">
        <v>745</v>
      </c>
      <c r="D2572" s="1" t="s">
        <v>2</v>
      </c>
      <c r="E2572" t="b">
        <v>0</v>
      </c>
      <c r="F2572">
        <v>32</v>
      </c>
      <c r="G2572">
        <v>0</v>
      </c>
      <c r="H2572" t="s">
        <v>11</v>
      </c>
      <c r="I2572" t="b" cm="1">
        <f t="array" ref="I2572">isDup(B2572,B2573, 0.7)</f>
        <v>0</v>
      </c>
    </row>
    <row r="2573" spans="1:9" ht="34" x14ac:dyDescent="0.2">
      <c r="A2573" t="s">
        <v>2068</v>
      </c>
      <c r="B2573" s="1" t="s">
        <v>2069</v>
      </c>
      <c r="C2573" t="s">
        <v>289</v>
      </c>
      <c r="D2573" s="1" t="s">
        <v>2</v>
      </c>
      <c r="E2573" t="b">
        <v>0</v>
      </c>
      <c r="F2573">
        <v>3634</v>
      </c>
      <c r="G2573">
        <v>3732</v>
      </c>
      <c r="H2573" t="s">
        <v>11</v>
      </c>
      <c r="I2573" t="b" cm="1">
        <f t="array" ref="I2573">isDup(B2573,B2574, 0.7)</f>
        <v>0</v>
      </c>
    </row>
    <row r="2574" spans="1:9" ht="34" x14ac:dyDescent="0.2">
      <c r="A2574" t="s">
        <v>3851</v>
      </c>
      <c r="B2574" s="1" t="s">
        <v>3852</v>
      </c>
      <c r="C2574" t="s">
        <v>3853</v>
      </c>
      <c r="D2574" s="1" t="s">
        <v>2</v>
      </c>
      <c r="E2574" t="b">
        <v>0</v>
      </c>
      <c r="F2574">
        <v>21</v>
      </c>
      <c r="G2574">
        <v>137</v>
      </c>
      <c r="H2574" t="s">
        <v>83</v>
      </c>
      <c r="I2574" t="b" cm="1">
        <f t="array" ref="I2574">isDup(B2574,B2575, 0.7)</f>
        <v>0</v>
      </c>
    </row>
    <row r="2575" spans="1:9" ht="34" x14ac:dyDescent="0.2">
      <c r="A2575" t="s">
        <v>6198</v>
      </c>
      <c r="B2575" s="1" t="s">
        <v>6199</v>
      </c>
      <c r="C2575" t="s">
        <v>222</v>
      </c>
      <c r="D2575" s="1" t="s">
        <v>6200</v>
      </c>
      <c r="E2575" t="b">
        <v>0</v>
      </c>
      <c r="F2575">
        <v>390</v>
      </c>
      <c r="G2575">
        <v>500</v>
      </c>
      <c r="H2575" t="s">
        <v>11</v>
      </c>
      <c r="I2575" t="b" cm="1">
        <f t="array" ref="I2575">isDup(B2575,B2576, 0.7)</f>
        <v>0</v>
      </c>
    </row>
    <row r="2576" spans="1:9" ht="17" x14ac:dyDescent="0.2">
      <c r="A2576" t="s">
        <v>202</v>
      </c>
      <c r="B2576" s="1" t="s">
        <v>203</v>
      </c>
      <c r="C2576" t="s">
        <v>204</v>
      </c>
      <c r="D2576" s="1" t="s">
        <v>205</v>
      </c>
      <c r="E2576" t="b">
        <v>0</v>
      </c>
      <c r="F2576">
        <v>562</v>
      </c>
      <c r="G2576">
        <v>588</v>
      </c>
      <c r="H2576" t="s">
        <v>11</v>
      </c>
      <c r="I2576" t="b" cm="1">
        <f t="array" ref="I2576">isDup(B2576,B2577, 0.7)</f>
        <v>0</v>
      </c>
    </row>
    <row r="2577" spans="1:9" ht="34" x14ac:dyDescent="0.2">
      <c r="A2577" t="s">
        <v>1136</v>
      </c>
      <c r="B2577" s="1" t="s">
        <v>1137</v>
      </c>
      <c r="C2577" t="s">
        <v>1138</v>
      </c>
      <c r="D2577" s="1" t="s">
        <v>1139</v>
      </c>
      <c r="E2577" t="b">
        <v>0</v>
      </c>
      <c r="F2577">
        <v>4774</v>
      </c>
      <c r="G2577">
        <v>1095</v>
      </c>
      <c r="H2577" t="s">
        <v>11</v>
      </c>
      <c r="I2577" t="b" cm="1">
        <f t="array" ref="I2577">isDup(B2577,B2578, 0.7)</f>
        <v>0</v>
      </c>
    </row>
    <row r="2578" spans="1:9" ht="34" x14ac:dyDescent="0.2">
      <c r="A2578" t="s">
        <v>5030</v>
      </c>
      <c r="B2578" s="1" t="s">
        <v>5031</v>
      </c>
      <c r="C2578" t="s">
        <v>5032</v>
      </c>
      <c r="D2578" s="1" t="s">
        <v>5033</v>
      </c>
      <c r="E2578" t="b">
        <v>0</v>
      </c>
      <c r="F2578">
        <v>45</v>
      </c>
      <c r="G2578">
        <v>386</v>
      </c>
      <c r="H2578" t="s">
        <v>11</v>
      </c>
      <c r="I2578" t="b" cm="1">
        <f t="array" ref="I2578">isDup(B2578,B2579, 0.7)</f>
        <v>0</v>
      </c>
    </row>
    <row r="2579" spans="1:9" ht="34" x14ac:dyDescent="0.2">
      <c r="A2579" t="s">
        <v>3629</v>
      </c>
      <c r="B2579" s="1" t="s">
        <v>3630</v>
      </c>
      <c r="C2579" t="s">
        <v>3631</v>
      </c>
      <c r="D2579" s="1" t="s">
        <v>534</v>
      </c>
      <c r="E2579" t="b">
        <v>0</v>
      </c>
      <c r="F2579">
        <v>126</v>
      </c>
      <c r="G2579">
        <v>240</v>
      </c>
      <c r="H2579" t="s">
        <v>11</v>
      </c>
      <c r="I2579" t="b" cm="1">
        <f t="array" ref="I2579">isDup(B2579,B2580, 0.7)</f>
        <v>0</v>
      </c>
    </row>
    <row r="2580" spans="1:9" ht="34" x14ac:dyDescent="0.2">
      <c r="A2580" t="s">
        <v>2768</v>
      </c>
      <c r="B2580" s="1" t="s">
        <v>2769</v>
      </c>
      <c r="C2580" t="s">
        <v>2443</v>
      </c>
      <c r="D2580" s="1" t="s">
        <v>2770</v>
      </c>
      <c r="E2580" t="b">
        <v>0</v>
      </c>
      <c r="F2580">
        <v>131</v>
      </c>
      <c r="G2580">
        <v>317</v>
      </c>
      <c r="H2580" t="s">
        <v>11</v>
      </c>
      <c r="I2580" t="b" cm="1">
        <f t="array" ref="I2580">isDup(B2580,B2581, 0.7)</f>
        <v>0</v>
      </c>
    </row>
    <row r="2581" spans="1:9" ht="34" x14ac:dyDescent="0.2">
      <c r="A2581" t="s">
        <v>4628</v>
      </c>
      <c r="B2581" s="1" t="s">
        <v>4629</v>
      </c>
      <c r="C2581" t="s">
        <v>4491</v>
      </c>
      <c r="D2581" s="1" t="s">
        <v>1813</v>
      </c>
      <c r="E2581" t="b">
        <v>0</v>
      </c>
      <c r="F2581">
        <v>2629</v>
      </c>
      <c r="G2581">
        <v>1126</v>
      </c>
      <c r="H2581" t="s">
        <v>11</v>
      </c>
      <c r="I2581" t="b" cm="1">
        <f t="array" ref="I2581">isDup(B2581,B2582, 0.7)</f>
        <v>0</v>
      </c>
    </row>
    <row r="2582" spans="1:9" ht="34" x14ac:dyDescent="0.2">
      <c r="A2582" t="s">
        <v>5509</v>
      </c>
      <c r="B2582" s="1" t="s">
        <v>5510</v>
      </c>
      <c r="C2582" t="s">
        <v>3817</v>
      </c>
      <c r="D2582" s="1" t="s">
        <v>2</v>
      </c>
      <c r="E2582" t="b">
        <v>0</v>
      </c>
      <c r="F2582">
        <v>117</v>
      </c>
      <c r="G2582">
        <v>328</v>
      </c>
      <c r="H2582" t="s">
        <v>641</v>
      </c>
      <c r="I2582" t="b" cm="1">
        <f t="array" ref="I2582">isDup(B2582,B2583, 0.7)</f>
        <v>0</v>
      </c>
    </row>
    <row r="2583" spans="1:9" ht="17" x14ac:dyDescent="0.2">
      <c r="A2583" t="s">
        <v>3789</v>
      </c>
      <c r="B2583" s="1" t="s">
        <v>3790</v>
      </c>
      <c r="C2583" t="s">
        <v>1330</v>
      </c>
      <c r="D2583" s="1" t="s">
        <v>2</v>
      </c>
      <c r="E2583" t="b">
        <v>0</v>
      </c>
      <c r="F2583">
        <v>41</v>
      </c>
      <c r="G2583">
        <v>42</v>
      </c>
      <c r="H2583" t="s">
        <v>11</v>
      </c>
      <c r="I2583" t="b" cm="1">
        <f t="array" ref="I2583">isDup(B2583,B2584, 0.7)</f>
        <v>1</v>
      </c>
    </row>
    <row r="2584" spans="1:9" ht="17" x14ac:dyDescent="0.2">
      <c r="A2584" t="s">
        <v>3293</v>
      </c>
      <c r="B2584" s="1" t="s">
        <v>3294</v>
      </c>
      <c r="C2584" t="s">
        <v>3295</v>
      </c>
      <c r="D2584" s="1" t="s">
        <v>3296</v>
      </c>
      <c r="E2584" t="b">
        <v>0</v>
      </c>
      <c r="F2584">
        <v>7127</v>
      </c>
      <c r="G2584">
        <v>610</v>
      </c>
      <c r="H2584" t="s">
        <v>11</v>
      </c>
      <c r="I2584" t="b" cm="1">
        <f t="array" ref="I2584">isDup(B2584,B2585, 0.7)</f>
        <v>0</v>
      </c>
    </row>
    <row r="2585" spans="1:9" ht="17" x14ac:dyDescent="0.2">
      <c r="A2585" t="s">
        <v>3975</v>
      </c>
      <c r="B2585" s="1" t="s">
        <v>3976</v>
      </c>
      <c r="C2585" t="s">
        <v>1095</v>
      </c>
      <c r="D2585" s="1" t="s">
        <v>3977</v>
      </c>
      <c r="E2585" t="b">
        <v>0</v>
      </c>
      <c r="F2585">
        <v>241</v>
      </c>
      <c r="G2585">
        <v>733</v>
      </c>
      <c r="H2585" t="s">
        <v>11</v>
      </c>
      <c r="I2585" t="b" cm="1">
        <f t="array" ref="I2585">isDup(B2585,B2586, 0.7)</f>
        <v>0</v>
      </c>
    </row>
    <row r="2586" spans="1:9" ht="17" x14ac:dyDescent="0.2">
      <c r="A2586" t="s">
        <v>5021</v>
      </c>
      <c r="B2586" s="1" t="s">
        <v>5022</v>
      </c>
      <c r="C2586" t="s">
        <v>3249</v>
      </c>
      <c r="D2586" s="1" t="s">
        <v>2561</v>
      </c>
      <c r="E2586" t="b">
        <v>0</v>
      </c>
      <c r="F2586">
        <v>74</v>
      </c>
      <c r="G2586">
        <v>1238</v>
      </c>
      <c r="H2586" t="s">
        <v>47</v>
      </c>
      <c r="I2586" t="b" cm="1">
        <f t="array" ref="I2586">isDup(B2586,B2587, 0.7)</f>
        <v>0</v>
      </c>
    </row>
    <row r="2587" spans="1:9" ht="17" x14ac:dyDescent="0.2">
      <c r="A2587" t="s">
        <v>3766</v>
      </c>
      <c r="B2587" s="1" t="s">
        <v>3767</v>
      </c>
      <c r="C2587" t="s">
        <v>3768</v>
      </c>
      <c r="D2587" s="1" t="s">
        <v>1368</v>
      </c>
      <c r="E2587" t="b">
        <v>0</v>
      </c>
      <c r="F2587">
        <v>73</v>
      </c>
      <c r="G2587">
        <v>420</v>
      </c>
      <c r="H2587" t="s">
        <v>11</v>
      </c>
      <c r="I2587" t="b" cm="1">
        <f t="array" ref="I2587">isDup(B2587,B2588, 0.7)</f>
        <v>0</v>
      </c>
    </row>
    <row r="2588" spans="1:9" ht="17" x14ac:dyDescent="0.2">
      <c r="A2588" t="s">
        <v>5203</v>
      </c>
      <c r="B2588" s="1" t="s">
        <v>5204</v>
      </c>
      <c r="C2588" t="s">
        <v>3244</v>
      </c>
      <c r="D2588" s="1" t="s">
        <v>5205</v>
      </c>
      <c r="E2588" t="b">
        <v>0</v>
      </c>
      <c r="F2588">
        <v>258</v>
      </c>
      <c r="G2588">
        <v>237</v>
      </c>
      <c r="H2588" t="s">
        <v>11</v>
      </c>
      <c r="I2588" t="b" cm="1">
        <f t="array" ref="I2588">isDup(B2588,B2589, 0.7)</f>
        <v>0</v>
      </c>
    </row>
    <row r="2589" spans="1:9" ht="17" x14ac:dyDescent="0.2">
      <c r="A2589" t="s">
        <v>3579</v>
      </c>
      <c r="B2589" s="1" t="s">
        <v>3580</v>
      </c>
      <c r="C2589" t="s">
        <v>3278</v>
      </c>
      <c r="D2589" s="1" t="s">
        <v>3581</v>
      </c>
      <c r="E2589" t="b">
        <v>0</v>
      </c>
      <c r="F2589">
        <v>1135</v>
      </c>
      <c r="G2589">
        <v>336</v>
      </c>
      <c r="H2589" t="s">
        <v>11</v>
      </c>
      <c r="I2589" t="b" cm="1">
        <f t="array" ref="I2589">isDup(B2589,B2590, 0.7)</f>
        <v>0</v>
      </c>
    </row>
    <row r="2590" spans="1:9" ht="17" x14ac:dyDescent="0.2">
      <c r="A2590" t="s">
        <v>4370</v>
      </c>
      <c r="B2590" s="1" t="s">
        <v>4371</v>
      </c>
      <c r="C2590" t="s">
        <v>3102</v>
      </c>
      <c r="D2590" s="1" t="s">
        <v>4372</v>
      </c>
      <c r="E2590" t="b">
        <v>0</v>
      </c>
      <c r="F2590">
        <v>436</v>
      </c>
      <c r="G2590">
        <v>1289</v>
      </c>
      <c r="H2590" t="s">
        <v>11</v>
      </c>
      <c r="I2590" t="b" cm="1">
        <f t="array" ref="I2590">isDup(B2590,B2591, 0.7)</f>
        <v>0</v>
      </c>
    </row>
    <row r="2591" spans="1:9" ht="17" x14ac:dyDescent="0.2">
      <c r="A2591" t="s">
        <v>4494</v>
      </c>
      <c r="B2591" s="1" t="s">
        <v>4495</v>
      </c>
      <c r="C2591" t="s">
        <v>133</v>
      </c>
      <c r="D2591" s="1" t="s">
        <v>2</v>
      </c>
      <c r="E2591" t="b">
        <v>0</v>
      </c>
      <c r="F2591">
        <v>12</v>
      </c>
      <c r="G2591">
        <v>51</v>
      </c>
      <c r="H2591" t="s">
        <v>11</v>
      </c>
      <c r="I2591" t="b" cm="1">
        <f t="array" ref="I2591">isDup(B2591,B2592, 0.7)</f>
        <v>0</v>
      </c>
    </row>
    <row r="2592" spans="1:9" ht="34" x14ac:dyDescent="0.2">
      <c r="A2592" t="s">
        <v>1751</v>
      </c>
      <c r="B2592" s="1" t="s">
        <v>1752</v>
      </c>
      <c r="C2592" t="s">
        <v>1753</v>
      </c>
      <c r="D2592" s="1" t="s">
        <v>2</v>
      </c>
      <c r="E2592" t="b">
        <v>0</v>
      </c>
      <c r="F2592">
        <v>194</v>
      </c>
      <c r="G2592">
        <v>89</v>
      </c>
      <c r="H2592" t="s">
        <v>1580</v>
      </c>
      <c r="I2592" t="b" cm="1">
        <f t="array" ref="I2592">isDup(B2592,B2593, 0.7)</f>
        <v>0</v>
      </c>
    </row>
    <row r="2593" spans="1:9" ht="17" x14ac:dyDescent="0.2">
      <c r="A2593" t="s">
        <v>5333</v>
      </c>
      <c r="B2593" s="1" t="s">
        <v>5334</v>
      </c>
      <c r="C2593" t="s">
        <v>5335</v>
      </c>
      <c r="D2593" s="1" t="s">
        <v>5336</v>
      </c>
      <c r="E2593" t="b">
        <v>0</v>
      </c>
      <c r="F2593">
        <v>323</v>
      </c>
      <c r="G2593">
        <v>526</v>
      </c>
      <c r="H2593" t="s">
        <v>11</v>
      </c>
      <c r="I2593" t="b" cm="1">
        <f t="array" ref="I2593">isDup(B2593,B2594, 0.7)</f>
        <v>0</v>
      </c>
    </row>
    <row r="2594" spans="1:9" ht="17" x14ac:dyDescent="0.2">
      <c r="A2594" t="s">
        <v>396</v>
      </c>
      <c r="B2594" s="1" t="s">
        <v>397</v>
      </c>
      <c r="C2594" t="s">
        <v>398</v>
      </c>
      <c r="D2594" s="1" t="s">
        <v>399</v>
      </c>
      <c r="E2594" t="b">
        <v>0</v>
      </c>
      <c r="F2594">
        <v>1</v>
      </c>
      <c r="G2594">
        <v>3</v>
      </c>
      <c r="H2594" t="s">
        <v>11</v>
      </c>
      <c r="I2594" t="b" cm="1">
        <f t="array" ref="I2594">isDup(B2594,B2595, 0.7)</f>
        <v>0</v>
      </c>
    </row>
    <row r="2595" spans="1:9" ht="34" x14ac:dyDescent="0.2">
      <c r="A2595" t="s">
        <v>5817</v>
      </c>
      <c r="B2595" s="1" t="s">
        <v>5818</v>
      </c>
      <c r="C2595" t="s">
        <v>5819</v>
      </c>
      <c r="D2595" s="1" t="s">
        <v>2</v>
      </c>
      <c r="E2595" t="b">
        <v>0</v>
      </c>
      <c r="F2595">
        <v>563</v>
      </c>
      <c r="G2595">
        <v>1699</v>
      </c>
      <c r="H2595" t="s">
        <v>4413</v>
      </c>
      <c r="I2595" t="b" cm="1">
        <f t="array" ref="I2595">isDup(B2595,B2596, 0.7)</f>
        <v>0</v>
      </c>
    </row>
    <row r="2596" spans="1:9" ht="17" x14ac:dyDescent="0.2">
      <c r="A2596" t="s">
        <v>84</v>
      </c>
      <c r="B2596" s="1" t="s">
        <v>85</v>
      </c>
      <c r="C2596" t="s">
        <v>86</v>
      </c>
      <c r="D2596" s="1" t="s">
        <v>87</v>
      </c>
      <c r="E2596" t="b">
        <v>0</v>
      </c>
      <c r="F2596">
        <v>1196</v>
      </c>
      <c r="G2596">
        <v>403</v>
      </c>
      <c r="H2596" t="s">
        <v>11</v>
      </c>
      <c r="I2596" t="b" cm="1">
        <f t="array" ref="I2596">isDup(B2596,B2597, 0.7)</f>
        <v>0</v>
      </c>
    </row>
    <row r="2597" spans="1:9" ht="17" x14ac:dyDescent="0.2">
      <c r="A2597" t="s">
        <v>4111</v>
      </c>
      <c r="B2597" s="1" t="s">
        <v>4112</v>
      </c>
      <c r="C2597" t="s">
        <v>1477</v>
      </c>
      <c r="D2597" s="1" t="s">
        <v>4096</v>
      </c>
      <c r="E2597" t="b">
        <v>0</v>
      </c>
      <c r="F2597">
        <v>13777</v>
      </c>
      <c r="G2597">
        <v>1750</v>
      </c>
      <c r="H2597" t="s">
        <v>11</v>
      </c>
      <c r="I2597" t="b" cm="1">
        <f t="array" ref="I2597">isDup(B2597,B2598, 0.7)</f>
        <v>0</v>
      </c>
    </row>
    <row r="2598" spans="1:9" ht="17" x14ac:dyDescent="0.2">
      <c r="A2598" t="s">
        <v>3811</v>
      </c>
      <c r="B2598" s="1" t="s">
        <v>3812</v>
      </c>
      <c r="C2598" t="s">
        <v>3813</v>
      </c>
      <c r="D2598" s="1" t="s">
        <v>3814</v>
      </c>
      <c r="E2598" t="b">
        <v>0</v>
      </c>
      <c r="F2598">
        <v>1629</v>
      </c>
      <c r="G2598">
        <v>2295</v>
      </c>
      <c r="H2598" t="s">
        <v>11</v>
      </c>
      <c r="I2598" t="b" cm="1">
        <f t="array" ref="I2598">isDup(B2598,B2599, 0.7)</f>
        <v>0</v>
      </c>
    </row>
    <row r="2599" spans="1:9" ht="17" x14ac:dyDescent="0.2">
      <c r="A2599" t="s">
        <v>6026</v>
      </c>
      <c r="B2599" s="1" t="s">
        <v>6027</v>
      </c>
      <c r="C2599" t="s">
        <v>4359</v>
      </c>
      <c r="D2599" s="1" t="s">
        <v>2</v>
      </c>
      <c r="E2599" t="b">
        <v>0</v>
      </c>
      <c r="F2599">
        <v>8</v>
      </c>
      <c r="G2599">
        <v>38</v>
      </c>
      <c r="H2599" t="s">
        <v>11</v>
      </c>
      <c r="I2599" t="b" cm="1">
        <f t="array" ref="I2599">isDup(B2599,B2600, 0.7)</f>
        <v>0</v>
      </c>
    </row>
    <row r="2600" spans="1:9" ht="34" x14ac:dyDescent="0.2">
      <c r="A2600" t="s">
        <v>6917</v>
      </c>
      <c r="B2600" s="1" t="s">
        <v>6918</v>
      </c>
      <c r="C2600" t="s">
        <v>2413</v>
      </c>
      <c r="D2600" s="1" t="s">
        <v>2</v>
      </c>
      <c r="E2600" t="b">
        <v>0</v>
      </c>
      <c r="F2600">
        <v>61</v>
      </c>
      <c r="G2600">
        <v>945</v>
      </c>
      <c r="H2600" t="s">
        <v>1565</v>
      </c>
      <c r="I2600" t="b" cm="1">
        <f t="array" ref="I2600">isDup(B2600,B2601, 0.7)</f>
        <v>0</v>
      </c>
    </row>
    <row r="2601" spans="1:9" ht="17" x14ac:dyDescent="0.2">
      <c r="A2601" t="s">
        <v>5262</v>
      </c>
      <c r="B2601" s="1" t="s">
        <v>5263</v>
      </c>
      <c r="C2601" t="s">
        <v>3553</v>
      </c>
      <c r="D2601" s="1" t="s">
        <v>1435</v>
      </c>
      <c r="E2601" t="b">
        <v>0</v>
      </c>
      <c r="F2601">
        <v>9</v>
      </c>
      <c r="G2601">
        <v>18</v>
      </c>
      <c r="H2601" t="s">
        <v>11</v>
      </c>
      <c r="I2601" t="b" cm="1">
        <f t="array" ref="I2601">isDup(B2601,B2602, 0.7)</f>
        <v>0</v>
      </c>
    </row>
    <row r="2602" spans="1:9" ht="17" x14ac:dyDescent="0.2">
      <c r="A2602" t="s">
        <v>6073</v>
      </c>
      <c r="B2602" s="1" t="s">
        <v>6074</v>
      </c>
      <c r="C2602" t="s">
        <v>920</v>
      </c>
      <c r="D2602" s="1" t="s">
        <v>6075</v>
      </c>
      <c r="E2602" t="b">
        <v>0</v>
      </c>
      <c r="F2602">
        <v>171</v>
      </c>
      <c r="G2602">
        <v>98</v>
      </c>
      <c r="H2602" t="s">
        <v>11</v>
      </c>
      <c r="I2602" t="b" cm="1">
        <f t="array" ref="I2602">isDup(B2602,B2603, 0.7)</f>
        <v>0</v>
      </c>
    </row>
    <row r="2603" spans="1:9" ht="17" x14ac:dyDescent="0.2">
      <c r="A2603" t="s">
        <v>1537</v>
      </c>
      <c r="B2603" s="1" t="s">
        <v>1538</v>
      </c>
      <c r="C2603" t="s">
        <v>219</v>
      </c>
      <c r="D2603" s="1" t="s">
        <v>2</v>
      </c>
      <c r="E2603" t="b">
        <v>0</v>
      </c>
      <c r="F2603">
        <v>16</v>
      </c>
      <c r="G2603">
        <v>41</v>
      </c>
      <c r="H2603" t="s">
        <v>3</v>
      </c>
      <c r="I2603" t="b" cm="1">
        <f t="array" ref="I2603">isDup(B2603,B2604, 0.7)</f>
        <v>0</v>
      </c>
    </row>
    <row r="2604" spans="1:9" ht="34" x14ac:dyDescent="0.2">
      <c r="A2604" t="s">
        <v>6492</v>
      </c>
      <c r="B2604" s="1" t="s">
        <v>6493</v>
      </c>
      <c r="C2604" t="s">
        <v>3908</v>
      </c>
      <c r="D2604" s="1" t="s">
        <v>6494</v>
      </c>
      <c r="E2604" t="b">
        <v>0</v>
      </c>
      <c r="F2604">
        <v>140</v>
      </c>
      <c r="G2604">
        <v>438</v>
      </c>
      <c r="H2604" t="s">
        <v>11</v>
      </c>
      <c r="I2604" t="b" cm="1">
        <f t="array" ref="I2604">isDup(B2604,B2605, 0.7)</f>
        <v>0</v>
      </c>
    </row>
    <row r="2605" spans="1:9" ht="17" x14ac:dyDescent="0.2">
      <c r="A2605" t="s">
        <v>2053</v>
      </c>
      <c r="B2605" s="1" t="s">
        <v>2054</v>
      </c>
      <c r="C2605" t="s">
        <v>787</v>
      </c>
      <c r="D2605" s="1" t="s">
        <v>95</v>
      </c>
      <c r="E2605" t="b">
        <v>0</v>
      </c>
      <c r="F2605">
        <v>289</v>
      </c>
      <c r="G2605">
        <v>881</v>
      </c>
      <c r="H2605" t="s">
        <v>11</v>
      </c>
      <c r="I2605" t="b" cm="1">
        <f t="array" ref="I2605">isDup(B2605,B2606, 0.7)</f>
        <v>0</v>
      </c>
    </row>
    <row r="2606" spans="1:9" ht="17" x14ac:dyDescent="0.2">
      <c r="A2606" t="s">
        <v>4582</v>
      </c>
      <c r="B2606" s="1" t="s">
        <v>4583</v>
      </c>
      <c r="C2606" t="s">
        <v>476</v>
      </c>
      <c r="D2606" s="1" t="s">
        <v>414</v>
      </c>
      <c r="E2606" t="b">
        <v>0</v>
      </c>
      <c r="F2606">
        <v>2</v>
      </c>
      <c r="G2606">
        <v>29</v>
      </c>
      <c r="H2606" t="s">
        <v>11</v>
      </c>
      <c r="I2606" t="b" cm="1">
        <f t="array" ref="I2606">isDup(B2606,B2607, 0.7)</f>
        <v>0</v>
      </c>
    </row>
    <row r="2607" spans="1:9" ht="34" x14ac:dyDescent="0.2">
      <c r="A2607" t="s">
        <v>6668</v>
      </c>
      <c r="B2607" s="1" t="s">
        <v>6669</v>
      </c>
      <c r="C2607" t="s">
        <v>2024</v>
      </c>
      <c r="D2607" s="1" t="s">
        <v>2</v>
      </c>
      <c r="E2607" t="b">
        <v>0</v>
      </c>
      <c r="F2607">
        <v>3305</v>
      </c>
      <c r="G2607">
        <v>197</v>
      </c>
      <c r="H2607" t="s">
        <v>11</v>
      </c>
      <c r="I2607" t="b" cm="1">
        <f t="array" ref="I2607">isDup(B2607,B2608, 0.7)</f>
        <v>0</v>
      </c>
    </row>
    <row r="2608" spans="1:9" ht="17" x14ac:dyDescent="0.2">
      <c r="A2608" t="s">
        <v>3045</v>
      </c>
      <c r="B2608" s="1" t="s">
        <v>3046</v>
      </c>
      <c r="C2608" t="s">
        <v>3047</v>
      </c>
      <c r="D2608" s="1" t="s">
        <v>3048</v>
      </c>
      <c r="E2608" t="b">
        <v>0</v>
      </c>
      <c r="F2608">
        <v>3137</v>
      </c>
      <c r="G2608">
        <v>566</v>
      </c>
      <c r="H2608" t="s">
        <v>11</v>
      </c>
      <c r="I2608" t="b" cm="1">
        <f t="array" ref="I2608">isDup(B2608,B2609, 0.7)</f>
        <v>0</v>
      </c>
    </row>
    <row r="2609" spans="1:9" ht="34" x14ac:dyDescent="0.2">
      <c r="A2609" t="s">
        <v>6589</v>
      </c>
      <c r="B2609" s="1" t="s">
        <v>6590</v>
      </c>
      <c r="C2609" t="s">
        <v>6591</v>
      </c>
      <c r="D2609" s="1" t="s">
        <v>2</v>
      </c>
      <c r="E2609" t="b">
        <v>0</v>
      </c>
      <c r="F2609">
        <v>63</v>
      </c>
      <c r="G2609">
        <v>1</v>
      </c>
      <c r="H2609" t="s">
        <v>11</v>
      </c>
      <c r="I2609" t="b" cm="1">
        <f t="array" ref="I2609">isDup(B2609,B2610, 0.7)</f>
        <v>0</v>
      </c>
    </row>
    <row r="2610" spans="1:9" ht="17" x14ac:dyDescent="0.2">
      <c r="A2610" t="s">
        <v>4771</v>
      </c>
      <c r="B2610" s="1" t="s">
        <v>4772</v>
      </c>
      <c r="C2610" t="s">
        <v>79</v>
      </c>
      <c r="D2610" s="1" t="s">
        <v>4773</v>
      </c>
      <c r="E2610" t="b">
        <v>1</v>
      </c>
      <c r="F2610">
        <v>33554</v>
      </c>
      <c r="G2610">
        <v>84</v>
      </c>
      <c r="H2610" t="s">
        <v>11</v>
      </c>
      <c r="I2610" t="b" cm="1">
        <f t="array" ref="I2610">isDup(B2610,B2611, 0.7)</f>
        <v>0</v>
      </c>
    </row>
    <row r="2611" spans="1:9" ht="17" x14ac:dyDescent="0.2">
      <c r="A2611" t="s">
        <v>4538</v>
      </c>
      <c r="B2611" s="1" t="s">
        <v>4539</v>
      </c>
      <c r="C2611" t="s">
        <v>4540</v>
      </c>
      <c r="D2611" s="1" t="s">
        <v>4541</v>
      </c>
      <c r="E2611" t="b">
        <v>0</v>
      </c>
      <c r="F2611">
        <v>6545</v>
      </c>
      <c r="G2611">
        <v>482</v>
      </c>
      <c r="H2611" t="s">
        <v>11</v>
      </c>
      <c r="I2611" t="b" cm="1">
        <f t="array" ref="I2611">isDup(B2611,B2612, 0.7)</f>
        <v>0</v>
      </c>
    </row>
    <row r="2612" spans="1:9" ht="34" x14ac:dyDescent="0.2">
      <c r="A2612" t="s">
        <v>3358</v>
      </c>
      <c r="B2612" s="1" t="s">
        <v>3359</v>
      </c>
      <c r="C2612" t="s">
        <v>2471</v>
      </c>
      <c r="D2612" s="1" t="s">
        <v>3360</v>
      </c>
      <c r="E2612" t="b">
        <v>0</v>
      </c>
      <c r="F2612">
        <v>263</v>
      </c>
      <c r="G2612">
        <v>192</v>
      </c>
      <c r="H2612" t="s">
        <v>11</v>
      </c>
      <c r="I2612" t="b" cm="1">
        <f t="array" ref="I2612">isDup(B2612,B2613, 0.7)</f>
        <v>0</v>
      </c>
    </row>
    <row r="2613" spans="1:9" ht="17" x14ac:dyDescent="0.2">
      <c r="A2613" t="s">
        <v>4957</v>
      </c>
      <c r="B2613" s="1" t="s">
        <v>4958</v>
      </c>
      <c r="C2613" t="s">
        <v>79</v>
      </c>
      <c r="D2613" s="1" t="s">
        <v>2</v>
      </c>
      <c r="E2613" t="b">
        <v>0</v>
      </c>
      <c r="F2613">
        <v>10</v>
      </c>
      <c r="G2613">
        <v>155</v>
      </c>
      <c r="H2613" t="s">
        <v>11</v>
      </c>
      <c r="I2613" t="b" cm="1">
        <f t="array" ref="I2613">isDup(B2613,B2614, 0.7)</f>
        <v>0</v>
      </c>
    </row>
    <row r="2614" spans="1:9" ht="17" x14ac:dyDescent="0.2">
      <c r="A2614" t="s">
        <v>1106</v>
      </c>
      <c r="B2614" s="1" t="s">
        <v>1107</v>
      </c>
      <c r="C2614" t="s">
        <v>406</v>
      </c>
      <c r="D2614" s="1" t="s">
        <v>562</v>
      </c>
      <c r="E2614" t="b">
        <v>0</v>
      </c>
      <c r="F2614">
        <v>1308</v>
      </c>
      <c r="G2614">
        <v>1994</v>
      </c>
      <c r="H2614" t="s">
        <v>11</v>
      </c>
      <c r="I2614" t="b" cm="1">
        <f t="array" ref="I2614">isDup(B2614,B2615, 0.7)</f>
        <v>0</v>
      </c>
    </row>
    <row r="2615" spans="1:9" ht="17" x14ac:dyDescent="0.2">
      <c r="A2615" t="s">
        <v>2419</v>
      </c>
      <c r="B2615" s="1" t="s">
        <v>2420</v>
      </c>
      <c r="C2615" t="s">
        <v>2421</v>
      </c>
      <c r="D2615" s="1" t="s">
        <v>2422</v>
      </c>
      <c r="E2615" t="b">
        <v>0</v>
      </c>
      <c r="F2615">
        <v>109</v>
      </c>
      <c r="G2615">
        <v>372</v>
      </c>
      <c r="H2615" t="s">
        <v>11</v>
      </c>
      <c r="I2615" t="b" cm="1">
        <f t="array" ref="I2615">isDup(B2615,B2616, 0.7)</f>
        <v>0</v>
      </c>
    </row>
    <row r="2616" spans="1:9" ht="17" x14ac:dyDescent="0.2">
      <c r="A2616" t="s">
        <v>3571</v>
      </c>
      <c r="B2616" s="1" t="s">
        <v>3572</v>
      </c>
      <c r="C2616" t="s">
        <v>1287</v>
      </c>
      <c r="D2616" s="1" t="s">
        <v>61</v>
      </c>
      <c r="E2616" t="b">
        <v>0</v>
      </c>
      <c r="F2616">
        <v>208</v>
      </c>
      <c r="G2616">
        <v>80</v>
      </c>
      <c r="H2616" t="s">
        <v>11</v>
      </c>
      <c r="I2616" t="b" cm="1">
        <f t="array" ref="I2616">isDup(B2616,B2617, 0.7)</f>
        <v>0</v>
      </c>
    </row>
    <row r="2617" spans="1:9" ht="17" x14ac:dyDescent="0.2">
      <c r="A2617" t="s">
        <v>1689</v>
      </c>
      <c r="B2617" s="1" t="s">
        <v>1690</v>
      </c>
      <c r="C2617" t="s">
        <v>1287</v>
      </c>
      <c r="D2617" s="1" t="s">
        <v>2</v>
      </c>
      <c r="E2617" t="b">
        <v>0</v>
      </c>
      <c r="F2617">
        <v>1184</v>
      </c>
      <c r="G2617">
        <v>1977</v>
      </c>
      <c r="H2617" t="s">
        <v>11</v>
      </c>
      <c r="I2617" t="b" cm="1">
        <f t="array" ref="I2617">isDup(B2617,B2618, 0.7)</f>
        <v>0</v>
      </c>
    </row>
    <row r="2618" spans="1:9" ht="17" x14ac:dyDescent="0.2">
      <c r="A2618" t="s">
        <v>3699</v>
      </c>
      <c r="B2618" s="1" t="s">
        <v>3700</v>
      </c>
      <c r="C2618" t="s">
        <v>26</v>
      </c>
      <c r="D2618" s="1" t="s">
        <v>3701</v>
      </c>
      <c r="E2618" t="b">
        <v>0</v>
      </c>
      <c r="F2618">
        <v>1025</v>
      </c>
      <c r="G2618">
        <v>2962</v>
      </c>
      <c r="H2618" t="s">
        <v>11</v>
      </c>
      <c r="I2618" t="b" cm="1">
        <f t="array" ref="I2618">isDup(B2618,B2619, 0.7)</f>
        <v>0</v>
      </c>
    </row>
    <row r="2619" spans="1:9" ht="17" x14ac:dyDescent="0.2">
      <c r="A2619" t="s">
        <v>4606</v>
      </c>
      <c r="B2619" s="1" t="s">
        <v>4607</v>
      </c>
      <c r="C2619" t="s">
        <v>90</v>
      </c>
      <c r="D2619" s="1" t="s">
        <v>2</v>
      </c>
      <c r="E2619" t="b">
        <v>0</v>
      </c>
      <c r="F2619">
        <v>29</v>
      </c>
      <c r="G2619">
        <v>258</v>
      </c>
      <c r="H2619" t="s">
        <v>11</v>
      </c>
      <c r="I2619" t="b" cm="1">
        <f t="array" ref="I2619">isDup(B2619,B2620, 0.7)</f>
        <v>0</v>
      </c>
    </row>
    <row r="2620" spans="1:9" ht="17" x14ac:dyDescent="0.2">
      <c r="A2620" t="s">
        <v>4364</v>
      </c>
      <c r="B2620" s="1" t="s">
        <v>4365</v>
      </c>
      <c r="C2620" t="s">
        <v>617</v>
      </c>
      <c r="D2620" s="1" t="s">
        <v>701</v>
      </c>
      <c r="E2620" t="b">
        <v>0</v>
      </c>
      <c r="F2620">
        <v>25</v>
      </c>
      <c r="G2620">
        <v>175</v>
      </c>
      <c r="H2620" t="s">
        <v>11</v>
      </c>
      <c r="I2620" t="b" cm="1">
        <f t="array" ref="I2620">isDup(B2620,B2621, 0.7)</f>
        <v>1</v>
      </c>
    </row>
    <row r="2621" spans="1:9" ht="17" x14ac:dyDescent="0.2">
      <c r="A2621" t="s">
        <v>4352</v>
      </c>
      <c r="B2621" s="1" t="s">
        <v>4353</v>
      </c>
      <c r="C2621" t="s">
        <v>617</v>
      </c>
      <c r="D2621" s="1" t="s">
        <v>701</v>
      </c>
      <c r="E2621" t="b">
        <v>0</v>
      </c>
      <c r="F2621">
        <v>25</v>
      </c>
      <c r="G2621">
        <v>175</v>
      </c>
      <c r="H2621" t="s">
        <v>11</v>
      </c>
      <c r="I2621" t="b" cm="1">
        <f t="array" ref="I2621">isDup(B2621,B2622, 0.7)</f>
        <v>0</v>
      </c>
    </row>
    <row r="2622" spans="1:9" ht="17" x14ac:dyDescent="0.2">
      <c r="A2622" t="s">
        <v>1210</v>
      </c>
      <c r="B2622" s="1" t="s">
        <v>1211</v>
      </c>
      <c r="C2622" t="s">
        <v>490</v>
      </c>
      <c r="D2622" s="1" t="s">
        <v>1212</v>
      </c>
      <c r="E2622" t="b">
        <v>0</v>
      </c>
      <c r="F2622">
        <v>204</v>
      </c>
      <c r="G2622">
        <v>327</v>
      </c>
      <c r="H2622" t="s">
        <v>11</v>
      </c>
      <c r="I2622" t="b" cm="1">
        <f t="array" ref="I2622">isDup(B2622,B2623, 0.7)</f>
        <v>0</v>
      </c>
    </row>
    <row r="2623" spans="1:9" ht="34" x14ac:dyDescent="0.2">
      <c r="A2623" t="s">
        <v>1470</v>
      </c>
      <c r="B2623" s="1" t="s">
        <v>1471</v>
      </c>
      <c r="C2623" t="s">
        <v>1112</v>
      </c>
      <c r="D2623" s="1" t="s">
        <v>1113</v>
      </c>
      <c r="E2623" t="b">
        <v>0</v>
      </c>
      <c r="F2623">
        <v>3495</v>
      </c>
      <c r="G2623">
        <v>1203</v>
      </c>
      <c r="H2623" t="s">
        <v>11</v>
      </c>
      <c r="I2623" t="b" cm="1">
        <f t="array" ref="I2623">isDup(B2623,B2624, 0.7)</f>
        <v>0</v>
      </c>
    </row>
    <row r="2624" spans="1:9" ht="17" x14ac:dyDescent="0.2">
      <c r="A2624" t="s">
        <v>5977</v>
      </c>
      <c r="B2624" s="1" t="s">
        <v>5978</v>
      </c>
      <c r="C2624" t="s">
        <v>5979</v>
      </c>
      <c r="D2624" s="1" t="s">
        <v>5980</v>
      </c>
      <c r="E2624" t="b">
        <v>0</v>
      </c>
      <c r="F2624">
        <v>412</v>
      </c>
      <c r="G2624">
        <v>438</v>
      </c>
      <c r="H2624" t="s">
        <v>11</v>
      </c>
      <c r="I2624" t="b" cm="1">
        <f t="array" ref="I2624">isDup(B2624,B2625, 0.7)</f>
        <v>0</v>
      </c>
    </row>
    <row r="2625" spans="1:9" ht="34" x14ac:dyDescent="0.2">
      <c r="A2625" t="s">
        <v>4441</v>
      </c>
      <c r="B2625" s="1" t="s">
        <v>4442</v>
      </c>
      <c r="C2625" t="s">
        <v>3261</v>
      </c>
      <c r="D2625" s="1" t="s">
        <v>2</v>
      </c>
      <c r="E2625" t="b">
        <v>0</v>
      </c>
      <c r="F2625">
        <v>216</v>
      </c>
      <c r="G2625">
        <v>125</v>
      </c>
      <c r="H2625" t="s">
        <v>11</v>
      </c>
      <c r="I2625" t="b" cm="1">
        <f t="array" ref="I2625">isDup(B2625,B2626, 0.7)</f>
        <v>0</v>
      </c>
    </row>
    <row r="2626" spans="1:9" ht="34" x14ac:dyDescent="0.2">
      <c r="A2626" t="s">
        <v>4542</v>
      </c>
      <c r="B2626" s="1" t="s">
        <v>4543</v>
      </c>
      <c r="C2626" t="s">
        <v>425</v>
      </c>
      <c r="D2626" s="1" t="s">
        <v>4544</v>
      </c>
      <c r="E2626" t="b">
        <v>0</v>
      </c>
      <c r="F2626">
        <v>51</v>
      </c>
      <c r="G2626">
        <v>114</v>
      </c>
      <c r="H2626" t="s">
        <v>11</v>
      </c>
      <c r="I2626" t="b" cm="1">
        <f t="array" ref="I2626">isDup(B2626,B2627, 0.7)</f>
        <v>0</v>
      </c>
    </row>
    <row r="2627" spans="1:9" ht="34" x14ac:dyDescent="0.2">
      <c r="A2627" t="s">
        <v>175</v>
      </c>
      <c r="B2627" s="1" t="s">
        <v>176</v>
      </c>
      <c r="C2627" t="s">
        <v>177</v>
      </c>
      <c r="D2627" s="1" t="s">
        <v>178</v>
      </c>
      <c r="E2627" t="b">
        <v>0</v>
      </c>
      <c r="F2627">
        <v>885</v>
      </c>
      <c r="G2627">
        <v>406</v>
      </c>
      <c r="H2627" t="s">
        <v>11</v>
      </c>
      <c r="I2627" t="b" cm="1">
        <f t="array" ref="I2627">isDup(B2627,B2628, 0.7)</f>
        <v>0</v>
      </c>
    </row>
    <row r="2628" spans="1:9" ht="17" x14ac:dyDescent="0.2">
      <c r="A2628" t="s">
        <v>6912</v>
      </c>
      <c r="B2628" s="1" t="s">
        <v>6913</v>
      </c>
      <c r="C2628" t="s">
        <v>6697</v>
      </c>
      <c r="D2628" s="1" t="s">
        <v>534</v>
      </c>
      <c r="E2628" t="b">
        <v>0</v>
      </c>
      <c r="F2628">
        <v>86</v>
      </c>
      <c r="G2628">
        <v>93</v>
      </c>
      <c r="H2628" t="s">
        <v>11</v>
      </c>
      <c r="I2628" t="b" cm="1">
        <f t="array" ref="I2628">isDup(B2628,B2629, 0.7)</f>
        <v>0</v>
      </c>
    </row>
    <row r="2629" spans="1:9" ht="34" x14ac:dyDescent="0.2">
      <c r="A2629" t="s">
        <v>6098</v>
      </c>
      <c r="B2629" s="1" t="s">
        <v>6099</v>
      </c>
      <c r="C2629" t="s">
        <v>2896</v>
      </c>
      <c r="D2629" s="1" t="s">
        <v>821</v>
      </c>
      <c r="E2629" t="b">
        <v>0</v>
      </c>
      <c r="F2629">
        <v>137</v>
      </c>
      <c r="G2629">
        <v>779</v>
      </c>
      <c r="H2629" t="s">
        <v>110</v>
      </c>
      <c r="I2629" t="b" cm="1">
        <f t="array" ref="I2629">isDup(B2629,B2630, 0.7)</f>
        <v>0</v>
      </c>
    </row>
    <row r="2630" spans="1:9" ht="17" x14ac:dyDescent="0.2">
      <c r="A2630" t="s">
        <v>6832</v>
      </c>
      <c r="B2630" s="1" t="s">
        <v>6833</v>
      </c>
      <c r="C2630" t="s">
        <v>1907</v>
      </c>
      <c r="D2630" s="1" t="s">
        <v>2</v>
      </c>
      <c r="E2630" t="b">
        <v>0</v>
      </c>
      <c r="F2630">
        <v>660</v>
      </c>
      <c r="G2630">
        <v>215</v>
      </c>
      <c r="H2630" t="s">
        <v>11</v>
      </c>
      <c r="I2630" t="b" cm="1">
        <f t="array" ref="I2630">isDup(B2630,B2631, 0.7)</f>
        <v>0</v>
      </c>
    </row>
    <row r="2631" spans="1:9" ht="17" x14ac:dyDescent="0.2">
      <c r="A2631" t="s">
        <v>7044</v>
      </c>
      <c r="B2631" s="1" t="s">
        <v>7045</v>
      </c>
      <c r="C2631" t="s">
        <v>1579</v>
      </c>
      <c r="D2631" s="1" t="s">
        <v>2</v>
      </c>
      <c r="E2631" t="b">
        <v>0</v>
      </c>
      <c r="F2631">
        <v>17</v>
      </c>
      <c r="G2631">
        <v>0</v>
      </c>
      <c r="H2631" t="s">
        <v>11</v>
      </c>
      <c r="I2631" t="b" cm="1">
        <f t="array" ref="I2631">isDup(B2631,B2632, 0.7)</f>
        <v>1</v>
      </c>
    </row>
    <row r="2632" spans="1:9" ht="17" x14ac:dyDescent="0.2">
      <c r="A2632" t="s">
        <v>2663</v>
      </c>
      <c r="B2632" s="1" t="s">
        <v>2664</v>
      </c>
      <c r="C2632" t="s">
        <v>1579</v>
      </c>
      <c r="D2632" s="1" t="s">
        <v>2</v>
      </c>
      <c r="E2632" t="b">
        <v>0</v>
      </c>
      <c r="F2632">
        <v>17</v>
      </c>
      <c r="G2632">
        <v>0</v>
      </c>
      <c r="H2632" t="s">
        <v>11</v>
      </c>
      <c r="I2632" t="b" cm="1">
        <f t="array" ref="I2632">isDup(B2632,B2633, 0.7)</f>
        <v>0</v>
      </c>
    </row>
    <row r="2633" spans="1:9" ht="17" x14ac:dyDescent="0.2">
      <c r="A2633" t="s">
        <v>7212</v>
      </c>
      <c r="B2633" s="1" t="s">
        <v>7213</v>
      </c>
      <c r="C2633" t="s">
        <v>7214</v>
      </c>
      <c r="D2633" s="1" t="s">
        <v>7215</v>
      </c>
      <c r="E2633" t="b">
        <v>0</v>
      </c>
      <c r="F2633">
        <v>238</v>
      </c>
      <c r="G2633">
        <v>168</v>
      </c>
      <c r="H2633" t="s">
        <v>11</v>
      </c>
      <c r="I2633" t="b" cm="1">
        <f t="array" ref="I2633">isDup(B2633,B2634, 0.7)</f>
        <v>0</v>
      </c>
    </row>
    <row r="2634" spans="1:9" ht="17" x14ac:dyDescent="0.2">
      <c r="A2634" t="s">
        <v>5465</v>
      </c>
      <c r="B2634" s="1" t="s">
        <v>5466</v>
      </c>
      <c r="C2634" t="s">
        <v>4689</v>
      </c>
      <c r="D2634" s="1" t="s">
        <v>2</v>
      </c>
      <c r="E2634" t="b">
        <v>0</v>
      </c>
      <c r="F2634">
        <v>641</v>
      </c>
      <c r="G2634">
        <v>0</v>
      </c>
      <c r="H2634" t="s">
        <v>11</v>
      </c>
      <c r="I2634" t="b" cm="1">
        <f t="array" ref="I2634">isDup(B2634,B2635, 0.7)</f>
        <v>0</v>
      </c>
    </row>
    <row r="2635" spans="1:9" ht="17" x14ac:dyDescent="0.2">
      <c r="A2635" t="s">
        <v>4723</v>
      </c>
      <c r="B2635" s="1" t="s">
        <v>4724</v>
      </c>
      <c r="C2635" t="s">
        <v>2039</v>
      </c>
      <c r="D2635" s="1" t="s">
        <v>2688</v>
      </c>
      <c r="E2635" t="b">
        <v>0</v>
      </c>
      <c r="F2635">
        <v>3187</v>
      </c>
      <c r="G2635">
        <v>686</v>
      </c>
      <c r="H2635" t="s">
        <v>11</v>
      </c>
      <c r="I2635" t="b" cm="1">
        <f t="array" ref="I2635">isDup(B2635,B2636, 0.7)</f>
        <v>0</v>
      </c>
    </row>
    <row r="2636" spans="1:9" ht="17" x14ac:dyDescent="0.2">
      <c r="A2636" t="s">
        <v>2126</v>
      </c>
      <c r="B2636" s="1" t="s">
        <v>2127</v>
      </c>
      <c r="C2636" t="s">
        <v>2128</v>
      </c>
      <c r="D2636" s="1" t="s">
        <v>1238</v>
      </c>
      <c r="E2636" t="b">
        <v>0</v>
      </c>
      <c r="F2636">
        <v>7</v>
      </c>
      <c r="G2636">
        <v>27</v>
      </c>
      <c r="H2636" t="s">
        <v>11</v>
      </c>
      <c r="I2636" t="b" cm="1">
        <f t="array" ref="I2636">isDup(B2636,B2637, 0.7)</f>
        <v>0</v>
      </c>
    </row>
    <row r="2637" spans="1:9" ht="17" x14ac:dyDescent="0.2">
      <c r="A2637" t="s">
        <v>4362</v>
      </c>
      <c r="B2637" s="1" t="s">
        <v>4363</v>
      </c>
      <c r="C2637" t="s">
        <v>2628</v>
      </c>
      <c r="E2637" t="b">
        <v>0</v>
      </c>
      <c r="F2637">
        <v>84</v>
      </c>
      <c r="G2637">
        <v>57</v>
      </c>
      <c r="H2637" t="s">
        <v>11</v>
      </c>
      <c r="I2637" t="b" cm="1">
        <f t="array" ref="I2637">isDup(B2637,B2638, 0.7)</f>
        <v>0</v>
      </c>
    </row>
    <row r="2638" spans="1:9" ht="17" x14ac:dyDescent="0.2">
      <c r="A2638" t="s">
        <v>4759</v>
      </c>
      <c r="B2638" s="1" t="s">
        <v>4760</v>
      </c>
      <c r="C2638" t="s">
        <v>1005</v>
      </c>
      <c r="D2638" s="1" t="s">
        <v>4761</v>
      </c>
      <c r="E2638" t="b">
        <v>0</v>
      </c>
      <c r="F2638">
        <v>2142</v>
      </c>
      <c r="G2638">
        <v>2517</v>
      </c>
      <c r="H2638" t="s">
        <v>11</v>
      </c>
      <c r="I2638" t="b" cm="1">
        <f t="array" ref="I2638">isDup(B2638,B2639, 0.7)</f>
        <v>0</v>
      </c>
    </row>
    <row r="2639" spans="1:9" ht="17" x14ac:dyDescent="0.2">
      <c r="A2639" t="s">
        <v>5115</v>
      </c>
      <c r="B2639" s="1" t="s">
        <v>5116</v>
      </c>
      <c r="C2639" t="s">
        <v>5117</v>
      </c>
      <c r="D2639" s="1" t="s">
        <v>5118</v>
      </c>
      <c r="E2639" t="b">
        <v>0</v>
      </c>
      <c r="F2639">
        <v>1638</v>
      </c>
      <c r="G2639">
        <v>1207</v>
      </c>
      <c r="H2639" t="s">
        <v>11</v>
      </c>
      <c r="I2639" t="b" cm="1">
        <f t="array" ref="I2639">isDup(B2639,B2640, 0.7)</f>
        <v>0</v>
      </c>
    </row>
    <row r="2640" spans="1:9" ht="34" x14ac:dyDescent="0.2">
      <c r="A2640" t="s">
        <v>6518</v>
      </c>
      <c r="B2640" s="1" t="s">
        <v>6519</v>
      </c>
      <c r="C2640" t="s">
        <v>6520</v>
      </c>
      <c r="D2640" s="1" t="s">
        <v>1813</v>
      </c>
      <c r="E2640" t="b">
        <v>0</v>
      </c>
      <c r="F2640">
        <v>104</v>
      </c>
      <c r="G2640">
        <v>493</v>
      </c>
      <c r="H2640" t="s">
        <v>11</v>
      </c>
      <c r="I2640" t="b" cm="1">
        <f t="array" ref="I2640">isDup(B2640,B2641, 0.7)</f>
        <v>0</v>
      </c>
    </row>
    <row r="2641" spans="1:9" ht="34" x14ac:dyDescent="0.2">
      <c r="A2641" t="s">
        <v>3089</v>
      </c>
      <c r="B2641" s="1" t="s">
        <v>3090</v>
      </c>
      <c r="C2641" t="s">
        <v>1598</v>
      </c>
      <c r="D2641" s="1" t="s">
        <v>1960</v>
      </c>
      <c r="E2641" t="b">
        <v>0</v>
      </c>
      <c r="F2641">
        <v>7051</v>
      </c>
      <c r="G2641">
        <v>4719</v>
      </c>
      <c r="H2641" t="s">
        <v>11</v>
      </c>
      <c r="I2641" t="b" cm="1">
        <f t="array" ref="I2641">isDup(B2641,B2642, 0.7)</f>
        <v>0</v>
      </c>
    </row>
    <row r="2642" spans="1:9" ht="17" x14ac:dyDescent="0.2">
      <c r="A2642" t="s">
        <v>3095</v>
      </c>
      <c r="B2642" s="1" t="s">
        <v>3096</v>
      </c>
      <c r="C2642" t="s">
        <v>1245</v>
      </c>
      <c r="D2642" s="1" t="s">
        <v>3097</v>
      </c>
      <c r="E2642" t="b">
        <v>0</v>
      </c>
      <c r="F2642">
        <v>357</v>
      </c>
      <c r="G2642">
        <v>157</v>
      </c>
      <c r="H2642" t="s">
        <v>11</v>
      </c>
      <c r="I2642" t="b" cm="1">
        <f t="array" ref="I2642">isDup(B2642,B2643, 0.7)</f>
        <v>0</v>
      </c>
    </row>
    <row r="2643" spans="1:9" ht="17" x14ac:dyDescent="0.2">
      <c r="A2643" t="s">
        <v>939</v>
      </c>
      <c r="B2643" s="1" t="s">
        <v>940</v>
      </c>
      <c r="C2643" t="s">
        <v>941</v>
      </c>
      <c r="D2643" s="1" t="s">
        <v>2</v>
      </c>
      <c r="E2643" t="b">
        <v>0</v>
      </c>
      <c r="F2643">
        <v>0</v>
      </c>
      <c r="G2643">
        <v>19</v>
      </c>
      <c r="H2643" t="s">
        <v>11</v>
      </c>
      <c r="I2643" t="b" cm="1">
        <f t="array" ref="I2643">isDup(B2643,B2644, 0.7)</f>
        <v>0</v>
      </c>
    </row>
    <row r="2644" spans="1:9" ht="17" x14ac:dyDescent="0.2">
      <c r="A2644" t="s">
        <v>242</v>
      </c>
      <c r="B2644" s="1" t="s">
        <v>243</v>
      </c>
      <c r="C2644" t="s">
        <v>244</v>
      </c>
      <c r="D2644" s="1" t="s">
        <v>2</v>
      </c>
      <c r="E2644" t="b">
        <v>0</v>
      </c>
      <c r="F2644">
        <v>155</v>
      </c>
      <c r="G2644">
        <v>401</v>
      </c>
      <c r="H2644" t="s">
        <v>11</v>
      </c>
      <c r="I2644" t="b" cm="1">
        <f t="array" ref="I2644">isDup(B2644,B2645, 0.7)</f>
        <v>0</v>
      </c>
    </row>
    <row r="2645" spans="1:9" ht="17" x14ac:dyDescent="0.2">
      <c r="A2645" t="s">
        <v>3899</v>
      </c>
      <c r="B2645" s="1" t="s">
        <v>3900</v>
      </c>
      <c r="C2645" t="s">
        <v>1524</v>
      </c>
      <c r="D2645" s="1" t="s">
        <v>2</v>
      </c>
      <c r="E2645" t="b">
        <v>0</v>
      </c>
      <c r="F2645">
        <v>438</v>
      </c>
      <c r="G2645">
        <v>334</v>
      </c>
      <c r="H2645" t="s">
        <v>11</v>
      </c>
      <c r="I2645" t="b" cm="1">
        <f t="array" ref="I2645">isDup(B2645,B2646, 0.7)</f>
        <v>0</v>
      </c>
    </row>
    <row r="2646" spans="1:9" ht="17" x14ac:dyDescent="0.2">
      <c r="A2646" t="s">
        <v>1271</v>
      </c>
      <c r="B2646" s="1" t="s">
        <v>1272</v>
      </c>
      <c r="C2646" t="s">
        <v>1158</v>
      </c>
      <c r="D2646" s="1" t="s">
        <v>2</v>
      </c>
      <c r="E2646" t="b">
        <v>0</v>
      </c>
      <c r="F2646">
        <v>19</v>
      </c>
      <c r="G2646">
        <v>322</v>
      </c>
      <c r="H2646" t="s">
        <v>11</v>
      </c>
      <c r="I2646" t="b" cm="1">
        <f t="array" ref="I2646">isDup(B2646,B2647, 0.7)</f>
        <v>0</v>
      </c>
    </row>
    <row r="2647" spans="1:9" ht="34" x14ac:dyDescent="0.2">
      <c r="A2647" t="s">
        <v>6731</v>
      </c>
      <c r="B2647" s="1" t="s">
        <v>6732</v>
      </c>
      <c r="C2647" t="s">
        <v>4106</v>
      </c>
      <c r="D2647" s="1" t="s">
        <v>6733</v>
      </c>
      <c r="E2647" t="b">
        <v>0</v>
      </c>
      <c r="F2647">
        <v>229</v>
      </c>
      <c r="G2647">
        <v>573</v>
      </c>
      <c r="H2647" t="s">
        <v>11</v>
      </c>
      <c r="I2647" t="b" cm="1">
        <f t="array" ref="I2647">isDup(B2647,B2648, 0.7)</f>
        <v>0</v>
      </c>
    </row>
    <row r="2648" spans="1:9" ht="17" x14ac:dyDescent="0.2">
      <c r="A2648" t="s">
        <v>7246</v>
      </c>
      <c r="B2648" s="1" t="s">
        <v>7247</v>
      </c>
      <c r="C2648" t="s">
        <v>561</v>
      </c>
      <c r="D2648" s="1" t="s">
        <v>7248</v>
      </c>
      <c r="E2648" t="b">
        <v>1</v>
      </c>
      <c r="F2648">
        <v>10698</v>
      </c>
      <c r="G2648">
        <v>905</v>
      </c>
      <c r="H2648" t="s">
        <v>11</v>
      </c>
      <c r="I2648" t="b" cm="1">
        <f t="array" ref="I2648">isDup(B2648,B2649, 0.7)</f>
        <v>0</v>
      </c>
    </row>
    <row r="2649" spans="1:9" ht="17" x14ac:dyDescent="0.2">
      <c r="A2649" t="s">
        <v>3154</v>
      </c>
      <c r="B2649" s="1" t="s">
        <v>3155</v>
      </c>
      <c r="C2649" t="s">
        <v>1981</v>
      </c>
      <c r="D2649" s="1" t="s">
        <v>2</v>
      </c>
      <c r="E2649" t="b">
        <v>0</v>
      </c>
      <c r="F2649">
        <v>37</v>
      </c>
      <c r="G2649">
        <v>209</v>
      </c>
      <c r="H2649" t="s">
        <v>11</v>
      </c>
      <c r="I2649" t="b" cm="1">
        <f t="array" ref="I2649">isDup(B2649,B2650, 0.7)</f>
        <v>0</v>
      </c>
    </row>
    <row r="2650" spans="1:9" ht="17" x14ac:dyDescent="0.2">
      <c r="A2650" t="s">
        <v>6225</v>
      </c>
      <c r="B2650" s="1" t="s">
        <v>6226</v>
      </c>
      <c r="C2650" t="s">
        <v>6227</v>
      </c>
      <c r="D2650" s="1" t="s">
        <v>2</v>
      </c>
      <c r="E2650" t="b">
        <v>0</v>
      </c>
      <c r="F2650">
        <v>8</v>
      </c>
      <c r="G2650">
        <v>230</v>
      </c>
      <c r="H2650" t="s">
        <v>11</v>
      </c>
      <c r="I2650" t="b" cm="1">
        <f t="array" ref="I2650">isDup(B2650,B2651, 0.7)</f>
        <v>0</v>
      </c>
    </row>
    <row r="2651" spans="1:9" ht="17" x14ac:dyDescent="0.2">
      <c r="A2651" t="s">
        <v>5242</v>
      </c>
      <c r="B2651" s="1" t="s">
        <v>5243</v>
      </c>
      <c r="C2651" t="s">
        <v>5244</v>
      </c>
      <c r="D2651" s="1" t="s">
        <v>5245</v>
      </c>
      <c r="E2651" t="b">
        <v>0</v>
      </c>
      <c r="F2651">
        <v>2395</v>
      </c>
      <c r="G2651">
        <v>623</v>
      </c>
      <c r="H2651" t="s">
        <v>11</v>
      </c>
      <c r="I2651" t="b" cm="1">
        <f t="array" ref="I2651">isDup(B2651,B2652, 0.7)</f>
        <v>0</v>
      </c>
    </row>
    <row r="2652" spans="1:9" ht="17" x14ac:dyDescent="0.2">
      <c r="A2652" t="s">
        <v>4178</v>
      </c>
      <c r="B2652" s="1" t="s">
        <v>4179</v>
      </c>
      <c r="C2652" t="s">
        <v>2749</v>
      </c>
      <c r="D2652" s="1" t="s">
        <v>4180</v>
      </c>
      <c r="E2652" t="b">
        <v>0</v>
      </c>
      <c r="F2652">
        <v>149</v>
      </c>
      <c r="G2652">
        <v>248</v>
      </c>
      <c r="H2652" t="s">
        <v>11</v>
      </c>
      <c r="I2652" t="b" cm="1">
        <f t="array" ref="I2652">isDup(B2652,B2653, 0.7)</f>
        <v>0</v>
      </c>
    </row>
    <row r="2653" spans="1:9" ht="17" x14ac:dyDescent="0.2">
      <c r="A2653" t="s">
        <v>5693</v>
      </c>
      <c r="B2653" s="1" t="s">
        <v>5694</v>
      </c>
      <c r="C2653" t="s">
        <v>2539</v>
      </c>
      <c r="D2653" s="1" t="s">
        <v>1251</v>
      </c>
      <c r="E2653" t="b">
        <v>0</v>
      </c>
      <c r="F2653">
        <v>1189</v>
      </c>
      <c r="G2653">
        <v>1103</v>
      </c>
      <c r="H2653" t="s">
        <v>11</v>
      </c>
      <c r="I2653" t="b" cm="1">
        <f t="array" ref="I2653">isDup(B2653,B2654, 0.7)</f>
        <v>0</v>
      </c>
    </row>
    <row r="2654" spans="1:9" ht="34" x14ac:dyDescent="0.2">
      <c r="A2654" t="s">
        <v>4172</v>
      </c>
      <c r="B2654" s="1" t="s">
        <v>4173</v>
      </c>
      <c r="C2654" t="s">
        <v>1095</v>
      </c>
      <c r="D2654" s="1" t="s">
        <v>4174</v>
      </c>
      <c r="E2654" t="b">
        <v>0</v>
      </c>
      <c r="F2654">
        <v>633</v>
      </c>
      <c r="G2654">
        <v>952</v>
      </c>
      <c r="H2654" t="s">
        <v>11</v>
      </c>
      <c r="I2654" t="b" cm="1">
        <f t="array" ref="I2654">isDup(B2654,B2655, 0.7)</f>
        <v>0</v>
      </c>
    </row>
    <row r="2655" spans="1:9" ht="34" x14ac:dyDescent="0.2">
      <c r="A2655" t="s">
        <v>5450</v>
      </c>
      <c r="B2655" s="1" t="s">
        <v>5451</v>
      </c>
      <c r="C2655" t="s">
        <v>289</v>
      </c>
      <c r="D2655" s="1" t="s">
        <v>2</v>
      </c>
      <c r="E2655" t="b">
        <v>0</v>
      </c>
      <c r="F2655">
        <v>44</v>
      </c>
      <c r="G2655">
        <v>204</v>
      </c>
      <c r="H2655" t="s">
        <v>11</v>
      </c>
      <c r="I2655" t="b" cm="1">
        <f t="array" ref="I2655">isDup(B2655,B2656, 0.7)</f>
        <v>0</v>
      </c>
    </row>
    <row r="2656" spans="1:9" ht="34" x14ac:dyDescent="0.2">
      <c r="A2656" t="s">
        <v>5984</v>
      </c>
      <c r="B2656" s="1" t="s">
        <v>5985</v>
      </c>
      <c r="C2656" t="s">
        <v>2675</v>
      </c>
      <c r="D2656" s="1" t="s">
        <v>5986</v>
      </c>
      <c r="E2656" t="b">
        <v>0</v>
      </c>
      <c r="F2656">
        <v>366</v>
      </c>
      <c r="G2656">
        <v>502</v>
      </c>
      <c r="H2656" t="s">
        <v>11</v>
      </c>
      <c r="I2656" t="b" cm="1">
        <f t="array" ref="I2656">isDup(B2656,B2657, 0.7)</f>
        <v>0</v>
      </c>
    </row>
    <row r="2657" spans="1:9" ht="17" x14ac:dyDescent="0.2">
      <c r="A2657" t="s">
        <v>6989</v>
      </c>
      <c r="B2657" s="1" t="s">
        <v>6990</v>
      </c>
      <c r="C2657" t="s">
        <v>1885</v>
      </c>
      <c r="D2657" s="1" t="s">
        <v>1573</v>
      </c>
      <c r="E2657" t="b">
        <v>0</v>
      </c>
      <c r="F2657">
        <v>41</v>
      </c>
      <c r="G2657">
        <v>228</v>
      </c>
      <c r="H2657" t="s">
        <v>11</v>
      </c>
      <c r="I2657" t="b" cm="1">
        <f t="array" ref="I2657">isDup(B2657,B2658, 0.7)</f>
        <v>0</v>
      </c>
    </row>
    <row r="2658" spans="1:9" ht="17" x14ac:dyDescent="0.2">
      <c r="A2658" t="s">
        <v>1765</v>
      </c>
      <c r="B2658" s="1" t="s">
        <v>1766</v>
      </c>
      <c r="C2658" t="s">
        <v>1767</v>
      </c>
      <c r="D2658" s="1" t="s">
        <v>1768</v>
      </c>
      <c r="E2658" t="b">
        <v>0</v>
      </c>
      <c r="F2658">
        <v>28</v>
      </c>
      <c r="G2658">
        <v>101</v>
      </c>
      <c r="H2658" t="s">
        <v>11</v>
      </c>
      <c r="I2658" t="b" cm="1">
        <f t="array" ref="I2658">isDup(B2658,B2659, 0.7)</f>
        <v>0</v>
      </c>
    </row>
    <row r="2659" spans="1:9" ht="17" x14ac:dyDescent="0.2">
      <c r="A2659" t="s">
        <v>1993</v>
      </c>
      <c r="B2659" s="1" t="s">
        <v>1994</v>
      </c>
      <c r="C2659" t="s">
        <v>1506</v>
      </c>
      <c r="D2659" s="1" t="s">
        <v>1995</v>
      </c>
      <c r="E2659" t="b">
        <v>1</v>
      </c>
      <c r="F2659">
        <v>32161</v>
      </c>
      <c r="G2659">
        <v>1573</v>
      </c>
      <c r="H2659" t="s">
        <v>11</v>
      </c>
      <c r="I2659" t="b" cm="1">
        <f t="array" ref="I2659">isDup(B2659,B2660, 0.7)</f>
        <v>0</v>
      </c>
    </row>
    <row r="2660" spans="1:9" ht="34" x14ac:dyDescent="0.2">
      <c r="A2660" t="s">
        <v>462</v>
      </c>
      <c r="B2660" s="1" t="s">
        <v>463</v>
      </c>
      <c r="C2660" t="s">
        <v>464</v>
      </c>
      <c r="D2660" s="1" t="s">
        <v>465</v>
      </c>
      <c r="E2660" t="b">
        <v>0</v>
      </c>
      <c r="F2660">
        <v>3</v>
      </c>
      <c r="G2660">
        <v>13</v>
      </c>
      <c r="H2660" t="s">
        <v>11</v>
      </c>
      <c r="I2660" t="b" cm="1">
        <f t="array" ref="I2660">isDup(B2660,B2661, 0.7)</f>
        <v>0</v>
      </c>
    </row>
    <row r="2661" spans="1:9" ht="17" x14ac:dyDescent="0.2">
      <c r="A2661" t="s">
        <v>1761</v>
      </c>
      <c r="B2661" s="1" t="s">
        <v>1762</v>
      </c>
      <c r="C2661" t="s">
        <v>1746</v>
      </c>
      <c r="D2661" s="1" t="s">
        <v>1747</v>
      </c>
      <c r="E2661" t="b">
        <v>0</v>
      </c>
      <c r="F2661">
        <v>101</v>
      </c>
      <c r="G2661">
        <v>542</v>
      </c>
      <c r="H2661" t="s">
        <v>11</v>
      </c>
      <c r="I2661" t="b" cm="1">
        <f t="array" ref="I2661">isDup(B2661,B2662, 0.7)</f>
        <v>0</v>
      </c>
    </row>
    <row r="2662" spans="1:9" ht="17" x14ac:dyDescent="0.2">
      <c r="A2662" t="s">
        <v>3043</v>
      </c>
      <c r="B2662" s="1" t="s">
        <v>3044</v>
      </c>
      <c r="C2662" t="s">
        <v>22</v>
      </c>
      <c r="D2662" s="1" t="s">
        <v>178</v>
      </c>
      <c r="E2662" t="b">
        <v>0</v>
      </c>
      <c r="F2662">
        <v>36</v>
      </c>
      <c r="G2662">
        <v>38</v>
      </c>
      <c r="H2662" t="s">
        <v>11</v>
      </c>
      <c r="I2662" t="b" cm="1">
        <f t="array" ref="I2662">isDup(B2662,B2663, 0.7)</f>
        <v>0</v>
      </c>
    </row>
    <row r="2663" spans="1:9" ht="34" x14ac:dyDescent="0.2">
      <c r="A2663" t="s">
        <v>6445</v>
      </c>
      <c r="B2663" s="1" t="s">
        <v>6446</v>
      </c>
      <c r="C2663" t="s">
        <v>222</v>
      </c>
      <c r="E2663" t="b">
        <v>0</v>
      </c>
      <c r="F2663">
        <v>2363</v>
      </c>
      <c r="G2663">
        <v>2741</v>
      </c>
      <c r="H2663" t="s">
        <v>31</v>
      </c>
      <c r="I2663" t="b" cm="1">
        <f t="array" ref="I2663">isDup(B2663,B2664, 0.7)</f>
        <v>0</v>
      </c>
    </row>
    <row r="2664" spans="1:9" ht="17" x14ac:dyDescent="0.2">
      <c r="A2664" t="s">
        <v>1546</v>
      </c>
      <c r="B2664" s="1" t="s">
        <v>1547</v>
      </c>
      <c r="C2664" t="s">
        <v>1548</v>
      </c>
      <c r="D2664" s="1" t="s">
        <v>2</v>
      </c>
      <c r="E2664" t="b">
        <v>0</v>
      </c>
      <c r="F2664">
        <v>99</v>
      </c>
      <c r="G2664">
        <v>9</v>
      </c>
      <c r="H2664" t="s">
        <v>11</v>
      </c>
      <c r="I2664" t="b" cm="1">
        <f t="array" ref="I2664">isDup(B2664,B2665, 0.7)</f>
        <v>0</v>
      </c>
    </row>
    <row r="2665" spans="1:9" ht="17" x14ac:dyDescent="0.2">
      <c r="A2665" t="s">
        <v>5503</v>
      </c>
      <c r="B2665" s="1" t="s">
        <v>5504</v>
      </c>
      <c r="C2665" t="s">
        <v>5505</v>
      </c>
      <c r="D2665" s="1" t="s">
        <v>61</v>
      </c>
      <c r="E2665" t="b">
        <v>0</v>
      </c>
      <c r="F2665">
        <v>26</v>
      </c>
      <c r="G2665">
        <v>285</v>
      </c>
      <c r="H2665" t="s">
        <v>11</v>
      </c>
      <c r="I2665" t="b" cm="1">
        <f t="array" ref="I2665">isDup(B2665,B2666, 0.7)</f>
        <v>0</v>
      </c>
    </row>
    <row r="2666" spans="1:9" ht="17" x14ac:dyDescent="0.2">
      <c r="A2666" t="s">
        <v>2082</v>
      </c>
      <c r="B2666" s="1" t="s">
        <v>2083</v>
      </c>
      <c r="C2666" t="s">
        <v>136</v>
      </c>
      <c r="D2666" s="1" t="s">
        <v>2084</v>
      </c>
      <c r="E2666" t="b">
        <v>0</v>
      </c>
      <c r="F2666">
        <v>323</v>
      </c>
      <c r="G2666">
        <v>566</v>
      </c>
      <c r="H2666" t="s">
        <v>11</v>
      </c>
      <c r="I2666" t="b" cm="1">
        <f t="array" ref="I2666">isDup(B2666,B2667, 0.7)</f>
        <v>0</v>
      </c>
    </row>
    <row r="2667" spans="1:9" ht="17" x14ac:dyDescent="0.2">
      <c r="A2667" t="s">
        <v>6354</v>
      </c>
      <c r="B2667" s="1" t="s">
        <v>6355</v>
      </c>
      <c r="C2667" t="s">
        <v>345</v>
      </c>
      <c r="D2667" s="1" t="s">
        <v>2</v>
      </c>
      <c r="E2667" t="b">
        <v>0</v>
      </c>
      <c r="F2667">
        <v>90</v>
      </c>
      <c r="G2667">
        <v>594</v>
      </c>
      <c r="H2667" t="s">
        <v>11</v>
      </c>
      <c r="I2667" t="b" cm="1">
        <f t="array" ref="I2667">isDup(B2667,B2668, 0.7)</f>
        <v>0</v>
      </c>
    </row>
    <row r="2668" spans="1:9" ht="17" x14ac:dyDescent="0.2">
      <c r="A2668" t="s">
        <v>5602</v>
      </c>
      <c r="B2668" s="1" t="s">
        <v>5603</v>
      </c>
      <c r="C2668" t="s">
        <v>2024</v>
      </c>
      <c r="D2668" s="1" t="s">
        <v>5604</v>
      </c>
      <c r="E2668" t="b">
        <v>0</v>
      </c>
      <c r="F2668">
        <v>37541</v>
      </c>
      <c r="G2668">
        <v>734</v>
      </c>
      <c r="H2668" t="s">
        <v>11</v>
      </c>
      <c r="I2668" t="b" cm="1">
        <f t="array" ref="I2668">isDup(B2668,B2669, 0.7)</f>
        <v>0</v>
      </c>
    </row>
    <row r="2669" spans="1:9" ht="17" x14ac:dyDescent="0.2">
      <c r="A2669" t="s">
        <v>258</v>
      </c>
      <c r="B2669" s="1" t="s">
        <v>259</v>
      </c>
      <c r="C2669" t="s">
        <v>260</v>
      </c>
      <c r="D2669" s="1" t="s">
        <v>261</v>
      </c>
      <c r="E2669" t="b">
        <v>0</v>
      </c>
      <c r="F2669">
        <v>419</v>
      </c>
      <c r="G2669">
        <v>81</v>
      </c>
      <c r="H2669" t="s">
        <v>262</v>
      </c>
      <c r="I2669" t="b" cm="1">
        <f t="array" ref="I2669">isDup(B2669,B2670, 0.7)</f>
        <v>0</v>
      </c>
    </row>
    <row r="2670" spans="1:9" ht="17" x14ac:dyDescent="0.2">
      <c r="A2670" t="s">
        <v>645</v>
      </c>
      <c r="B2670" s="1" t="s">
        <v>646</v>
      </c>
      <c r="C2670" t="s">
        <v>108</v>
      </c>
      <c r="D2670" s="1" t="s">
        <v>2</v>
      </c>
      <c r="E2670" t="b">
        <v>0</v>
      </c>
      <c r="F2670">
        <v>2</v>
      </c>
      <c r="G2670">
        <v>75</v>
      </c>
      <c r="H2670" t="s">
        <v>11</v>
      </c>
      <c r="I2670" t="b" cm="1">
        <f t="array" ref="I2670">isDup(B2670,B2671, 0.7)</f>
        <v>0</v>
      </c>
    </row>
    <row r="2671" spans="1:9" ht="34" x14ac:dyDescent="0.2">
      <c r="A2671" t="s">
        <v>6352</v>
      </c>
      <c r="B2671" s="1" t="s">
        <v>6353</v>
      </c>
      <c r="C2671" t="s">
        <v>2729</v>
      </c>
      <c r="D2671" s="1" t="s">
        <v>3570</v>
      </c>
      <c r="E2671" t="b">
        <v>0</v>
      </c>
      <c r="F2671">
        <v>46</v>
      </c>
      <c r="G2671">
        <v>212</v>
      </c>
      <c r="H2671" t="s">
        <v>11</v>
      </c>
      <c r="I2671" t="b" cm="1">
        <f t="array" ref="I2671">isDup(B2671,B2672, 0.7)</f>
        <v>0</v>
      </c>
    </row>
    <row r="2672" spans="1:9" ht="34" x14ac:dyDescent="0.2">
      <c r="A2672" t="s">
        <v>4443</v>
      </c>
      <c r="B2672" s="1" t="s">
        <v>4444</v>
      </c>
      <c r="C2672" t="s">
        <v>82</v>
      </c>
      <c r="D2672" s="1" t="s">
        <v>2</v>
      </c>
      <c r="E2672" t="b">
        <v>0</v>
      </c>
      <c r="F2672">
        <v>171</v>
      </c>
      <c r="G2672">
        <v>236</v>
      </c>
      <c r="H2672" t="s">
        <v>11</v>
      </c>
      <c r="I2672" t="b" cm="1">
        <f t="array" ref="I2672">isDup(B2672,B2673, 0.7)</f>
        <v>0</v>
      </c>
    </row>
    <row r="2673" spans="1:9" ht="17" x14ac:dyDescent="0.2">
      <c r="A2673" t="s">
        <v>4946</v>
      </c>
      <c r="B2673" s="1" t="s">
        <v>4947</v>
      </c>
      <c r="C2673" t="s">
        <v>271</v>
      </c>
      <c r="D2673" s="1" t="s">
        <v>61</v>
      </c>
      <c r="E2673" t="b">
        <v>0</v>
      </c>
      <c r="F2673">
        <v>84</v>
      </c>
      <c r="G2673">
        <v>118</v>
      </c>
      <c r="H2673" t="s">
        <v>11</v>
      </c>
      <c r="I2673" t="b" cm="1">
        <f t="array" ref="I2673">isDup(B2673,B2674, 0.7)</f>
        <v>0</v>
      </c>
    </row>
    <row r="2674" spans="1:9" ht="17" x14ac:dyDescent="0.2">
      <c r="A2674" t="s">
        <v>5084</v>
      </c>
      <c r="B2674" s="1" t="s">
        <v>5085</v>
      </c>
      <c r="C2674" t="s">
        <v>3244</v>
      </c>
      <c r="D2674" s="1" t="s">
        <v>5086</v>
      </c>
      <c r="E2674" t="b">
        <v>0</v>
      </c>
      <c r="F2674">
        <v>110</v>
      </c>
      <c r="G2674">
        <v>131</v>
      </c>
      <c r="H2674" t="s">
        <v>11</v>
      </c>
      <c r="I2674" t="b" cm="1">
        <f t="array" ref="I2674">isDup(B2674,B2675, 0.7)</f>
        <v>0</v>
      </c>
    </row>
    <row r="2675" spans="1:9" ht="34" x14ac:dyDescent="0.2">
      <c r="A2675" t="s">
        <v>4700</v>
      </c>
      <c r="B2675" s="1" t="s">
        <v>4701</v>
      </c>
      <c r="C2675" t="s">
        <v>1148</v>
      </c>
      <c r="D2675" s="1" t="s">
        <v>4702</v>
      </c>
      <c r="E2675" t="b">
        <v>0</v>
      </c>
      <c r="F2675">
        <v>104</v>
      </c>
      <c r="G2675">
        <v>87</v>
      </c>
      <c r="H2675" t="s">
        <v>11</v>
      </c>
      <c r="I2675" t="b" cm="1">
        <f t="array" ref="I2675">isDup(B2675,B2676, 0.7)</f>
        <v>0</v>
      </c>
    </row>
    <row r="2676" spans="1:9" ht="34" x14ac:dyDescent="0.2">
      <c r="A2676" t="s">
        <v>2540</v>
      </c>
      <c r="B2676" s="1" t="s">
        <v>2541</v>
      </c>
      <c r="C2676" t="s">
        <v>1753</v>
      </c>
      <c r="D2676" s="1" t="s">
        <v>2542</v>
      </c>
      <c r="E2676" t="b">
        <v>0</v>
      </c>
      <c r="F2676">
        <v>24</v>
      </c>
      <c r="G2676">
        <v>62</v>
      </c>
      <c r="H2676" t="s">
        <v>11</v>
      </c>
      <c r="I2676" t="b" cm="1">
        <f t="array" ref="I2676">isDup(B2676,B2677, 0.7)</f>
        <v>0</v>
      </c>
    </row>
    <row r="2677" spans="1:9" ht="34" x14ac:dyDescent="0.2">
      <c r="A2677" t="s">
        <v>6080</v>
      </c>
      <c r="B2677" s="1" t="s">
        <v>6081</v>
      </c>
      <c r="C2677" t="s">
        <v>108</v>
      </c>
      <c r="D2677" s="1" t="s">
        <v>2</v>
      </c>
      <c r="E2677" t="b">
        <v>0</v>
      </c>
      <c r="F2677">
        <v>3</v>
      </c>
      <c r="G2677">
        <v>75</v>
      </c>
      <c r="H2677" t="s">
        <v>11</v>
      </c>
      <c r="I2677" t="b" cm="1">
        <f t="array" ref="I2677">isDup(B2677,B2678, 0.7)</f>
        <v>0</v>
      </c>
    </row>
    <row r="2678" spans="1:9" ht="17" x14ac:dyDescent="0.2">
      <c r="A2678" t="s">
        <v>1522</v>
      </c>
      <c r="B2678" s="1" t="s">
        <v>1523</v>
      </c>
      <c r="C2678" t="s">
        <v>1524</v>
      </c>
      <c r="D2678" s="1" t="s">
        <v>1525</v>
      </c>
      <c r="E2678" t="b">
        <v>0</v>
      </c>
      <c r="F2678">
        <v>378</v>
      </c>
      <c r="G2678">
        <v>959</v>
      </c>
      <c r="H2678" t="s">
        <v>11</v>
      </c>
      <c r="I2678" t="b" cm="1">
        <f t="array" ref="I2678">isDup(B2678,B2679, 0.7)</f>
        <v>0</v>
      </c>
    </row>
    <row r="2679" spans="1:9" ht="17" x14ac:dyDescent="0.2">
      <c r="A2679" t="s">
        <v>6695</v>
      </c>
      <c r="B2679" s="1" t="s">
        <v>6696</v>
      </c>
      <c r="C2679" t="s">
        <v>6697</v>
      </c>
      <c r="D2679" s="1" t="s">
        <v>534</v>
      </c>
      <c r="E2679" t="b">
        <v>0</v>
      </c>
      <c r="F2679">
        <v>86</v>
      </c>
      <c r="G2679">
        <v>93</v>
      </c>
      <c r="H2679" t="s">
        <v>11</v>
      </c>
      <c r="I2679" t="b" cm="1">
        <f t="array" ref="I2679">isDup(B2679,B2680, 0.7)</f>
        <v>0</v>
      </c>
    </row>
    <row r="2680" spans="1:9" ht="17" x14ac:dyDescent="0.2">
      <c r="A2680" t="s">
        <v>3933</v>
      </c>
      <c r="B2680" s="1" t="s">
        <v>3934</v>
      </c>
      <c r="C2680" t="s">
        <v>3282</v>
      </c>
      <c r="D2680" s="1" t="s">
        <v>2</v>
      </c>
      <c r="E2680" t="b">
        <v>0</v>
      </c>
      <c r="F2680">
        <v>55</v>
      </c>
      <c r="G2680">
        <v>210</v>
      </c>
      <c r="H2680" t="s">
        <v>11</v>
      </c>
      <c r="I2680" t="b" cm="1">
        <f t="array" ref="I2680">isDup(B2680,B2681, 0.7)</f>
        <v>0</v>
      </c>
    </row>
    <row r="2681" spans="1:9" ht="34" x14ac:dyDescent="0.2">
      <c r="A2681" t="s">
        <v>3286</v>
      </c>
      <c r="B2681" s="1" t="s">
        <v>3287</v>
      </c>
      <c r="C2681" t="s">
        <v>345</v>
      </c>
      <c r="D2681" s="1" t="s">
        <v>2</v>
      </c>
      <c r="E2681" t="b">
        <v>0</v>
      </c>
      <c r="F2681">
        <v>137</v>
      </c>
      <c r="G2681">
        <v>676</v>
      </c>
      <c r="H2681" t="s">
        <v>11</v>
      </c>
      <c r="I2681" t="b" cm="1">
        <f t="array" ref="I2681">isDup(B2681,B2682, 0.7)</f>
        <v>0</v>
      </c>
    </row>
    <row r="2682" spans="1:9" ht="34" x14ac:dyDescent="0.2">
      <c r="A2682" t="s">
        <v>7103</v>
      </c>
      <c r="B2682" s="1" t="s">
        <v>7106</v>
      </c>
      <c r="C2682" t="s">
        <v>10</v>
      </c>
      <c r="D2682" s="1" t="s">
        <v>2</v>
      </c>
      <c r="E2682" t="b">
        <v>0</v>
      </c>
      <c r="F2682">
        <v>4</v>
      </c>
      <c r="G2682">
        <v>38</v>
      </c>
      <c r="H2682" t="s">
        <v>11</v>
      </c>
      <c r="I2682" t="b" cm="1">
        <f t="array" ref="I2682">isDup(B2682,B2683, 0.7)</f>
        <v>0</v>
      </c>
    </row>
    <row r="2683" spans="1:9" ht="34" x14ac:dyDescent="0.2">
      <c r="A2683" t="s">
        <v>2761</v>
      </c>
      <c r="B2683" s="1" t="s">
        <v>2763</v>
      </c>
      <c r="C2683" t="s">
        <v>2764</v>
      </c>
      <c r="D2683" s="1" t="s">
        <v>2</v>
      </c>
      <c r="E2683" t="b">
        <v>0</v>
      </c>
      <c r="F2683">
        <v>260</v>
      </c>
      <c r="G2683">
        <v>261</v>
      </c>
      <c r="H2683" t="s">
        <v>11</v>
      </c>
      <c r="I2683" t="b" cm="1">
        <f t="array" ref="I2683">isDup(B2683,B2684, 0.7)</f>
        <v>0</v>
      </c>
    </row>
    <row r="2684" spans="1:9" ht="17" x14ac:dyDescent="0.2">
      <c r="A2684" t="s">
        <v>1806</v>
      </c>
      <c r="B2684" s="1" t="s">
        <v>1807</v>
      </c>
      <c r="C2684" t="s">
        <v>1808</v>
      </c>
      <c r="D2684" s="1" t="s">
        <v>1809</v>
      </c>
      <c r="E2684" t="b">
        <v>0</v>
      </c>
      <c r="F2684">
        <v>1162</v>
      </c>
      <c r="G2684">
        <v>861</v>
      </c>
      <c r="H2684" t="s">
        <v>11</v>
      </c>
      <c r="I2684" t="b" cm="1">
        <f t="array" ref="I2684">isDup(B2684,B2685, 0.7)</f>
        <v>0</v>
      </c>
    </row>
    <row r="2685" spans="1:9" ht="34" x14ac:dyDescent="0.2">
      <c r="A2685" t="s">
        <v>6019</v>
      </c>
      <c r="B2685" s="1" t="s">
        <v>6020</v>
      </c>
      <c r="C2685" t="s">
        <v>1065</v>
      </c>
      <c r="D2685" s="1" t="s">
        <v>6021</v>
      </c>
      <c r="E2685" t="b">
        <v>0</v>
      </c>
      <c r="F2685">
        <v>258</v>
      </c>
      <c r="G2685">
        <v>972</v>
      </c>
      <c r="H2685" t="s">
        <v>11</v>
      </c>
      <c r="I2685" t="b" cm="1">
        <f t="array" ref="I2685">isDup(B2685,B2686, 0.7)</f>
        <v>0</v>
      </c>
    </row>
    <row r="2686" spans="1:9" ht="17" x14ac:dyDescent="0.2">
      <c r="A2686" t="s">
        <v>3780</v>
      </c>
      <c r="B2686" s="1" t="s">
        <v>3781</v>
      </c>
      <c r="C2686" t="s">
        <v>3782</v>
      </c>
      <c r="D2686" s="1" t="s">
        <v>1343</v>
      </c>
      <c r="E2686" t="b">
        <v>0</v>
      </c>
      <c r="F2686">
        <v>171</v>
      </c>
      <c r="G2686">
        <v>416</v>
      </c>
      <c r="H2686" t="s">
        <v>11</v>
      </c>
      <c r="I2686" t="b" cm="1">
        <f t="array" ref="I2686">isDup(B2686,B2687, 0.7)</f>
        <v>0</v>
      </c>
    </row>
    <row r="2687" spans="1:9" ht="17" x14ac:dyDescent="0.2">
      <c r="A2687" t="s">
        <v>5350</v>
      </c>
      <c r="B2687" s="1" t="s">
        <v>5351</v>
      </c>
      <c r="C2687" t="s">
        <v>402</v>
      </c>
      <c r="D2687" s="1" t="s">
        <v>5352</v>
      </c>
      <c r="E2687" t="b">
        <v>0</v>
      </c>
      <c r="F2687">
        <v>374</v>
      </c>
      <c r="G2687">
        <v>410</v>
      </c>
      <c r="H2687" t="s">
        <v>11</v>
      </c>
      <c r="I2687" t="b" cm="1">
        <f t="array" ref="I2687">isDup(B2687,B2688, 0.7)</f>
        <v>0</v>
      </c>
    </row>
    <row r="2688" spans="1:9" ht="17" x14ac:dyDescent="0.2">
      <c r="A2688" t="s">
        <v>453</v>
      </c>
      <c r="B2688" s="1" t="s">
        <v>454</v>
      </c>
      <c r="C2688" t="s">
        <v>455</v>
      </c>
      <c r="D2688" s="1" t="s">
        <v>2</v>
      </c>
      <c r="E2688" t="b">
        <v>0</v>
      </c>
      <c r="F2688">
        <v>17</v>
      </c>
      <c r="G2688">
        <v>95</v>
      </c>
      <c r="H2688" t="s">
        <v>47</v>
      </c>
      <c r="I2688" t="b" cm="1">
        <f t="array" ref="I2688">isDup(B2688,B2689, 0.7)</f>
        <v>0</v>
      </c>
    </row>
    <row r="2689" spans="1:9" ht="17" x14ac:dyDescent="0.2">
      <c r="A2689" t="s">
        <v>6400</v>
      </c>
      <c r="B2689" s="1" t="s">
        <v>6401</v>
      </c>
      <c r="C2689" t="s">
        <v>472</v>
      </c>
      <c r="D2689" s="1" t="s">
        <v>473</v>
      </c>
      <c r="E2689" t="b">
        <v>0</v>
      </c>
      <c r="F2689">
        <v>293</v>
      </c>
      <c r="G2689">
        <v>0</v>
      </c>
      <c r="H2689" t="s">
        <v>110</v>
      </c>
      <c r="I2689" t="b" cm="1">
        <f t="array" ref="I2689">isDup(B2689,B2690, 0.7)</f>
        <v>0</v>
      </c>
    </row>
    <row r="2690" spans="1:9" ht="17" x14ac:dyDescent="0.2">
      <c r="A2690" t="s">
        <v>4713</v>
      </c>
      <c r="B2690" s="1" t="s">
        <v>4714</v>
      </c>
      <c r="C2690" t="s">
        <v>2336</v>
      </c>
      <c r="D2690" s="1" t="s">
        <v>4715</v>
      </c>
      <c r="E2690" t="b">
        <v>0</v>
      </c>
      <c r="F2690">
        <v>464</v>
      </c>
      <c r="G2690">
        <v>862</v>
      </c>
      <c r="H2690" t="s">
        <v>11</v>
      </c>
      <c r="I2690" t="b" cm="1">
        <f t="array" ref="I2690">isDup(B2690,B2691, 0.7)</f>
        <v>0</v>
      </c>
    </row>
    <row r="2691" spans="1:9" ht="17" x14ac:dyDescent="0.2">
      <c r="A2691" t="s">
        <v>3921</v>
      </c>
      <c r="B2691" s="1" t="s">
        <v>3922</v>
      </c>
      <c r="C2691" t="s">
        <v>151</v>
      </c>
      <c r="D2691" s="1" t="s">
        <v>2</v>
      </c>
      <c r="E2691" t="b">
        <v>0</v>
      </c>
      <c r="F2691">
        <v>650</v>
      </c>
      <c r="G2691">
        <v>2191</v>
      </c>
      <c r="H2691" t="s">
        <v>11</v>
      </c>
      <c r="I2691" t="b" cm="1">
        <f t="array" ref="I2691">isDup(B2691,B2692, 0.7)</f>
        <v>0</v>
      </c>
    </row>
    <row r="2692" spans="1:9" ht="34" x14ac:dyDescent="0.2">
      <c r="A2692" t="s">
        <v>535</v>
      </c>
      <c r="B2692" s="1" t="s">
        <v>536</v>
      </c>
      <c r="C2692" t="s">
        <v>100</v>
      </c>
      <c r="D2692" s="1" t="s">
        <v>2</v>
      </c>
      <c r="E2692" t="b">
        <v>0</v>
      </c>
      <c r="F2692">
        <v>0</v>
      </c>
      <c r="G2692">
        <v>2</v>
      </c>
      <c r="H2692" t="s">
        <v>11</v>
      </c>
      <c r="I2692" t="b" cm="1">
        <f t="array" ref="I2692">isDup(B2692,B2693, 0.7)</f>
        <v>0</v>
      </c>
    </row>
    <row r="2694" spans="1:9" x14ac:dyDescent="0.2">
      <c r="B2694"/>
      <c r="D2694"/>
    </row>
    <row r="2695" spans="1:9" x14ac:dyDescent="0.2">
      <c r="B2695"/>
      <c r="D2695"/>
    </row>
    <row r="2696" spans="1:9" x14ac:dyDescent="0.2">
      <c r="B2696"/>
      <c r="D2696"/>
    </row>
    <row r="2697" spans="1:9" x14ac:dyDescent="0.2">
      <c r="B2697"/>
      <c r="D2697"/>
    </row>
    <row r="2698" spans="1:9" x14ac:dyDescent="0.2">
      <c r="B2698"/>
      <c r="D2698"/>
    </row>
    <row r="2699" spans="1:9" x14ac:dyDescent="0.2">
      <c r="B2699"/>
      <c r="D2699"/>
    </row>
    <row r="2700" spans="1:9" x14ac:dyDescent="0.2">
      <c r="B2700"/>
      <c r="D2700"/>
    </row>
    <row r="2701" spans="1:9" x14ac:dyDescent="0.2">
      <c r="B2701"/>
      <c r="D2701"/>
    </row>
    <row r="2702" spans="1:9" x14ac:dyDescent="0.2">
      <c r="B2702"/>
      <c r="D2702"/>
    </row>
    <row r="2703" spans="1:9" x14ac:dyDescent="0.2">
      <c r="B2703"/>
      <c r="D2703"/>
    </row>
    <row r="2704" spans="1:9" x14ac:dyDescent="0.2">
      <c r="B2704"/>
      <c r="D2704"/>
    </row>
    <row r="2705" spans="2:4" x14ac:dyDescent="0.2">
      <c r="B2705"/>
      <c r="D2705"/>
    </row>
    <row r="2706" spans="2:4" x14ac:dyDescent="0.2">
      <c r="B2706"/>
      <c r="D2706"/>
    </row>
    <row r="2707" spans="2:4" x14ac:dyDescent="0.2">
      <c r="B2707"/>
      <c r="D2707"/>
    </row>
    <row r="2708" spans="2:4" x14ac:dyDescent="0.2">
      <c r="B2708"/>
      <c r="D2708"/>
    </row>
    <row r="2709" spans="2:4" x14ac:dyDescent="0.2">
      <c r="B2709"/>
      <c r="D2709"/>
    </row>
    <row r="2710" spans="2:4" x14ac:dyDescent="0.2">
      <c r="B2710"/>
      <c r="D2710"/>
    </row>
    <row r="2711" spans="2:4" x14ac:dyDescent="0.2">
      <c r="B2711"/>
      <c r="D2711"/>
    </row>
    <row r="2712" spans="2:4" x14ac:dyDescent="0.2">
      <c r="B2712"/>
      <c r="D2712"/>
    </row>
    <row r="2713" spans="2:4" x14ac:dyDescent="0.2">
      <c r="B2713"/>
      <c r="D2713"/>
    </row>
    <row r="2714" spans="2:4" x14ac:dyDescent="0.2">
      <c r="B2714"/>
      <c r="D2714"/>
    </row>
    <row r="2715" spans="2:4" x14ac:dyDescent="0.2">
      <c r="B2715"/>
      <c r="D2715"/>
    </row>
    <row r="2716" spans="2:4" x14ac:dyDescent="0.2">
      <c r="B2716"/>
      <c r="D2716"/>
    </row>
    <row r="2717" spans="2:4" x14ac:dyDescent="0.2">
      <c r="B2717"/>
      <c r="D2717"/>
    </row>
    <row r="2718" spans="2:4" x14ac:dyDescent="0.2">
      <c r="B2718"/>
      <c r="D2718"/>
    </row>
    <row r="2719" spans="2:4" x14ac:dyDescent="0.2">
      <c r="B2719"/>
      <c r="D2719"/>
    </row>
    <row r="2720" spans="2:4" x14ac:dyDescent="0.2">
      <c r="B2720"/>
      <c r="D2720"/>
    </row>
    <row r="2721" spans="2:4" x14ac:dyDescent="0.2">
      <c r="B2721"/>
      <c r="D2721"/>
    </row>
    <row r="2722" spans="2:4" x14ac:dyDescent="0.2">
      <c r="B2722"/>
      <c r="D2722"/>
    </row>
    <row r="2723" spans="2:4" x14ac:dyDescent="0.2">
      <c r="B2723"/>
      <c r="D2723"/>
    </row>
    <row r="2724" spans="2:4" x14ac:dyDescent="0.2">
      <c r="B2724"/>
      <c r="D2724"/>
    </row>
    <row r="2725" spans="2:4" x14ac:dyDescent="0.2">
      <c r="B2725"/>
      <c r="D2725"/>
    </row>
    <row r="2726" spans="2:4" x14ac:dyDescent="0.2">
      <c r="B2726"/>
      <c r="D2726"/>
    </row>
    <row r="2727" spans="2:4" x14ac:dyDescent="0.2">
      <c r="B2727"/>
      <c r="D2727"/>
    </row>
    <row r="2728" spans="2:4" x14ac:dyDescent="0.2">
      <c r="B2728"/>
      <c r="D2728"/>
    </row>
    <row r="2729" spans="2:4" x14ac:dyDescent="0.2">
      <c r="B2729"/>
      <c r="D2729"/>
    </row>
    <row r="2730" spans="2:4" x14ac:dyDescent="0.2">
      <c r="B2730"/>
      <c r="D2730"/>
    </row>
    <row r="2731" spans="2:4" x14ac:dyDescent="0.2">
      <c r="B2731"/>
      <c r="D2731"/>
    </row>
    <row r="2732" spans="2:4" x14ac:dyDescent="0.2">
      <c r="B2732"/>
      <c r="D2732"/>
    </row>
    <row r="2733" spans="2:4" x14ac:dyDescent="0.2">
      <c r="B2733"/>
      <c r="D2733"/>
    </row>
    <row r="2734" spans="2:4" x14ac:dyDescent="0.2">
      <c r="B2734"/>
      <c r="D2734"/>
    </row>
    <row r="2735" spans="2:4" x14ac:dyDescent="0.2">
      <c r="B2735"/>
      <c r="D2735"/>
    </row>
    <row r="2736" spans="2:4" x14ac:dyDescent="0.2">
      <c r="B2736"/>
      <c r="D2736"/>
    </row>
    <row r="2737" spans="2:4" x14ac:dyDescent="0.2">
      <c r="B2737"/>
      <c r="D2737"/>
    </row>
    <row r="2738" spans="2:4" x14ac:dyDescent="0.2">
      <c r="B2738"/>
      <c r="D2738"/>
    </row>
    <row r="2739" spans="2:4" x14ac:dyDescent="0.2">
      <c r="B2739"/>
      <c r="D2739"/>
    </row>
    <row r="2740" spans="2:4" x14ac:dyDescent="0.2">
      <c r="B2740"/>
      <c r="D2740"/>
    </row>
    <row r="2741" spans="2:4" x14ac:dyDescent="0.2">
      <c r="B2741"/>
      <c r="D2741"/>
    </row>
    <row r="2742" spans="2:4" x14ac:dyDescent="0.2">
      <c r="B2742"/>
      <c r="D2742"/>
    </row>
    <row r="2743" spans="2:4" x14ac:dyDescent="0.2">
      <c r="B2743"/>
      <c r="D2743"/>
    </row>
    <row r="2744" spans="2:4" x14ac:dyDescent="0.2">
      <c r="B2744"/>
      <c r="D2744"/>
    </row>
    <row r="2745" spans="2:4" x14ac:dyDescent="0.2">
      <c r="B2745"/>
      <c r="D2745"/>
    </row>
    <row r="2746" spans="2:4" x14ac:dyDescent="0.2">
      <c r="B2746"/>
      <c r="D2746"/>
    </row>
    <row r="2747" spans="2:4" x14ac:dyDescent="0.2">
      <c r="B2747"/>
      <c r="D2747"/>
    </row>
    <row r="2748" spans="2:4" x14ac:dyDescent="0.2">
      <c r="B2748"/>
      <c r="D2748"/>
    </row>
    <row r="2749" spans="2:4" x14ac:dyDescent="0.2">
      <c r="B2749"/>
      <c r="D2749"/>
    </row>
    <row r="2750" spans="2:4" x14ac:dyDescent="0.2">
      <c r="B2750"/>
      <c r="D2750"/>
    </row>
    <row r="2751" spans="2:4" x14ac:dyDescent="0.2">
      <c r="B2751"/>
      <c r="D2751"/>
    </row>
    <row r="2752" spans="2:4" x14ac:dyDescent="0.2">
      <c r="B2752"/>
      <c r="D2752"/>
    </row>
    <row r="2753" spans="2:4" x14ac:dyDescent="0.2">
      <c r="B2753"/>
      <c r="D2753"/>
    </row>
    <row r="2754" spans="2:4" x14ac:dyDescent="0.2">
      <c r="B2754"/>
      <c r="D2754"/>
    </row>
    <row r="2755" spans="2:4" x14ac:dyDescent="0.2">
      <c r="B2755"/>
      <c r="D2755"/>
    </row>
    <row r="2756" spans="2:4" x14ac:dyDescent="0.2">
      <c r="B2756"/>
      <c r="D2756"/>
    </row>
    <row r="2757" spans="2:4" x14ac:dyDescent="0.2">
      <c r="B2757"/>
      <c r="D2757"/>
    </row>
    <row r="2758" spans="2:4" x14ac:dyDescent="0.2">
      <c r="B2758"/>
      <c r="D2758"/>
    </row>
    <row r="2759" spans="2:4" x14ac:dyDescent="0.2">
      <c r="B2759"/>
      <c r="D2759"/>
    </row>
    <row r="2760" spans="2:4" x14ac:dyDescent="0.2">
      <c r="B2760"/>
      <c r="D2760"/>
    </row>
    <row r="2761" spans="2:4" x14ac:dyDescent="0.2">
      <c r="B2761"/>
      <c r="D2761"/>
    </row>
    <row r="2762" spans="2:4" x14ac:dyDescent="0.2">
      <c r="B2762"/>
      <c r="D2762"/>
    </row>
    <row r="2763" spans="2:4" x14ac:dyDescent="0.2">
      <c r="B2763"/>
      <c r="D2763"/>
    </row>
    <row r="2764" spans="2:4" x14ac:dyDescent="0.2">
      <c r="B2764"/>
      <c r="D2764"/>
    </row>
    <row r="2765" spans="2:4" x14ac:dyDescent="0.2">
      <c r="B2765"/>
      <c r="D2765"/>
    </row>
    <row r="2766" spans="2:4" x14ac:dyDescent="0.2">
      <c r="B2766"/>
      <c r="D2766"/>
    </row>
    <row r="2767" spans="2:4" x14ac:dyDescent="0.2">
      <c r="B2767"/>
      <c r="D2767"/>
    </row>
    <row r="2768" spans="2:4" x14ac:dyDescent="0.2">
      <c r="B2768"/>
      <c r="D2768"/>
    </row>
    <row r="2769" spans="2:4" x14ac:dyDescent="0.2">
      <c r="B2769"/>
      <c r="D2769"/>
    </row>
    <row r="2770" spans="2:4" x14ac:dyDescent="0.2">
      <c r="B2770"/>
      <c r="D2770"/>
    </row>
    <row r="2771" spans="2:4" x14ac:dyDescent="0.2">
      <c r="B2771"/>
      <c r="D2771"/>
    </row>
    <row r="2772" spans="2:4" x14ac:dyDescent="0.2">
      <c r="B2772"/>
      <c r="D2772"/>
    </row>
    <row r="2773" spans="2:4" x14ac:dyDescent="0.2">
      <c r="B2773"/>
      <c r="D2773"/>
    </row>
    <row r="2774" spans="2:4" x14ac:dyDescent="0.2">
      <c r="B2774"/>
      <c r="D2774"/>
    </row>
    <row r="2775" spans="2:4" x14ac:dyDescent="0.2">
      <c r="B2775"/>
      <c r="D2775"/>
    </row>
    <row r="2776" spans="2:4" x14ac:dyDescent="0.2">
      <c r="B2776"/>
      <c r="D2776"/>
    </row>
    <row r="2777" spans="2:4" x14ac:dyDescent="0.2">
      <c r="B2777"/>
      <c r="D2777"/>
    </row>
    <row r="2778" spans="2:4" x14ac:dyDescent="0.2">
      <c r="B2778"/>
      <c r="D2778"/>
    </row>
    <row r="2779" spans="2:4" x14ac:dyDescent="0.2">
      <c r="B2779"/>
      <c r="D2779"/>
    </row>
    <row r="2780" spans="2:4" x14ac:dyDescent="0.2">
      <c r="B2780"/>
      <c r="D2780"/>
    </row>
    <row r="2781" spans="2:4" x14ac:dyDescent="0.2">
      <c r="B2781"/>
      <c r="D2781"/>
    </row>
    <row r="2782" spans="2:4" x14ac:dyDescent="0.2">
      <c r="B2782"/>
      <c r="D2782"/>
    </row>
    <row r="2783" spans="2:4" x14ac:dyDescent="0.2">
      <c r="B2783"/>
      <c r="D2783"/>
    </row>
    <row r="2784" spans="2:4" x14ac:dyDescent="0.2">
      <c r="B2784"/>
      <c r="D2784"/>
    </row>
    <row r="2785" spans="2:4" x14ac:dyDescent="0.2">
      <c r="B2785"/>
      <c r="D2785"/>
    </row>
    <row r="2786" spans="2:4" x14ac:dyDescent="0.2">
      <c r="B2786"/>
      <c r="D2786"/>
    </row>
    <row r="2787" spans="2:4" x14ac:dyDescent="0.2">
      <c r="B2787"/>
      <c r="D2787"/>
    </row>
    <row r="2788" spans="2:4" x14ac:dyDescent="0.2">
      <c r="B2788"/>
      <c r="D2788"/>
    </row>
    <row r="2789" spans="2:4" x14ac:dyDescent="0.2">
      <c r="B2789"/>
      <c r="D2789"/>
    </row>
    <row r="2790" spans="2:4" x14ac:dyDescent="0.2">
      <c r="B2790"/>
      <c r="D2790"/>
    </row>
    <row r="2791" spans="2:4" x14ac:dyDescent="0.2">
      <c r="B2791"/>
      <c r="D2791"/>
    </row>
    <row r="2792" spans="2:4" x14ac:dyDescent="0.2">
      <c r="B2792"/>
      <c r="D2792"/>
    </row>
    <row r="2793" spans="2:4" x14ac:dyDescent="0.2">
      <c r="B2793"/>
      <c r="D2793"/>
    </row>
    <row r="2794" spans="2:4" x14ac:dyDescent="0.2">
      <c r="B2794"/>
      <c r="D2794"/>
    </row>
    <row r="2795" spans="2:4" x14ac:dyDescent="0.2">
      <c r="B2795"/>
      <c r="D2795"/>
    </row>
    <row r="2796" spans="2:4" x14ac:dyDescent="0.2">
      <c r="B2796"/>
      <c r="D2796"/>
    </row>
    <row r="2797" spans="2:4" x14ac:dyDescent="0.2">
      <c r="B2797"/>
      <c r="D2797"/>
    </row>
    <row r="2798" spans="2:4" x14ac:dyDescent="0.2">
      <c r="B2798"/>
      <c r="D2798"/>
    </row>
    <row r="2799" spans="2:4" x14ac:dyDescent="0.2">
      <c r="B2799"/>
      <c r="D2799"/>
    </row>
    <row r="2800" spans="2:4" x14ac:dyDescent="0.2">
      <c r="B2800"/>
      <c r="D2800"/>
    </row>
    <row r="2801" spans="2:4" x14ac:dyDescent="0.2">
      <c r="B2801"/>
      <c r="D2801"/>
    </row>
    <row r="2802" spans="2:4" x14ac:dyDescent="0.2">
      <c r="B2802"/>
      <c r="D2802"/>
    </row>
    <row r="2803" spans="2:4" x14ac:dyDescent="0.2">
      <c r="B2803"/>
      <c r="D2803"/>
    </row>
    <row r="2804" spans="2:4" x14ac:dyDescent="0.2">
      <c r="B2804"/>
      <c r="D2804"/>
    </row>
    <row r="2805" spans="2:4" x14ac:dyDescent="0.2">
      <c r="B2805"/>
      <c r="D2805"/>
    </row>
    <row r="2806" spans="2:4" x14ac:dyDescent="0.2">
      <c r="B2806"/>
      <c r="D2806"/>
    </row>
    <row r="2807" spans="2:4" x14ac:dyDescent="0.2">
      <c r="B2807"/>
      <c r="D2807"/>
    </row>
    <row r="2808" spans="2:4" x14ac:dyDescent="0.2">
      <c r="B2808"/>
      <c r="D2808"/>
    </row>
    <row r="2809" spans="2:4" x14ac:dyDescent="0.2">
      <c r="B2809"/>
      <c r="D2809"/>
    </row>
    <row r="2810" spans="2:4" x14ac:dyDescent="0.2">
      <c r="B2810"/>
      <c r="D2810"/>
    </row>
    <row r="2811" spans="2:4" x14ac:dyDescent="0.2">
      <c r="B2811"/>
      <c r="D2811"/>
    </row>
    <row r="2812" spans="2:4" x14ac:dyDescent="0.2">
      <c r="B2812"/>
      <c r="D2812"/>
    </row>
    <row r="2813" spans="2:4" x14ac:dyDescent="0.2">
      <c r="B2813"/>
      <c r="D2813"/>
    </row>
    <row r="2814" spans="2:4" x14ac:dyDescent="0.2">
      <c r="B2814"/>
      <c r="D2814"/>
    </row>
    <row r="2815" spans="2:4" x14ac:dyDescent="0.2">
      <c r="B2815"/>
      <c r="D2815"/>
    </row>
    <row r="2816" spans="2:4" x14ac:dyDescent="0.2">
      <c r="B2816"/>
      <c r="D2816"/>
    </row>
    <row r="2817" spans="2:4" x14ac:dyDescent="0.2">
      <c r="B2817"/>
      <c r="D2817"/>
    </row>
    <row r="2818" spans="2:4" x14ac:dyDescent="0.2">
      <c r="B2818"/>
      <c r="D2818"/>
    </row>
    <row r="2819" spans="2:4" x14ac:dyDescent="0.2">
      <c r="B2819"/>
      <c r="D2819"/>
    </row>
    <row r="2820" spans="2:4" x14ac:dyDescent="0.2">
      <c r="B2820"/>
      <c r="D2820"/>
    </row>
    <row r="2821" spans="2:4" x14ac:dyDescent="0.2">
      <c r="B2821"/>
      <c r="D2821"/>
    </row>
    <row r="2822" spans="2:4" x14ac:dyDescent="0.2">
      <c r="B2822"/>
      <c r="D2822"/>
    </row>
    <row r="2823" spans="2:4" x14ac:dyDescent="0.2">
      <c r="B2823"/>
      <c r="D2823"/>
    </row>
    <row r="2824" spans="2:4" x14ac:dyDescent="0.2">
      <c r="B2824"/>
      <c r="D2824"/>
    </row>
    <row r="2825" spans="2:4" x14ac:dyDescent="0.2">
      <c r="B2825"/>
      <c r="D2825"/>
    </row>
    <row r="2826" spans="2:4" x14ac:dyDescent="0.2">
      <c r="B2826"/>
      <c r="D2826"/>
    </row>
    <row r="2827" spans="2:4" x14ac:dyDescent="0.2">
      <c r="B2827"/>
      <c r="D2827"/>
    </row>
    <row r="2828" spans="2:4" x14ac:dyDescent="0.2">
      <c r="B2828"/>
      <c r="D2828"/>
    </row>
    <row r="2829" spans="2:4" x14ac:dyDescent="0.2">
      <c r="B2829"/>
      <c r="D2829"/>
    </row>
    <row r="2830" spans="2:4" x14ac:dyDescent="0.2">
      <c r="B2830"/>
      <c r="D2830"/>
    </row>
    <row r="2831" spans="2:4" x14ac:dyDescent="0.2">
      <c r="B2831"/>
      <c r="D2831"/>
    </row>
    <row r="2832" spans="2:4" x14ac:dyDescent="0.2">
      <c r="B2832"/>
      <c r="D2832"/>
    </row>
    <row r="2833" spans="2:4" x14ac:dyDescent="0.2">
      <c r="B2833"/>
      <c r="D2833"/>
    </row>
    <row r="2834" spans="2:4" x14ac:dyDescent="0.2">
      <c r="B2834"/>
      <c r="D2834"/>
    </row>
    <row r="2835" spans="2:4" x14ac:dyDescent="0.2">
      <c r="B2835"/>
      <c r="D2835"/>
    </row>
    <row r="2836" spans="2:4" x14ac:dyDescent="0.2">
      <c r="B2836"/>
      <c r="D2836"/>
    </row>
    <row r="2837" spans="2:4" x14ac:dyDescent="0.2">
      <c r="B2837"/>
      <c r="D2837"/>
    </row>
    <row r="2838" spans="2:4" x14ac:dyDescent="0.2">
      <c r="B2838"/>
      <c r="D2838"/>
    </row>
    <row r="2839" spans="2:4" x14ac:dyDescent="0.2">
      <c r="B2839"/>
      <c r="D2839"/>
    </row>
    <row r="2840" spans="2:4" x14ac:dyDescent="0.2">
      <c r="B2840"/>
      <c r="D2840"/>
    </row>
    <row r="2841" spans="2:4" x14ac:dyDescent="0.2">
      <c r="B2841"/>
      <c r="D2841"/>
    </row>
    <row r="2842" spans="2:4" x14ac:dyDescent="0.2">
      <c r="B2842"/>
      <c r="D2842"/>
    </row>
    <row r="2843" spans="2:4" x14ac:dyDescent="0.2">
      <c r="B2843"/>
      <c r="D2843"/>
    </row>
    <row r="2844" spans="2:4" x14ac:dyDescent="0.2">
      <c r="B2844"/>
      <c r="D2844"/>
    </row>
    <row r="2845" spans="2:4" x14ac:dyDescent="0.2">
      <c r="B2845"/>
      <c r="D2845"/>
    </row>
  </sheetData>
  <sortState xmlns:xlrd2="http://schemas.microsoft.com/office/spreadsheetml/2017/richdata2" ref="A2:J2844">
    <sortCondition ref="B2:B284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554"/>
  <sheetViews>
    <sheetView topLeftCell="B1" workbookViewId="0">
      <selection activeCell="F2" sqref="F2"/>
    </sheetView>
  </sheetViews>
  <sheetFormatPr baseColWidth="10" defaultRowHeight="16" x14ac:dyDescent="0.2"/>
  <cols>
    <col min="1" max="1" width="22.1640625" bestFit="1" customWidth="1"/>
    <col min="2" max="2" width="68.1640625" style="1" customWidth="1"/>
    <col min="3" max="3" width="11.6640625" bestFit="1" customWidth="1"/>
    <col min="4" max="4" width="25.33203125" style="1" customWidth="1"/>
    <col min="5" max="5" width="7.33203125" bestFit="1" customWidth="1"/>
    <col min="6" max="6" width="13.83203125" bestFit="1" customWidth="1"/>
    <col min="7" max="7" width="11.83203125" bestFit="1" customWidth="1"/>
    <col min="8" max="8" width="4.6640625" bestFit="1" customWidth="1"/>
    <col min="10" max="10" width="14.83203125" bestFit="1" customWidth="1"/>
  </cols>
  <sheetData>
    <row r="1" spans="1:11" s="2" customFormat="1" ht="17" x14ac:dyDescent="0.2">
      <c r="A1" s="2" t="s">
        <v>7261</v>
      </c>
      <c r="B1" s="3" t="s">
        <v>7262</v>
      </c>
      <c r="C1" s="2" t="s">
        <v>7263</v>
      </c>
      <c r="D1" s="3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2" t="s">
        <v>7269</v>
      </c>
      <c r="J1" s="2" t="s">
        <v>7377</v>
      </c>
      <c r="K1" s="2" t="s">
        <v>7378</v>
      </c>
    </row>
    <row r="2" spans="1:11" ht="34" x14ac:dyDescent="0.2">
      <c r="A2" t="s">
        <v>552</v>
      </c>
      <c r="B2" s="1" t="s">
        <v>553</v>
      </c>
      <c r="C2" t="s">
        <v>554</v>
      </c>
      <c r="D2" s="1" t="s">
        <v>2</v>
      </c>
      <c r="E2" t="b">
        <v>0</v>
      </c>
      <c r="F2">
        <v>236</v>
      </c>
      <c r="G2">
        <v>2</v>
      </c>
      <c r="H2" t="s">
        <v>11</v>
      </c>
      <c r="I2" t="b">
        <v>0</v>
      </c>
      <c r="J2" cm="1">
        <f t="array" ref="J2">sentimentCalc(B2)</f>
        <v>0</v>
      </c>
      <c r="K2" t="str" cm="1">
        <f t="array" ref="K2">sentimentCategory(J2)</f>
        <v>Neutral</v>
      </c>
    </row>
    <row r="3" spans="1:11" ht="34" x14ac:dyDescent="0.2">
      <c r="A3" t="s">
        <v>1171</v>
      </c>
      <c r="B3" s="1" t="s">
        <v>1172</v>
      </c>
      <c r="C3" t="s">
        <v>554</v>
      </c>
      <c r="D3" s="1" t="s">
        <v>2</v>
      </c>
      <c r="E3" t="b">
        <v>0</v>
      </c>
      <c r="F3">
        <v>236</v>
      </c>
      <c r="G3">
        <v>2</v>
      </c>
      <c r="H3" t="s">
        <v>11</v>
      </c>
      <c r="I3" t="b">
        <v>0</v>
      </c>
      <c r="J3" cm="1">
        <f t="array" ref="J3">sentimentCalc(B3)</f>
        <v>0</v>
      </c>
      <c r="K3" t="str" cm="1">
        <f t="array" ref="K3">sentimentCategory(J3)</f>
        <v>Neutral</v>
      </c>
    </row>
    <row r="4" spans="1:11" ht="34" x14ac:dyDescent="0.2">
      <c r="A4" t="s">
        <v>6863</v>
      </c>
      <c r="B4" s="1" t="s">
        <v>6864</v>
      </c>
      <c r="C4" t="s">
        <v>113</v>
      </c>
      <c r="D4" s="1" t="s">
        <v>114</v>
      </c>
      <c r="E4" t="b">
        <v>0</v>
      </c>
      <c r="F4">
        <v>95</v>
      </c>
      <c r="G4">
        <v>202</v>
      </c>
      <c r="H4" t="s">
        <v>11</v>
      </c>
      <c r="I4" t="b">
        <v>0</v>
      </c>
      <c r="J4" cm="1">
        <f t="array" ref="J4">sentimentCalc(B4)</f>
        <v>0</v>
      </c>
      <c r="K4" t="str" cm="1">
        <f t="array" ref="K4">sentimentCategory(J4)</f>
        <v>Neutral</v>
      </c>
    </row>
    <row r="5" spans="1:11" ht="34" x14ac:dyDescent="0.2">
      <c r="A5" t="s">
        <v>4001</v>
      </c>
      <c r="B5" s="1" t="s">
        <v>4002</v>
      </c>
      <c r="C5" t="s">
        <v>113</v>
      </c>
      <c r="D5" s="1" t="s">
        <v>114</v>
      </c>
      <c r="E5" t="b">
        <v>0</v>
      </c>
      <c r="F5">
        <v>92</v>
      </c>
      <c r="G5">
        <v>202</v>
      </c>
      <c r="H5" t="s">
        <v>11</v>
      </c>
      <c r="I5" t="b">
        <v>0</v>
      </c>
      <c r="J5" cm="1">
        <f t="array" ref="J5">sentimentCalc(B5)</f>
        <v>0</v>
      </c>
      <c r="K5" t="str" cm="1">
        <f t="array" ref="K5">sentimentCategory(J5)</f>
        <v>Neutral</v>
      </c>
    </row>
    <row r="6" spans="1:11" ht="34" x14ac:dyDescent="0.2">
      <c r="A6" t="s">
        <v>2444</v>
      </c>
      <c r="B6" s="1" t="s">
        <v>2445</v>
      </c>
      <c r="C6" t="s">
        <v>113</v>
      </c>
      <c r="D6" s="1" t="s">
        <v>114</v>
      </c>
      <c r="E6" t="b">
        <v>0</v>
      </c>
      <c r="F6">
        <v>93</v>
      </c>
      <c r="G6">
        <v>202</v>
      </c>
      <c r="H6" t="s">
        <v>11</v>
      </c>
      <c r="I6" t="b">
        <v>0</v>
      </c>
      <c r="J6" cm="1">
        <f t="array" ref="J6">sentimentCalc(B6)</f>
        <v>0</v>
      </c>
      <c r="K6" t="str" cm="1">
        <f t="array" ref="K6">sentimentCategory(J6)</f>
        <v>Neutral</v>
      </c>
    </row>
    <row r="7" spans="1:11" ht="34" x14ac:dyDescent="0.2">
      <c r="A7" t="s">
        <v>981</v>
      </c>
      <c r="B7" s="1" t="s">
        <v>982</v>
      </c>
      <c r="C7" t="s">
        <v>113</v>
      </c>
      <c r="D7" s="1" t="s">
        <v>114</v>
      </c>
      <c r="E7" t="b">
        <v>0</v>
      </c>
      <c r="F7">
        <v>93</v>
      </c>
      <c r="G7">
        <v>202</v>
      </c>
      <c r="H7" t="s">
        <v>11</v>
      </c>
      <c r="I7" t="b">
        <v>0</v>
      </c>
      <c r="J7" cm="1">
        <f t="array" ref="J7">sentimentCalc(B7)</f>
        <v>0</v>
      </c>
      <c r="K7" t="str" cm="1">
        <f t="array" ref="K7">sentimentCategory(J7)</f>
        <v>Neutral</v>
      </c>
    </row>
    <row r="8" spans="1:11" ht="17" x14ac:dyDescent="0.2">
      <c r="A8" t="s">
        <v>2939</v>
      </c>
      <c r="B8" s="1" t="s">
        <v>2940</v>
      </c>
      <c r="C8" t="s">
        <v>2941</v>
      </c>
      <c r="D8" s="1" t="s">
        <v>2</v>
      </c>
      <c r="E8" t="b">
        <v>0</v>
      </c>
      <c r="F8">
        <v>7781</v>
      </c>
      <c r="G8">
        <v>1365</v>
      </c>
      <c r="H8" t="s">
        <v>11</v>
      </c>
      <c r="I8" t="b">
        <v>0</v>
      </c>
      <c r="J8" cm="1">
        <f t="array" ref="J8">sentimentCalc(B8)</f>
        <v>0</v>
      </c>
      <c r="K8" t="str" cm="1">
        <f t="array" ref="K8">sentimentCategory(J8)</f>
        <v>Neutral</v>
      </c>
    </row>
    <row r="9" spans="1:11" ht="17" x14ac:dyDescent="0.2">
      <c r="A9" t="s">
        <v>2837</v>
      </c>
      <c r="B9" s="1" t="s">
        <v>2838</v>
      </c>
      <c r="C9" t="s">
        <v>483</v>
      </c>
      <c r="D9" s="1" t="s">
        <v>484</v>
      </c>
      <c r="E9" t="b">
        <v>0</v>
      </c>
      <c r="F9">
        <v>1899</v>
      </c>
      <c r="G9">
        <v>540</v>
      </c>
      <c r="H9" t="s">
        <v>11</v>
      </c>
      <c r="I9" t="b">
        <v>0</v>
      </c>
      <c r="J9" cm="1">
        <f t="array" ref="J9">sentimentCalc(B9)</f>
        <v>0</v>
      </c>
      <c r="K9" t="str" cm="1">
        <f t="array" ref="K9">sentimentCategory(J9)</f>
        <v>Neutral</v>
      </c>
    </row>
    <row r="10" spans="1:11" ht="17" x14ac:dyDescent="0.2">
      <c r="A10" t="s">
        <v>6514</v>
      </c>
      <c r="B10" s="1" t="s">
        <v>6515</v>
      </c>
      <c r="C10" t="s">
        <v>483</v>
      </c>
      <c r="D10" s="1" t="s">
        <v>484</v>
      </c>
      <c r="E10" t="b">
        <v>0</v>
      </c>
      <c r="F10">
        <v>1898</v>
      </c>
      <c r="G10">
        <v>540</v>
      </c>
      <c r="H10" t="s">
        <v>11</v>
      </c>
      <c r="I10" t="b">
        <v>0</v>
      </c>
      <c r="J10" cm="1">
        <f t="array" ref="J10">sentimentCalc(B10)</f>
        <v>0</v>
      </c>
      <c r="K10" t="str" cm="1">
        <f t="array" ref="K10">sentimentCategory(J10)</f>
        <v>Neutral</v>
      </c>
    </row>
    <row r="11" spans="1:11" ht="17" x14ac:dyDescent="0.2">
      <c r="A11" t="s">
        <v>7188</v>
      </c>
      <c r="B11" s="1" t="s">
        <v>7189</v>
      </c>
      <c r="C11" t="s">
        <v>483</v>
      </c>
      <c r="D11" s="1" t="s">
        <v>484</v>
      </c>
      <c r="E11" t="b">
        <v>0</v>
      </c>
      <c r="F11">
        <v>1896</v>
      </c>
      <c r="G11">
        <v>540</v>
      </c>
      <c r="H11" t="s">
        <v>11</v>
      </c>
      <c r="I11" t="b">
        <v>0</v>
      </c>
      <c r="J11" cm="1">
        <f t="array" ref="J11">sentimentCalc(B11)</f>
        <v>0</v>
      </c>
      <c r="K11" t="str" cm="1">
        <f t="array" ref="K11">sentimentCategory(J11)</f>
        <v>Neutral</v>
      </c>
    </row>
    <row r="12" spans="1:11" ht="17" x14ac:dyDescent="0.2">
      <c r="A12" t="s">
        <v>4900</v>
      </c>
      <c r="B12" s="1" t="s">
        <v>4904</v>
      </c>
      <c r="C12" t="s">
        <v>483</v>
      </c>
      <c r="D12" s="1" t="s">
        <v>484</v>
      </c>
      <c r="E12" t="b">
        <v>0</v>
      </c>
      <c r="F12">
        <v>1898</v>
      </c>
      <c r="G12">
        <v>540</v>
      </c>
      <c r="H12" t="s">
        <v>11</v>
      </c>
      <c r="I12" t="b">
        <v>0</v>
      </c>
      <c r="J12" cm="1">
        <f t="array" ref="J12">sentimentCalc(B12)</f>
        <v>0</v>
      </c>
      <c r="K12" t="str" cm="1">
        <f t="array" ref="K12">sentimentCategory(J12)</f>
        <v>Neutral</v>
      </c>
    </row>
    <row r="13" spans="1:11" ht="17" x14ac:dyDescent="0.2">
      <c r="A13" t="s">
        <v>983</v>
      </c>
      <c r="B13" s="1" t="s">
        <v>984</v>
      </c>
      <c r="C13" t="s">
        <v>985</v>
      </c>
      <c r="D13" s="1" t="s">
        <v>986</v>
      </c>
      <c r="E13" t="b">
        <v>0</v>
      </c>
      <c r="F13">
        <v>4942</v>
      </c>
      <c r="G13">
        <v>4840</v>
      </c>
      <c r="H13" t="s">
        <v>110</v>
      </c>
      <c r="I13" t="b">
        <v>0</v>
      </c>
      <c r="J13" cm="1">
        <f t="array" ref="J13">sentimentCalc(B13)</f>
        <v>0</v>
      </c>
      <c r="K13" t="str" cm="1">
        <f t="array" ref="K13">sentimentCategory(J13)</f>
        <v>Neutral</v>
      </c>
    </row>
    <row r="14" spans="1:11" ht="17" x14ac:dyDescent="0.2">
      <c r="A14" t="s">
        <v>1116</v>
      </c>
      <c r="B14" s="1" t="s">
        <v>1117</v>
      </c>
      <c r="C14" t="s">
        <v>985</v>
      </c>
      <c r="D14" s="1" t="s">
        <v>986</v>
      </c>
      <c r="E14" t="b">
        <v>0</v>
      </c>
      <c r="F14">
        <v>4943</v>
      </c>
      <c r="G14">
        <v>4840</v>
      </c>
      <c r="H14" t="s">
        <v>110</v>
      </c>
      <c r="I14" t="b">
        <v>0</v>
      </c>
      <c r="J14" cm="1">
        <f t="array" ref="J14">sentimentCalc(B14)</f>
        <v>0</v>
      </c>
      <c r="K14" t="str" cm="1">
        <f t="array" ref="K14">sentimentCategory(J14)</f>
        <v>Neutral</v>
      </c>
    </row>
    <row r="15" spans="1:11" ht="17" x14ac:dyDescent="0.2">
      <c r="A15" t="s">
        <v>1769</v>
      </c>
      <c r="B15" s="1" t="s">
        <v>1770</v>
      </c>
      <c r="C15" t="s">
        <v>985</v>
      </c>
      <c r="D15" s="1" t="s">
        <v>986</v>
      </c>
      <c r="E15" t="b">
        <v>0</v>
      </c>
      <c r="F15">
        <v>4945</v>
      </c>
      <c r="G15">
        <v>4841</v>
      </c>
      <c r="H15" t="s">
        <v>110</v>
      </c>
      <c r="I15" t="b">
        <v>0</v>
      </c>
      <c r="J15" cm="1">
        <f t="array" ref="J15">sentimentCalc(B15)</f>
        <v>0</v>
      </c>
      <c r="K15" t="str" cm="1">
        <f t="array" ref="K15">sentimentCategory(J15)</f>
        <v>Neutral</v>
      </c>
    </row>
    <row r="16" spans="1:11" ht="17" x14ac:dyDescent="0.2">
      <c r="A16" t="s">
        <v>573</v>
      </c>
      <c r="B16" s="1" t="s">
        <v>576</v>
      </c>
      <c r="C16" t="s">
        <v>577</v>
      </c>
      <c r="D16" s="1" t="s">
        <v>578</v>
      </c>
      <c r="E16" t="b">
        <v>0</v>
      </c>
      <c r="F16">
        <v>11598</v>
      </c>
      <c r="G16">
        <v>1531</v>
      </c>
      <c r="H16" t="s">
        <v>47</v>
      </c>
      <c r="I16" t="b">
        <v>0</v>
      </c>
      <c r="J16" cm="1">
        <f t="array" ref="J16">sentimentCalc(B16)</f>
        <v>0</v>
      </c>
      <c r="K16" t="str" cm="1">
        <f t="array" ref="K16">sentimentCategory(J16)</f>
        <v>Neutral</v>
      </c>
    </row>
    <row r="17" spans="1:11" ht="17" x14ac:dyDescent="0.2">
      <c r="A17" t="s">
        <v>1698</v>
      </c>
      <c r="B17" s="1" t="s">
        <v>1699</v>
      </c>
      <c r="C17" t="s">
        <v>577</v>
      </c>
      <c r="D17" s="1" t="s">
        <v>578</v>
      </c>
      <c r="E17" t="b">
        <v>0</v>
      </c>
      <c r="F17">
        <v>11598</v>
      </c>
      <c r="G17">
        <v>1531</v>
      </c>
      <c r="H17" t="s">
        <v>47</v>
      </c>
      <c r="I17" t="b">
        <v>0</v>
      </c>
      <c r="J17" cm="1">
        <f t="array" ref="J17">sentimentCalc(B17)</f>
        <v>0</v>
      </c>
      <c r="K17" t="str" cm="1">
        <f t="array" ref="K17">sentimentCategory(J17)</f>
        <v>Neutral</v>
      </c>
    </row>
    <row r="18" spans="1:11" ht="17" x14ac:dyDescent="0.2">
      <c r="A18" t="s">
        <v>2222</v>
      </c>
      <c r="B18" s="1" t="s">
        <v>2223</v>
      </c>
      <c r="C18" t="s">
        <v>577</v>
      </c>
      <c r="D18" s="1" t="s">
        <v>578</v>
      </c>
      <c r="E18" t="b">
        <v>0</v>
      </c>
      <c r="F18">
        <v>11598</v>
      </c>
      <c r="G18">
        <v>1532</v>
      </c>
      <c r="H18" t="s">
        <v>47</v>
      </c>
      <c r="I18" t="b">
        <v>0</v>
      </c>
      <c r="J18" cm="1">
        <f t="array" ref="J18">sentimentCalc(B18)</f>
        <v>0</v>
      </c>
      <c r="K18" t="str" cm="1">
        <f t="array" ref="K18">sentimentCategory(J18)</f>
        <v>Neutral</v>
      </c>
    </row>
    <row r="19" spans="1:11" ht="17" x14ac:dyDescent="0.2">
      <c r="A19" t="s">
        <v>2707</v>
      </c>
      <c r="B19" s="1" t="s">
        <v>2708</v>
      </c>
      <c r="C19" t="s">
        <v>577</v>
      </c>
      <c r="D19" s="1" t="s">
        <v>578</v>
      </c>
      <c r="E19" t="b">
        <v>0</v>
      </c>
      <c r="F19">
        <v>11596</v>
      </c>
      <c r="G19">
        <v>1532</v>
      </c>
      <c r="H19" t="s">
        <v>47</v>
      </c>
      <c r="I19" t="b">
        <v>0</v>
      </c>
      <c r="J19" cm="1">
        <f t="array" ref="J19">sentimentCalc(B19)</f>
        <v>0</v>
      </c>
      <c r="K19" t="str" cm="1">
        <f t="array" ref="K19">sentimentCategory(J19)</f>
        <v>Neutral</v>
      </c>
    </row>
    <row r="20" spans="1:11" ht="17" x14ac:dyDescent="0.2">
      <c r="A20" t="s">
        <v>1280</v>
      </c>
      <c r="B20" s="1" t="s">
        <v>1281</v>
      </c>
      <c r="C20" t="s">
        <v>483</v>
      </c>
      <c r="D20" s="1" t="s">
        <v>484</v>
      </c>
      <c r="E20" t="b">
        <v>0</v>
      </c>
      <c r="F20">
        <v>1899</v>
      </c>
      <c r="G20">
        <v>540</v>
      </c>
      <c r="H20" t="s">
        <v>11</v>
      </c>
      <c r="I20" t="b">
        <v>0</v>
      </c>
      <c r="J20" cm="1">
        <f t="array" ref="J20">sentimentCalc(B20)</f>
        <v>0</v>
      </c>
      <c r="K20" t="str" cm="1">
        <f t="array" ref="K20">sentimentCategory(J20)</f>
        <v>Neutral</v>
      </c>
    </row>
    <row r="21" spans="1:11" ht="17" x14ac:dyDescent="0.2">
      <c r="A21" t="s">
        <v>2025</v>
      </c>
      <c r="B21" s="1" t="s">
        <v>2026</v>
      </c>
      <c r="C21" t="s">
        <v>483</v>
      </c>
      <c r="D21" s="1" t="s">
        <v>484</v>
      </c>
      <c r="E21" t="b">
        <v>0</v>
      </c>
      <c r="F21">
        <v>1899</v>
      </c>
      <c r="G21">
        <v>540</v>
      </c>
      <c r="H21" t="s">
        <v>11</v>
      </c>
      <c r="I21" t="b">
        <v>0</v>
      </c>
      <c r="J21" cm="1">
        <f t="array" ref="J21">sentimentCalc(B21)</f>
        <v>0</v>
      </c>
      <c r="K21" t="str" cm="1">
        <f t="array" ref="K21">sentimentCategory(J21)</f>
        <v>Neutral</v>
      </c>
    </row>
    <row r="22" spans="1:11" ht="17" x14ac:dyDescent="0.2">
      <c r="A22" t="s">
        <v>5804</v>
      </c>
      <c r="B22" s="1" t="s">
        <v>5805</v>
      </c>
      <c r="C22" t="s">
        <v>577</v>
      </c>
      <c r="D22" s="1" t="s">
        <v>578</v>
      </c>
      <c r="E22" t="b">
        <v>0</v>
      </c>
      <c r="F22">
        <v>11599</v>
      </c>
      <c r="G22">
        <v>1533</v>
      </c>
      <c r="H22" t="s">
        <v>47</v>
      </c>
      <c r="I22" t="b">
        <v>0</v>
      </c>
      <c r="J22" cm="1">
        <f t="array" ref="J22">sentimentCalc(B22)</f>
        <v>0</v>
      </c>
      <c r="K22" t="str" cm="1">
        <f t="array" ref="K22">sentimentCategory(J22)</f>
        <v>Neutral</v>
      </c>
    </row>
    <row r="23" spans="1:11" ht="17" x14ac:dyDescent="0.2">
      <c r="A23" t="s">
        <v>6640</v>
      </c>
      <c r="B23" s="1" t="s">
        <v>6641</v>
      </c>
      <c r="C23" t="s">
        <v>577</v>
      </c>
      <c r="D23" s="1" t="s">
        <v>578</v>
      </c>
      <c r="E23" t="b">
        <v>0</v>
      </c>
      <c r="F23">
        <v>11598</v>
      </c>
      <c r="G23">
        <v>1533</v>
      </c>
      <c r="H23" t="s">
        <v>47</v>
      </c>
      <c r="I23" t="b">
        <v>0</v>
      </c>
      <c r="J23" cm="1">
        <f t="array" ref="J23">sentimentCalc(B23)</f>
        <v>0</v>
      </c>
      <c r="K23" t="str" cm="1">
        <f t="array" ref="K23">sentimentCategory(J23)</f>
        <v>Neutral</v>
      </c>
    </row>
    <row r="24" spans="1:11" ht="17" x14ac:dyDescent="0.2">
      <c r="A24" t="s">
        <v>4978</v>
      </c>
      <c r="B24" s="1" t="s">
        <v>4979</v>
      </c>
      <c r="C24" t="s">
        <v>4980</v>
      </c>
      <c r="D24" s="1" t="s">
        <v>2</v>
      </c>
      <c r="E24" t="b">
        <v>0</v>
      </c>
      <c r="F24">
        <v>14</v>
      </c>
      <c r="G24">
        <v>15</v>
      </c>
      <c r="H24" t="s">
        <v>11</v>
      </c>
      <c r="I24" t="b">
        <v>0</v>
      </c>
      <c r="J24" cm="1">
        <f t="array" ref="J24">sentimentCalc(B24)</f>
        <v>0</v>
      </c>
      <c r="K24" t="str" cm="1">
        <f t="array" ref="K24">sentimentCategory(J24)</f>
        <v>Neutral</v>
      </c>
    </row>
    <row r="25" spans="1:11" ht="17" x14ac:dyDescent="0.2">
      <c r="A25" t="s">
        <v>7081</v>
      </c>
      <c r="B25" s="1" t="s">
        <v>7082</v>
      </c>
      <c r="C25" t="s">
        <v>29</v>
      </c>
      <c r="D25" s="1" t="s">
        <v>2</v>
      </c>
      <c r="E25" t="b">
        <v>0</v>
      </c>
      <c r="F25">
        <v>48</v>
      </c>
      <c r="G25">
        <v>85</v>
      </c>
      <c r="H25" t="s">
        <v>3</v>
      </c>
      <c r="I25" t="b">
        <v>0</v>
      </c>
      <c r="J25" cm="1">
        <f t="array" ref="J25">sentimentCalc(B25)</f>
        <v>0</v>
      </c>
      <c r="K25" t="str" cm="1">
        <f t="array" ref="K25">sentimentCategory(J25)</f>
        <v>Neutral</v>
      </c>
    </row>
    <row r="26" spans="1:11" ht="17" x14ac:dyDescent="0.2">
      <c r="A26" t="s">
        <v>1176</v>
      </c>
      <c r="B26" s="1" t="s">
        <v>1178</v>
      </c>
      <c r="C26" t="s">
        <v>557</v>
      </c>
      <c r="D26" s="1" t="s">
        <v>558</v>
      </c>
      <c r="E26" t="b">
        <v>0</v>
      </c>
      <c r="F26">
        <v>386</v>
      </c>
      <c r="G26">
        <v>72</v>
      </c>
      <c r="H26" t="s">
        <v>11</v>
      </c>
      <c r="I26" t="b">
        <v>0</v>
      </c>
      <c r="J26" cm="1">
        <f t="array" ref="J26">sentimentCalc(B26)</f>
        <v>0</v>
      </c>
      <c r="K26" t="str" cm="1">
        <f t="array" ref="K26">sentimentCategory(J26)</f>
        <v>Neutral</v>
      </c>
    </row>
    <row r="27" spans="1:11" ht="17" x14ac:dyDescent="0.2">
      <c r="A27" t="s">
        <v>555</v>
      </c>
      <c r="B27" s="1" t="s">
        <v>556</v>
      </c>
      <c r="C27" t="s">
        <v>557</v>
      </c>
      <c r="D27" s="1" t="s">
        <v>558</v>
      </c>
      <c r="E27" t="b">
        <v>0</v>
      </c>
      <c r="F27">
        <v>386</v>
      </c>
      <c r="G27">
        <v>72</v>
      </c>
      <c r="H27" t="s">
        <v>11</v>
      </c>
      <c r="I27" t="b">
        <v>0</v>
      </c>
      <c r="J27" cm="1">
        <f t="array" ref="J27">sentimentCalc(B27)</f>
        <v>0</v>
      </c>
      <c r="K27" t="str" cm="1">
        <f t="array" ref="K27">sentimentCategory(J27)</f>
        <v>Neutral</v>
      </c>
    </row>
    <row r="28" spans="1:11" ht="17" x14ac:dyDescent="0.2">
      <c r="A28" t="s">
        <v>4968</v>
      </c>
      <c r="B28" s="1" t="s">
        <v>4975</v>
      </c>
      <c r="C28" t="s">
        <v>557</v>
      </c>
      <c r="D28" s="1" t="s">
        <v>558</v>
      </c>
      <c r="E28" t="b">
        <v>0</v>
      </c>
      <c r="F28">
        <v>385</v>
      </c>
      <c r="G28">
        <v>72</v>
      </c>
      <c r="H28" t="s">
        <v>11</v>
      </c>
      <c r="I28" t="b">
        <v>0</v>
      </c>
      <c r="J28" cm="1">
        <f t="array" ref="J28">sentimentCalc(B28)</f>
        <v>0</v>
      </c>
      <c r="K28" t="str" cm="1">
        <f t="array" ref="K28">sentimentCategory(J28)</f>
        <v>Neutral</v>
      </c>
    </row>
    <row r="29" spans="1:11" ht="17" x14ac:dyDescent="0.2">
      <c r="A29" t="s">
        <v>3493</v>
      </c>
      <c r="B29" s="1" t="s">
        <v>3495</v>
      </c>
      <c r="C29" t="s">
        <v>557</v>
      </c>
      <c r="D29" s="1" t="s">
        <v>558</v>
      </c>
      <c r="E29" t="b">
        <v>0</v>
      </c>
      <c r="F29">
        <v>385</v>
      </c>
      <c r="G29">
        <v>72</v>
      </c>
      <c r="H29" t="s">
        <v>11</v>
      </c>
      <c r="I29" t="b">
        <v>0</v>
      </c>
      <c r="J29" cm="1">
        <f t="array" ref="J29">sentimentCalc(B29)</f>
        <v>0</v>
      </c>
      <c r="K29" t="str" cm="1">
        <f t="array" ref="K29">sentimentCategory(J29)</f>
        <v>Neutral</v>
      </c>
    </row>
    <row r="30" spans="1:11" ht="17" x14ac:dyDescent="0.2">
      <c r="A30" t="s">
        <v>1913</v>
      </c>
      <c r="B30" s="1" t="s">
        <v>1914</v>
      </c>
      <c r="C30" t="s">
        <v>557</v>
      </c>
      <c r="D30" s="1" t="s">
        <v>558</v>
      </c>
      <c r="E30" t="b">
        <v>0</v>
      </c>
      <c r="F30">
        <v>385</v>
      </c>
      <c r="G30">
        <v>72</v>
      </c>
      <c r="H30" t="s">
        <v>11</v>
      </c>
      <c r="I30" t="b">
        <v>0</v>
      </c>
      <c r="J30" cm="1">
        <f t="array" ref="J30">sentimentCalc(B30)</f>
        <v>0</v>
      </c>
      <c r="K30" t="str" cm="1">
        <f t="array" ref="K30">sentimentCategory(J30)</f>
        <v>Neutral</v>
      </c>
    </row>
    <row r="31" spans="1:11" ht="17" x14ac:dyDescent="0.2">
      <c r="A31" t="s">
        <v>7047</v>
      </c>
      <c r="B31" s="1" t="s">
        <v>7048</v>
      </c>
      <c r="C31" t="s">
        <v>557</v>
      </c>
      <c r="D31" s="1" t="s">
        <v>558</v>
      </c>
      <c r="E31" t="b">
        <v>0</v>
      </c>
      <c r="F31">
        <v>385</v>
      </c>
      <c r="G31">
        <v>72</v>
      </c>
      <c r="H31" t="s">
        <v>11</v>
      </c>
      <c r="I31" t="b">
        <v>0</v>
      </c>
      <c r="J31" cm="1">
        <f t="array" ref="J31">sentimentCalc(B31)</f>
        <v>0</v>
      </c>
      <c r="K31" t="str" cm="1">
        <f t="array" ref="K31">sentimentCategory(J31)</f>
        <v>Neutral</v>
      </c>
    </row>
    <row r="32" spans="1:11" ht="17" x14ac:dyDescent="0.2">
      <c r="A32" t="s">
        <v>4255</v>
      </c>
      <c r="B32" s="1" t="s">
        <v>4257</v>
      </c>
      <c r="C32" t="s">
        <v>557</v>
      </c>
      <c r="D32" s="1" t="s">
        <v>558</v>
      </c>
      <c r="E32" t="b">
        <v>0</v>
      </c>
      <c r="F32">
        <v>385</v>
      </c>
      <c r="G32">
        <v>72</v>
      </c>
      <c r="H32" t="s">
        <v>11</v>
      </c>
      <c r="I32" t="b">
        <v>0</v>
      </c>
      <c r="J32" cm="1">
        <f t="array" ref="J32">sentimentCalc(B32)</f>
        <v>0</v>
      </c>
      <c r="K32" t="str" cm="1">
        <f t="array" ref="K32">sentimentCategory(J32)</f>
        <v>Neutral</v>
      </c>
    </row>
    <row r="33" spans="1:11" ht="34" x14ac:dyDescent="0.2">
      <c r="A33" t="s">
        <v>106</v>
      </c>
      <c r="B33" s="1" t="s">
        <v>107</v>
      </c>
      <c r="C33" t="s">
        <v>108</v>
      </c>
      <c r="D33" s="1" t="s">
        <v>109</v>
      </c>
      <c r="E33" t="b">
        <v>0</v>
      </c>
      <c r="F33">
        <v>841</v>
      </c>
      <c r="G33">
        <v>899</v>
      </c>
      <c r="H33" t="s">
        <v>110</v>
      </c>
      <c r="I33" t="b">
        <v>0</v>
      </c>
      <c r="J33" cm="1">
        <f t="array" ref="J33">sentimentCalc(B33)</f>
        <v>0</v>
      </c>
      <c r="K33" t="str" cm="1">
        <f t="array" ref="K33">sentimentCategory(J33)</f>
        <v>Neutral</v>
      </c>
    </row>
    <row r="34" spans="1:11" ht="34" x14ac:dyDescent="0.2">
      <c r="A34" t="s">
        <v>720</v>
      </c>
      <c r="B34" s="1" t="s">
        <v>721</v>
      </c>
      <c r="C34" t="s">
        <v>108</v>
      </c>
      <c r="D34" s="1" t="s">
        <v>109</v>
      </c>
      <c r="E34" t="b">
        <v>0</v>
      </c>
      <c r="F34">
        <v>840</v>
      </c>
      <c r="G34">
        <v>899</v>
      </c>
      <c r="H34" t="s">
        <v>110</v>
      </c>
      <c r="I34" t="b">
        <v>0</v>
      </c>
      <c r="J34" cm="1">
        <f t="array" ref="J34">sentimentCalc(B34)</f>
        <v>0</v>
      </c>
      <c r="K34" t="str" cm="1">
        <f t="array" ref="K34">sentimentCategory(J34)</f>
        <v>Neutral</v>
      </c>
    </row>
    <row r="35" spans="1:11" ht="34" x14ac:dyDescent="0.2">
      <c r="A35" t="s">
        <v>1331</v>
      </c>
      <c r="B35" s="1" t="s">
        <v>1332</v>
      </c>
      <c r="C35" t="s">
        <v>108</v>
      </c>
      <c r="D35" s="1" t="s">
        <v>109</v>
      </c>
      <c r="E35" t="b">
        <v>0</v>
      </c>
      <c r="F35">
        <v>840</v>
      </c>
      <c r="G35">
        <v>899</v>
      </c>
      <c r="H35" t="s">
        <v>110</v>
      </c>
      <c r="I35" t="b">
        <v>0</v>
      </c>
      <c r="J35" cm="1">
        <f t="array" ref="J35">sentimentCalc(B35)</f>
        <v>0</v>
      </c>
      <c r="K35" t="str" cm="1">
        <f t="array" ref="K35">sentimentCategory(J35)</f>
        <v>Neutral</v>
      </c>
    </row>
    <row r="36" spans="1:11" ht="34" x14ac:dyDescent="0.2">
      <c r="A36" t="s">
        <v>5119</v>
      </c>
      <c r="B36" s="1" t="s">
        <v>5120</v>
      </c>
      <c r="C36" t="s">
        <v>108</v>
      </c>
      <c r="D36" s="1" t="s">
        <v>109</v>
      </c>
      <c r="E36" t="b">
        <v>0</v>
      </c>
      <c r="F36">
        <v>838</v>
      </c>
      <c r="G36">
        <v>898</v>
      </c>
      <c r="H36" t="s">
        <v>110</v>
      </c>
      <c r="I36" t="b">
        <v>0</v>
      </c>
      <c r="J36" cm="1">
        <f t="array" ref="J36">sentimentCalc(B36)</f>
        <v>0</v>
      </c>
      <c r="K36" t="str" cm="1">
        <f t="array" ref="K36">sentimentCategory(J36)</f>
        <v>Neutral</v>
      </c>
    </row>
    <row r="37" spans="1:11" ht="34" x14ac:dyDescent="0.2">
      <c r="A37" t="s">
        <v>2051</v>
      </c>
      <c r="B37" s="1" t="s">
        <v>2052</v>
      </c>
      <c r="C37" t="s">
        <v>108</v>
      </c>
      <c r="D37" s="1" t="s">
        <v>109</v>
      </c>
      <c r="E37" t="b">
        <v>0</v>
      </c>
      <c r="F37">
        <v>839</v>
      </c>
      <c r="G37">
        <v>899</v>
      </c>
      <c r="H37" t="s">
        <v>110</v>
      </c>
      <c r="I37" t="b">
        <v>0</v>
      </c>
      <c r="J37" cm="1">
        <f t="array" ref="J37">sentimentCalc(B37)</f>
        <v>0</v>
      </c>
      <c r="K37" t="str" cm="1">
        <f t="array" ref="K37">sentimentCategory(J37)</f>
        <v>Neutral</v>
      </c>
    </row>
    <row r="38" spans="1:11" ht="34" x14ac:dyDescent="0.2">
      <c r="A38" t="s">
        <v>3649</v>
      </c>
      <c r="B38" s="1" t="s">
        <v>3652</v>
      </c>
      <c r="C38" t="s">
        <v>108</v>
      </c>
      <c r="D38" s="1" t="s">
        <v>109</v>
      </c>
      <c r="E38" t="b">
        <v>0</v>
      </c>
      <c r="F38">
        <v>838</v>
      </c>
      <c r="G38">
        <v>899</v>
      </c>
      <c r="H38" t="s">
        <v>110</v>
      </c>
      <c r="I38" t="b">
        <v>0</v>
      </c>
      <c r="J38" cm="1">
        <f t="array" ref="J38">sentimentCalc(B38)</f>
        <v>0</v>
      </c>
      <c r="K38" t="str" cm="1">
        <f t="array" ref="K38">sentimentCategory(J38)</f>
        <v>Neutral</v>
      </c>
    </row>
    <row r="39" spans="1:11" ht="34" x14ac:dyDescent="0.2">
      <c r="A39" t="s">
        <v>4399</v>
      </c>
      <c r="B39" s="1" t="s">
        <v>4400</v>
      </c>
      <c r="C39" t="s">
        <v>108</v>
      </c>
      <c r="D39" s="1" t="s">
        <v>109</v>
      </c>
      <c r="E39" t="b">
        <v>0</v>
      </c>
      <c r="F39">
        <v>837</v>
      </c>
      <c r="G39">
        <v>898</v>
      </c>
      <c r="H39" t="s">
        <v>110</v>
      </c>
      <c r="I39" t="b">
        <v>0</v>
      </c>
      <c r="J39" cm="1">
        <f t="array" ref="J39">sentimentCalc(B39)</f>
        <v>0</v>
      </c>
      <c r="K39" t="str" cm="1">
        <f t="array" ref="K39">sentimentCategory(J39)</f>
        <v>Neutral</v>
      </c>
    </row>
    <row r="40" spans="1:11" ht="34" x14ac:dyDescent="0.2">
      <c r="A40" t="s">
        <v>6557</v>
      </c>
      <c r="B40" s="1" t="s">
        <v>6558</v>
      </c>
      <c r="C40" t="s">
        <v>108</v>
      </c>
      <c r="D40" s="1" t="s">
        <v>109</v>
      </c>
      <c r="E40" t="b">
        <v>0</v>
      </c>
      <c r="F40">
        <v>838</v>
      </c>
      <c r="G40">
        <v>898</v>
      </c>
      <c r="H40" t="s">
        <v>110</v>
      </c>
      <c r="I40" t="b">
        <v>0</v>
      </c>
      <c r="J40" cm="1">
        <f t="array" ref="J40">sentimentCalc(B40)</f>
        <v>0</v>
      </c>
      <c r="K40" t="str" cm="1">
        <f t="array" ref="K40">sentimentCategory(J40)</f>
        <v>Neutral</v>
      </c>
    </row>
    <row r="41" spans="1:11" ht="34" x14ac:dyDescent="0.2">
      <c r="A41" t="s">
        <v>5768</v>
      </c>
      <c r="B41" s="1" t="s">
        <v>5769</v>
      </c>
      <c r="C41" t="s">
        <v>108</v>
      </c>
      <c r="D41" s="1" t="s">
        <v>109</v>
      </c>
      <c r="E41" t="b">
        <v>0</v>
      </c>
      <c r="F41">
        <v>837</v>
      </c>
      <c r="G41">
        <v>898</v>
      </c>
      <c r="H41" t="s">
        <v>110</v>
      </c>
      <c r="I41" t="b">
        <v>0</v>
      </c>
      <c r="J41" cm="1">
        <f t="array" ref="J41">sentimentCalc(B41)</f>
        <v>0</v>
      </c>
      <c r="K41" t="str" cm="1">
        <f t="array" ref="K41">sentimentCategory(J41)</f>
        <v>Neutral</v>
      </c>
    </row>
    <row r="42" spans="1:11" ht="34" x14ac:dyDescent="0.2">
      <c r="A42" t="s">
        <v>7190</v>
      </c>
      <c r="B42" s="1" t="s">
        <v>7191</v>
      </c>
      <c r="C42" t="s">
        <v>108</v>
      </c>
      <c r="D42" s="1" t="s">
        <v>109</v>
      </c>
      <c r="E42" t="b">
        <v>0</v>
      </c>
      <c r="F42">
        <v>836</v>
      </c>
      <c r="G42">
        <v>898</v>
      </c>
      <c r="H42" t="s">
        <v>110</v>
      </c>
      <c r="I42" t="b">
        <v>0</v>
      </c>
      <c r="J42" cm="1">
        <f t="array" ref="J42">sentimentCalc(B42)</f>
        <v>0</v>
      </c>
      <c r="K42" t="str" cm="1">
        <f t="array" ref="K42">sentimentCategory(J42)</f>
        <v>Neutral</v>
      </c>
    </row>
    <row r="43" spans="1:11" ht="34" x14ac:dyDescent="0.2">
      <c r="A43" t="s">
        <v>182</v>
      </c>
      <c r="B43" s="1" t="s">
        <v>183</v>
      </c>
      <c r="C43" t="s">
        <v>108</v>
      </c>
      <c r="D43" s="1" t="s">
        <v>109</v>
      </c>
      <c r="E43" t="b">
        <v>0</v>
      </c>
      <c r="F43">
        <v>841</v>
      </c>
      <c r="G43">
        <v>899</v>
      </c>
      <c r="H43" t="s">
        <v>110</v>
      </c>
      <c r="I43" t="b">
        <v>0</v>
      </c>
      <c r="J43" cm="1">
        <f t="array" ref="J43">sentimentCalc(B43)</f>
        <v>0</v>
      </c>
      <c r="K43" t="str" cm="1">
        <f t="array" ref="K43">sentimentCategory(J43)</f>
        <v>Neutral</v>
      </c>
    </row>
    <row r="44" spans="1:11" ht="34" x14ac:dyDescent="0.2">
      <c r="A44" t="s">
        <v>1410</v>
      </c>
      <c r="B44" s="1" t="s">
        <v>1411</v>
      </c>
      <c r="C44" t="s">
        <v>108</v>
      </c>
      <c r="D44" s="1" t="s">
        <v>109</v>
      </c>
      <c r="E44" t="b">
        <v>0</v>
      </c>
      <c r="F44">
        <v>840</v>
      </c>
      <c r="G44">
        <v>899</v>
      </c>
      <c r="H44" t="s">
        <v>110</v>
      </c>
      <c r="I44" t="b">
        <v>0</v>
      </c>
      <c r="J44" cm="1">
        <f t="array" ref="J44">sentimentCalc(B44)</f>
        <v>0</v>
      </c>
      <c r="K44" t="str" cm="1">
        <f t="array" ref="K44">sentimentCategory(J44)</f>
        <v>Neutral</v>
      </c>
    </row>
    <row r="45" spans="1:11" ht="34" x14ac:dyDescent="0.2">
      <c r="A45" t="s">
        <v>788</v>
      </c>
      <c r="B45" s="1" t="s">
        <v>789</v>
      </c>
      <c r="C45" t="s">
        <v>108</v>
      </c>
      <c r="D45" s="1" t="s">
        <v>109</v>
      </c>
      <c r="E45" t="b">
        <v>0</v>
      </c>
      <c r="F45">
        <v>840</v>
      </c>
      <c r="G45">
        <v>899</v>
      </c>
      <c r="H45" t="s">
        <v>110</v>
      </c>
      <c r="I45" t="b">
        <v>0</v>
      </c>
      <c r="J45" cm="1">
        <f t="array" ref="J45">sentimentCalc(B45)</f>
        <v>0</v>
      </c>
      <c r="K45" t="str" cm="1">
        <f t="array" ref="K45">sentimentCategory(J45)</f>
        <v>Neutral</v>
      </c>
    </row>
    <row r="46" spans="1:11" ht="34" x14ac:dyDescent="0.2">
      <c r="A46" t="s">
        <v>5197</v>
      </c>
      <c r="B46" s="1" t="s">
        <v>5198</v>
      </c>
      <c r="C46" t="s">
        <v>108</v>
      </c>
      <c r="D46" s="1" t="s">
        <v>109</v>
      </c>
      <c r="E46" t="b">
        <v>0</v>
      </c>
      <c r="F46">
        <v>838</v>
      </c>
      <c r="G46">
        <v>898</v>
      </c>
      <c r="H46" t="s">
        <v>110</v>
      </c>
      <c r="I46" t="b">
        <v>0</v>
      </c>
      <c r="J46" cm="1">
        <f t="array" ref="J46">sentimentCalc(B46)</f>
        <v>0</v>
      </c>
      <c r="K46" t="str" cm="1">
        <f t="array" ref="K46">sentimentCategory(J46)</f>
        <v>Neutral</v>
      </c>
    </row>
    <row r="47" spans="1:11" ht="34" x14ac:dyDescent="0.2">
      <c r="A47" t="s">
        <v>3745</v>
      </c>
      <c r="B47" s="1" t="s">
        <v>3746</v>
      </c>
      <c r="C47" t="s">
        <v>108</v>
      </c>
      <c r="D47" s="1" t="s">
        <v>109</v>
      </c>
      <c r="E47" t="b">
        <v>0</v>
      </c>
      <c r="F47">
        <v>838</v>
      </c>
      <c r="G47">
        <v>899</v>
      </c>
      <c r="H47" t="s">
        <v>110</v>
      </c>
      <c r="I47" t="b">
        <v>0</v>
      </c>
      <c r="J47" cm="1">
        <f t="array" ref="J47">sentimentCalc(B47)</f>
        <v>0</v>
      </c>
      <c r="K47" t="str" cm="1">
        <f t="array" ref="K47">sentimentCategory(J47)</f>
        <v>Neutral</v>
      </c>
    </row>
    <row r="48" spans="1:11" ht="34" x14ac:dyDescent="0.2">
      <c r="A48" t="s">
        <v>2160</v>
      </c>
      <c r="B48" s="1" t="s">
        <v>2161</v>
      </c>
      <c r="C48" t="s">
        <v>108</v>
      </c>
      <c r="D48" s="1" t="s">
        <v>109</v>
      </c>
      <c r="E48" t="b">
        <v>0</v>
      </c>
      <c r="F48">
        <v>839</v>
      </c>
      <c r="G48">
        <v>899</v>
      </c>
      <c r="H48" t="s">
        <v>110</v>
      </c>
      <c r="I48" t="b">
        <v>0</v>
      </c>
      <c r="J48" cm="1">
        <f t="array" ref="J48">sentimentCalc(B48)</f>
        <v>0</v>
      </c>
      <c r="K48" t="str" cm="1">
        <f t="array" ref="K48">sentimentCategory(J48)</f>
        <v>Neutral</v>
      </c>
    </row>
    <row r="49" spans="1:11" ht="34" x14ac:dyDescent="0.2">
      <c r="A49" t="s">
        <v>4492</v>
      </c>
      <c r="B49" s="1" t="s">
        <v>4493</v>
      </c>
      <c r="C49" t="s">
        <v>108</v>
      </c>
      <c r="D49" s="1" t="s">
        <v>109</v>
      </c>
      <c r="E49" t="b">
        <v>0</v>
      </c>
      <c r="F49">
        <v>837</v>
      </c>
      <c r="G49">
        <v>898</v>
      </c>
      <c r="H49" t="s">
        <v>110</v>
      </c>
      <c r="I49" t="b">
        <v>0</v>
      </c>
      <c r="J49" cm="1">
        <f t="array" ref="J49">sentimentCalc(B49)</f>
        <v>0</v>
      </c>
      <c r="K49" t="str" cm="1">
        <f t="array" ref="K49">sentimentCategory(J49)</f>
        <v>Neutral</v>
      </c>
    </row>
    <row r="50" spans="1:11" ht="34" x14ac:dyDescent="0.2">
      <c r="A50" t="s">
        <v>5826</v>
      </c>
      <c r="B50" s="1" t="s">
        <v>5827</v>
      </c>
      <c r="C50" t="s">
        <v>108</v>
      </c>
      <c r="D50" s="1" t="s">
        <v>109</v>
      </c>
      <c r="E50" t="b">
        <v>0</v>
      </c>
      <c r="F50">
        <v>837</v>
      </c>
      <c r="G50">
        <v>898</v>
      </c>
      <c r="H50" t="s">
        <v>110</v>
      </c>
      <c r="I50" t="b">
        <v>0</v>
      </c>
      <c r="J50" cm="1">
        <f t="array" ref="J50">sentimentCalc(B50)</f>
        <v>0</v>
      </c>
      <c r="K50" t="str" cm="1">
        <f t="array" ref="K50">sentimentCategory(J50)</f>
        <v>Neutral</v>
      </c>
    </row>
    <row r="51" spans="1:11" ht="34" x14ac:dyDescent="0.2">
      <c r="A51" t="s">
        <v>2908</v>
      </c>
      <c r="B51" s="1" t="s">
        <v>2909</v>
      </c>
      <c r="C51" t="s">
        <v>108</v>
      </c>
      <c r="D51" s="1" t="s">
        <v>109</v>
      </c>
      <c r="E51" t="b">
        <v>0</v>
      </c>
      <c r="F51">
        <v>838</v>
      </c>
      <c r="G51">
        <v>899</v>
      </c>
      <c r="H51" t="s">
        <v>110</v>
      </c>
      <c r="I51" t="b">
        <v>0</v>
      </c>
      <c r="J51" cm="1">
        <f t="array" ref="J51">sentimentCalc(B51)</f>
        <v>0</v>
      </c>
      <c r="K51" t="str" cm="1">
        <f t="array" ref="K51">sentimentCategory(J51)</f>
        <v>Neutral</v>
      </c>
    </row>
    <row r="52" spans="1:11" ht="34" x14ac:dyDescent="0.2">
      <c r="A52" t="s">
        <v>7249</v>
      </c>
      <c r="B52" s="1" t="s">
        <v>7250</v>
      </c>
      <c r="C52" t="s">
        <v>108</v>
      </c>
      <c r="D52" s="1" t="s">
        <v>109</v>
      </c>
      <c r="E52" t="b">
        <v>0</v>
      </c>
      <c r="F52">
        <v>836</v>
      </c>
      <c r="G52">
        <v>898</v>
      </c>
      <c r="H52" t="s">
        <v>110</v>
      </c>
      <c r="I52" t="b">
        <v>0</v>
      </c>
      <c r="J52" cm="1">
        <f t="array" ref="J52">sentimentCalc(B52)</f>
        <v>0</v>
      </c>
      <c r="K52" t="str" cm="1">
        <f t="array" ref="K52">sentimentCategory(J52)</f>
        <v>Neutral</v>
      </c>
    </row>
    <row r="53" spans="1:11" ht="17" x14ac:dyDescent="0.2">
      <c r="A53" t="s">
        <v>6283</v>
      </c>
      <c r="B53" s="1" t="s">
        <v>6284</v>
      </c>
      <c r="C53" t="s">
        <v>193</v>
      </c>
      <c r="D53" s="1" t="s">
        <v>4116</v>
      </c>
      <c r="E53" t="b">
        <v>0</v>
      </c>
      <c r="F53">
        <v>22</v>
      </c>
      <c r="G53">
        <v>73</v>
      </c>
      <c r="H53" t="s">
        <v>11</v>
      </c>
      <c r="I53" t="b">
        <v>0</v>
      </c>
      <c r="J53" cm="1">
        <f t="array" ref="J53">sentimentCalc(B53)</f>
        <v>0</v>
      </c>
      <c r="K53" t="str" cm="1">
        <f t="array" ref="K53">sentimentCategory(J53)</f>
        <v>Neutral</v>
      </c>
    </row>
    <row r="54" spans="1:11" ht="17" x14ac:dyDescent="0.2">
      <c r="A54" t="s">
        <v>6333</v>
      </c>
      <c r="B54" s="1" t="s">
        <v>6334</v>
      </c>
      <c r="C54" t="s">
        <v>554</v>
      </c>
      <c r="D54" s="1" t="s">
        <v>6335</v>
      </c>
      <c r="E54" t="b">
        <v>0</v>
      </c>
      <c r="F54">
        <v>12</v>
      </c>
      <c r="G54">
        <v>159</v>
      </c>
      <c r="H54" t="s">
        <v>11</v>
      </c>
      <c r="I54" t="b">
        <v>0</v>
      </c>
      <c r="J54" cm="1">
        <f t="array" ref="J54">sentimentCalc(B54)</f>
        <v>-1</v>
      </c>
      <c r="K54" t="str" cm="1">
        <f t="array" ref="K54">sentimentCategory(J54)</f>
        <v>Negative</v>
      </c>
    </row>
    <row r="55" spans="1:11" ht="17" x14ac:dyDescent="0.2">
      <c r="A55" t="s">
        <v>347</v>
      </c>
      <c r="B55" s="1" t="s">
        <v>348</v>
      </c>
      <c r="C55" t="s">
        <v>349</v>
      </c>
      <c r="D55" s="1" t="s">
        <v>2</v>
      </c>
      <c r="E55" t="b">
        <v>0</v>
      </c>
      <c r="F55">
        <v>6</v>
      </c>
      <c r="G55">
        <v>77</v>
      </c>
      <c r="H55" t="s">
        <v>11</v>
      </c>
      <c r="I55" t="b">
        <v>0</v>
      </c>
      <c r="J55" cm="1">
        <f t="array" ref="J55">sentimentCalc(B55)</f>
        <v>-3</v>
      </c>
      <c r="K55" t="str" cm="1">
        <f t="array" ref="K55">sentimentCategory(J55)</f>
        <v>Negative</v>
      </c>
    </row>
    <row r="56" spans="1:11" ht="17" x14ac:dyDescent="0.2">
      <c r="A56" t="s">
        <v>3245</v>
      </c>
      <c r="B56" s="1" t="s">
        <v>3246</v>
      </c>
      <c r="C56" t="s">
        <v>373</v>
      </c>
      <c r="D56" s="1" t="s">
        <v>2</v>
      </c>
      <c r="E56" t="b">
        <v>0</v>
      </c>
      <c r="F56">
        <v>1438</v>
      </c>
      <c r="G56">
        <v>29</v>
      </c>
      <c r="H56" t="s">
        <v>47</v>
      </c>
      <c r="I56" t="b">
        <v>0</v>
      </c>
      <c r="J56" cm="1">
        <f t="array" ref="J56">sentimentCalc(B56)</f>
        <v>0</v>
      </c>
      <c r="K56" t="str" cm="1">
        <f t="array" ref="K56">sentimentCategory(J56)</f>
        <v>Neutral</v>
      </c>
    </row>
    <row r="57" spans="1:11" ht="17" x14ac:dyDescent="0.2">
      <c r="A57" t="s">
        <v>6171</v>
      </c>
      <c r="B57" s="1" t="s">
        <v>6172</v>
      </c>
      <c r="C57" t="s">
        <v>373</v>
      </c>
      <c r="D57" s="1" t="s">
        <v>2</v>
      </c>
      <c r="E57" t="b">
        <v>0</v>
      </c>
      <c r="F57">
        <v>1441</v>
      </c>
      <c r="G57">
        <v>29</v>
      </c>
      <c r="H57" t="s">
        <v>47</v>
      </c>
      <c r="I57" t="b">
        <v>0</v>
      </c>
      <c r="J57" cm="1">
        <f t="array" ref="J57">sentimentCalc(B57)</f>
        <v>0</v>
      </c>
      <c r="K57" t="str" cm="1">
        <f t="array" ref="K57">sentimentCategory(J57)</f>
        <v>Neutral</v>
      </c>
    </row>
    <row r="58" spans="1:11" ht="17" x14ac:dyDescent="0.2">
      <c r="A58" t="s">
        <v>4788</v>
      </c>
      <c r="B58" s="1" t="s">
        <v>4789</v>
      </c>
      <c r="C58" t="s">
        <v>373</v>
      </c>
      <c r="D58" s="1" t="s">
        <v>2</v>
      </c>
      <c r="E58" t="b">
        <v>0</v>
      </c>
      <c r="F58">
        <v>1438</v>
      </c>
      <c r="G58">
        <v>29</v>
      </c>
      <c r="H58" t="s">
        <v>47</v>
      </c>
      <c r="I58" t="b">
        <v>0</v>
      </c>
      <c r="J58" cm="1">
        <f t="array" ref="J58">sentimentCalc(B58)</f>
        <v>0</v>
      </c>
      <c r="K58" t="str" cm="1">
        <f t="array" ref="K58">sentimentCategory(J58)</f>
        <v>Neutral</v>
      </c>
    </row>
    <row r="59" spans="1:11" ht="17" x14ac:dyDescent="0.2">
      <c r="A59" t="s">
        <v>3857</v>
      </c>
      <c r="B59" s="1" t="s">
        <v>3858</v>
      </c>
      <c r="C59" t="s">
        <v>3859</v>
      </c>
      <c r="D59" s="1" t="s">
        <v>3860</v>
      </c>
      <c r="E59" t="b">
        <v>0</v>
      </c>
      <c r="F59">
        <v>800</v>
      </c>
      <c r="G59">
        <v>975</v>
      </c>
      <c r="H59" t="s">
        <v>1580</v>
      </c>
      <c r="I59" t="b">
        <v>0</v>
      </c>
      <c r="J59" cm="1">
        <f t="array" ref="J59">sentimentCalc(B59)</f>
        <v>0</v>
      </c>
      <c r="K59" t="str" cm="1">
        <f t="array" ref="K59">sentimentCategory(J59)</f>
        <v>Neutral</v>
      </c>
    </row>
    <row r="60" spans="1:11" ht="17" x14ac:dyDescent="0.2">
      <c r="A60" t="s">
        <v>3227</v>
      </c>
      <c r="B60" s="1" t="s">
        <v>3229</v>
      </c>
      <c r="C60" t="s">
        <v>3230</v>
      </c>
      <c r="D60" s="1" t="s">
        <v>3231</v>
      </c>
      <c r="E60" t="b">
        <v>0</v>
      </c>
      <c r="F60">
        <v>272</v>
      </c>
      <c r="G60">
        <v>376</v>
      </c>
      <c r="H60" t="s">
        <v>359</v>
      </c>
      <c r="I60" t="b">
        <v>0</v>
      </c>
      <c r="J60" cm="1">
        <f t="array" ref="J60">sentimentCalc(B60)</f>
        <v>0</v>
      </c>
      <c r="K60" t="str" cm="1">
        <f t="array" ref="K60">sentimentCategory(J60)</f>
        <v>Neutral</v>
      </c>
    </row>
    <row r="61" spans="1:11" ht="34" x14ac:dyDescent="0.2">
      <c r="A61" t="s">
        <v>3535</v>
      </c>
      <c r="B61" s="1" t="s">
        <v>3536</v>
      </c>
      <c r="C61" t="s">
        <v>1226</v>
      </c>
      <c r="D61" s="1" t="s">
        <v>1227</v>
      </c>
      <c r="E61" t="b">
        <v>0</v>
      </c>
      <c r="F61">
        <v>427</v>
      </c>
      <c r="G61">
        <v>768</v>
      </c>
      <c r="H61" t="s">
        <v>11</v>
      </c>
      <c r="I61" t="b">
        <v>0</v>
      </c>
      <c r="J61" cm="1">
        <f t="array" ref="J61">sentimentCalc(B61)</f>
        <v>0</v>
      </c>
      <c r="K61" t="str" cm="1">
        <f t="array" ref="K61">sentimentCategory(J61)</f>
        <v>Neutral</v>
      </c>
    </row>
    <row r="62" spans="1:11" ht="17" x14ac:dyDescent="0.2">
      <c r="A62" t="s">
        <v>596</v>
      </c>
      <c r="B62" s="1" t="s">
        <v>597</v>
      </c>
      <c r="C62" t="s">
        <v>564</v>
      </c>
      <c r="D62" s="1" t="s">
        <v>2</v>
      </c>
      <c r="E62" t="b">
        <v>0</v>
      </c>
      <c r="F62">
        <v>93</v>
      </c>
      <c r="G62">
        <v>2</v>
      </c>
      <c r="H62" t="s">
        <v>73</v>
      </c>
      <c r="I62" t="b">
        <v>0</v>
      </c>
      <c r="J62" cm="1">
        <f t="array" ref="J62">sentimentCalc(B62)</f>
        <v>0</v>
      </c>
      <c r="K62" t="str" cm="1">
        <f t="array" ref="K62">sentimentCategory(J62)</f>
        <v>Neutral</v>
      </c>
    </row>
    <row r="63" spans="1:11" ht="17" x14ac:dyDescent="0.2">
      <c r="A63" t="s">
        <v>1199</v>
      </c>
      <c r="B63" s="1" t="s">
        <v>1200</v>
      </c>
      <c r="C63" t="s">
        <v>564</v>
      </c>
      <c r="D63" s="1" t="s">
        <v>2</v>
      </c>
      <c r="E63" t="b">
        <v>0</v>
      </c>
      <c r="F63">
        <v>93</v>
      </c>
      <c r="G63">
        <v>2</v>
      </c>
      <c r="H63" t="s">
        <v>73</v>
      </c>
      <c r="I63" t="b">
        <v>0</v>
      </c>
      <c r="J63" cm="1">
        <f t="array" ref="J63">sentimentCalc(B63)</f>
        <v>0</v>
      </c>
      <c r="K63" t="str" cm="1">
        <f t="array" ref="K63">sentimentCategory(J63)</f>
        <v>Neutral</v>
      </c>
    </row>
    <row r="64" spans="1:11" ht="17" x14ac:dyDescent="0.2">
      <c r="A64" t="s">
        <v>3510</v>
      </c>
      <c r="B64" s="1" t="s">
        <v>3511</v>
      </c>
      <c r="C64" t="s">
        <v>564</v>
      </c>
      <c r="D64" s="1" t="s">
        <v>2</v>
      </c>
      <c r="E64" t="b">
        <v>0</v>
      </c>
      <c r="F64">
        <v>93</v>
      </c>
      <c r="G64">
        <v>2</v>
      </c>
      <c r="H64" t="s">
        <v>73</v>
      </c>
      <c r="I64" t="b">
        <v>0</v>
      </c>
      <c r="J64" cm="1">
        <f t="array" ref="J64">sentimentCalc(B64)</f>
        <v>0</v>
      </c>
      <c r="K64" t="str" cm="1">
        <f t="array" ref="K64">sentimentCategory(J64)</f>
        <v>Neutral</v>
      </c>
    </row>
    <row r="65" spans="1:11" ht="17" x14ac:dyDescent="0.2">
      <c r="A65" t="s">
        <v>4996</v>
      </c>
      <c r="B65" s="1" t="s">
        <v>4997</v>
      </c>
      <c r="C65" t="s">
        <v>564</v>
      </c>
      <c r="D65" s="1" t="s">
        <v>2</v>
      </c>
      <c r="E65" t="b">
        <v>0</v>
      </c>
      <c r="F65">
        <v>93</v>
      </c>
      <c r="G65">
        <v>2</v>
      </c>
      <c r="H65" t="s">
        <v>73</v>
      </c>
      <c r="I65" t="b">
        <v>0</v>
      </c>
      <c r="J65" cm="1">
        <f t="array" ref="J65">sentimentCalc(B65)</f>
        <v>0</v>
      </c>
      <c r="K65" t="str" cm="1">
        <f t="array" ref="K65">sentimentCategory(J65)</f>
        <v>Neutral</v>
      </c>
    </row>
    <row r="66" spans="1:11" ht="17" x14ac:dyDescent="0.2">
      <c r="A66" t="s">
        <v>7065</v>
      </c>
      <c r="B66" s="1" t="s">
        <v>7066</v>
      </c>
      <c r="C66" t="s">
        <v>564</v>
      </c>
      <c r="D66" s="1" t="s">
        <v>2</v>
      </c>
      <c r="E66" t="b">
        <v>0</v>
      </c>
      <c r="F66">
        <v>93</v>
      </c>
      <c r="G66">
        <v>2</v>
      </c>
      <c r="H66" t="s">
        <v>73</v>
      </c>
      <c r="I66" t="b">
        <v>0</v>
      </c>
      <c r="J66" cm="1">
        <f t="array" ref="J66">sentimentCalc(B66)</f>
        <v>0</v>
      </c>
      <c r="K66" t="str" cm="1">
        <f t="array" ref="K66">sentimentCategory(J66)</f>
        <v>Neutral</v>
      </c>
    </row>
    <row r="67" spans="1:11" ht="17" x14ac:dyDescent="0.2">
      <c r="A67" t="s">
        <v>1927</v>
      </c>
      <c r="B67" s="1" t="s">
        <v>1928</v>
      </c>
      <c r="C67" t="s">
        <v>564</v>
      </c>
      <c r="D67" s="1" t="s">
        <v>2</v>
      </c>
      <c r="E67" t="b">
        <v>0</v>
      </c>
      <c r="F67">
        <v>93</v>
      </c>
      <c r="G67">
        <v>2</v>
      </c>
      <c r="H67" t="s">
        <v>73</v>
      </c>
      <c r="I67" t="b">
        <v>0</v>
      </c>
      <c r="J67" cm="1">
        <f t="array" ref="J67">sentimentCalc(B67)</f>
        <v>0</v>
      </c>
      <c r="K67" t="str" cm="1">
        <f t="array" ref="K67">sentimentCategory(J67)</f>
        <v>Neutral</v>
      </c>
    </row>
    <row r="68" spans="1:11" ht="17" x14ac:dyDescent="0.2">
      <c r="A68" t="s">
        <v>4270</v>
      </c>
      <c r="B68" s="1" t="s">
        <v>4271</v>
      </c>
      <c r="C68" t="s">
        <v>564</v>
      </c>
      <c r="D68" s="1" t="s">
        <v>2</v>
      </c>
      <c r="E68" t="b">
        <v>0</v>
      </c>
      <c r="F68">
        <v>93</v>
      </c>
      <c r="G68">
        <v>2</v>
      </c>
      <c r="H68" t="s">
        <v>73</v>
      </c>
      <c r="I68" t="b">
        <v>0</v>
      </c>
      <c r="J68" cm="1">
        <f t="array" ref="J68">sentimentCalc(B68)</f>
        <v>0</v>
      </c>
      <c r="K68" t="str" cm="1">
        <f t="array" ref="K68">sentimentCategory(J68)</f>
        <v>Neutral</v>
      </c>
    </row>
    <row r="69" spans="1:11" ht="17" x14ac:dyDescent="0.2">
      <c r="A69" t="s">
        <v>6432</v>
      </c>
      <c r="B69" s="1" t="s">
        <v>6433</v>
      </c>
      <c r="C69" t="s">
        <v>564</v>
      </c>
      <c r="D69" s="1" t="s">
        <v>2</v>
      </c>
      <c r="E69" t="b">
        <v>0</v>
      </c>
      <c r="F69">
        <v>93</v>
      </c>
      <c r="G69">
        <v>2</v>
      </c>
      <c r="H69" t="s">
        <v>73</v>
      </c>
      <c r="I69" t="b">
        <v>0</v>
      </c>
      <c r="J69" cm="1">
        <f t="array" ref="J69">sentimentCalc(B69)</f>
        <v>0</v>
      </c>
      <c r="K69" t="str" cm="1">
        <f t="array" ref="K69">sentimentCategory(J69)</f>
        <v>Neutral</v>
      </c>
    </row>
    <row r="70" spans="1:11" ht="17" x14ac:dyDescent="0.2">
      <c r="A70" t="s">
        <v>5625</v>
      </c>
      <c r="B70" s="1" t="s">
        <v>5626</v>
      </c>
      <c r="C70" t="s">
        <v>564</v>
      </c>
      <c r="D70" s="1" t="s">
        <v>2</v>
      </c>
      <c r="E70" t="b">
        <v>0</v>
      </c>
      <c r="F70">
        <v>93</v>
      </c>
      <c r="G70">
        <v>2</v>
      </c>
      <c r="H70" t="s">
        <v>73</v>
      </c>
      <c r="I70" t="b">
        <v>0</v>
      </c>
      <c r="J70" cm="1">
        <f t="array" ref="J70">sentimentCalc(B70)</f>
        <v>0</v>
      </c>
      <c r="K70" t="str" cm="1">
        <f t="array" ref="K70">sentimentCategory(J70)</f>
        <v>Neutral</v>
      </c>
    </row>
    <row r="71" spans="1:11" ht="34" x14ac:dyDescent="0.2">
      <c r="A71" t="s">
        <v>4020</v>
      </c>
      <c r="B71" s="1" t="s">
        <v>4021</v>
      </c>
      <c r="C71" t="s">
        <v>4022</v>
      </c>
      <c r="D71" s="1" t="s">
        <v>4023</v>
      </c>
      <c r="E71" t="b">
        <v>0</v>
      </c>
      <c r="F71">
        <v>1319</v>
      </c>
      <c r="G71">
        <v>1048</v>
      </c>
      <c r="H71" t="s">
        <v>11</v>
      </c>
      <c r="I71" t="b">
        <v>0</v>
      </c>
      <c r="J71" cm="1">
        <f t="array" ref="J71">sentimentCalc(B71)</f>
        <v>0</v>
      </c>
      <c r="K71" t="str" cm="1">
        <f t="array" ref="K71">sentimentCategory(J71)</f>
        <v>Neutral</v>
      </c>
    </row>
    <row r="72" spans="1:11" ht="17" x14ac:dyDescent="0.2">
      <c r="A72" t="s">
        <v>4242</v>
      </c>
      <c r="B72" s="1" t="s">
        <v>4243</v>
      </c>
      <c r="C72" t="s">
        <v>244</v>
      </c>
      <c r="D72" s="1" t="s">
        <v>4244</v>
      </c>
      <c r="E72" t="b">
        <v>0</v>
      </c>
      <c r="F72">
        <v>767</v>
      </c>
      <c r="G72">
        <v>605</v>
      </c>
      <c r="H72" t="s">
        <v>11</v>
      </c>
      <c r="I72" t="b">
        <v>0</v>
      </c>
      <c r="J72" cm="1">
        <f t="array" ref="J72">sentimentCalc(B72)</f>
        <v>0</v>
      </c>
      <c r="K72" t="str" cm="1">
        <f t="array" ref="K72">sentimentCategory(J72)</f>
        <v>Neutral</v>
      </c>
    </row>
    <row r="73" spans="1:11" ht="17" x14ac:dyDescent="0.2">
      <c r="A73" t="s">
        <v>7183</v>
      </c>
      <c r="B73" s="1" t="s">
        <v>7184</v>
      </c>
      <c r="C73" t="s">
        <v>186</v>
      </c>
      <c r="D73" s="1" t="s">
        <v>2</v>
      </c>
      <c r="E73" t="b">
        <v>0</v>
      </c>
      <c r="F73">
        <v>2866</v>
      </c>
      <c r="G73">
        <v>6</v>
      </c>
      <c r="H73" t="s">
        <v>11</v>
      </c>
      <c r="I73" t="b">
        <v>0</v>
      </c>
      <c r="J73" cm="1">
        <f t="array" ref="J73">sentimentCalc(B73)</f>
        <v>0</v>
      </c>
      <c r="K73" t="str" cm="1">
        <f t="array" ref="K73">sentimentCategory(J73)</f>
        <v>Neutral</v>
      </c>
    </row>
    <row r="74" spans="1:11" ht="17" x14ac:dyDescent="0.2">
      <c r="A74" t="s">
        <v>6950</v>
      </c>
      <c r="B74" s="1" t="s">
        <v>6951</v>
      </c>
      <c r="C74" t="s">
        <v>186</v>
      </c>
      <c r="D74" s="1" t="s">
        <v>2</v>
      </c>
      <c r="E74" t="b">
        <v>0</v>
      </c>
      <c r="F74">
        <v>2866</v>
      </c>
      <c r="G74">
        <v>6</v>
      </c>
      <c r="H74" t="s">
        <v>11</v>
      </c>
      <c r="I74" t="b">
        <v>0</v>
      </c>
      <c r="J74" cm="1">
        <f t="array" ref="J74">sentimentCalc(B74)</f>
        <v>0</v>
      </c>
      <c r="K74" t="str" cm="1">
        <f t="array" ref="K74">sentimentCategory(J74)</f>
        <v>Neutral</v>
      </c>
    </row>
    <row r="75" spans="1:11" ht="17" x14ac:dyDescent="0.2">
      <c r="A75" t="s">
        <v>3691</v>
      </c>
      <c r="B75" s="1" t="s">
        <v>3692</v>
      </c>
      <c r="C75" t="s">
        <v>186</v>
      </c>
      <c r="D75" s="1" t="s">
        <v>2</v>
      </c>
      <c r="E75" t="b">
        <v>0</v>
      </c>
      <c r="F75">
        <v>2868</v>
      </c>
      <c r="G75">
        <v>6</v>
      </c>
      <c r="H75" t="s">
        <v>11</v>
      </c>
      <c r="I75" t="b">
        <v>0</v>
      </c>
      <c r="J75" cm="1">
        <f t="array" ref="J75">sentimentCalc(B75)</f>
        <v>0</v>
      </c>
      <c r="K75" t="str" cm="1">
        <f t="array" ref="K75">sentimentCategory(J75)</f>
        <v>Neutral</v>
      </c>
    </row>
    <row r="76" spans="1:11" ht="17" x14ac:dyDescent="0.2">
      <c r="A76" t="s">
        <v>6127</v>
      </c>
      <c r="B76" s="1" t="s">
        <v>6128</v>
      </c>
      <c r="C76" t="s">
        <v>186</v>
      </c>
      <c r="D76" s="1" t="s">
        <v>2</v>
      </c>
      <c r="E76" t="b">
        <v>0</v>
      </c>
      <c r="F76">
        <v>2868</v>
      </c>
      <c r="G76">
        <v>6</v>
      </c>
      <c r="H76" t="s">
        <v>11</v>
      </c>
      <c r="I76" t="b">
        <v>0</v>
      </c>
      <c r="J76" cm="1">
        <f t="array" ref="J76">sentimentCalc(B76)</f>
        <v>0</v>
      </c>
      <c r="K76" t="str" cm="1">
        <f t="array" ref="K76">sentimentCategory(J76)</f>
        <v>Neutral</v>
      </c>
    </row>
    <row r="77" spans="1:11" ht="17" x14ac:dyDescent="0.2">
      <c r="A77" t="s">
        <v>3405</v>
      </c>
      <c r="B77" s="1" t="s">
        <v>3406</v>
      </c>
      <c r="C77" t="s">
        <v>186</v>
      </c>
      <c r="D77" s="1" t="s">
        <v>2</v>
      </c>
      <c r="E77" t="b">
        <v>0</v>
      </c>
      <c r="F77">
        <v>2868</v>
      </c>
      <c r="G77">
        <v>6</v>
      </c>
      <c r="H77" t="s">
        <v>11</v>
      </c>
      <c r="I77" t="b">
        <v>0</v>
      </c>
      <c r="J77" cm="1">
        <f t="array" ref="J77">sentimentCalc(B77)</f>
        <v>0</v>
      </c>
      <c r="K77" t="str" cm="1">
        <f t="array" ref="K77">sentimentCategory(J77)</f>
        <v>Neutral</v>
      </c>
    </row>
    <row r="78" spans="1:11" ht="17" x14ac:dyDescent="0.2">
      <c r="A78" t="s">
        <v>4855</v>
      </c>
      <c r="B78" s="1" t="s">
        <v>4856</v>
      </c>
      <c r="C78" t="s">
        <v>186</v>
      </c>
      <c r="D78" s="1" t="s">
        <v>2</v>
      </c>
      <c r="E78" t="b">
        <v>0</v>
      </c>
      <c r="F78">
        <v>2868</v>
      </c>
      <c r="G78">
        <v>6</v>
      </c>
      <c r="H78" t="s">
        <v>11</v>
      </c>
      <c r="I78" t="b">
        <v>0</v>
      </c>
      <c r="J78" cm="1">
        <f t="array" ref="J78">sentimentCalc(B78)</f>
        <v>0</v>
      </c>
      <c r="K78" t="str" cm="1">
        <f t="array" ref="K78">sentimentCategory(J78)</f>
        <v>Neutral</v>
      </c>
    </row>
    <row r="79" spans="1:11" ht="17" x14ac:dyDescent="0.2">
      <c r="A79" t="s">
        <v>3032</v>
      </c>
      <c r="B79" s="1" t="s">
        <v>3033</v>
      </c>
      <c r="C79" t="s">
        <v>186</v>
      </c>
      <c r="D79" s="1" t="s">
        <v>2</v>
      </c>
      <c r="E79" t="b">
        <v>0</v>
      </c>
      <c r="F79">
        <v>2868</v>
      </c>
      <c r="G79">
        <v>6</v>
      </c>
      <c r="H79" t="s">
        <v>11</v>
      </c>
      <c r="I79" t="b">
        <v>0</v>
      </c>
      <c r="J79" cm="1">
        <f t="array" ref="J79">sentimentCalc(B79)</f>
        <v>0</v>
      </c>
      <c r="K79" t="str" cm="1">
        <f t="array" ref="K79">sentimentCategory(J79)</f>
        <v>Neutral</v>
      </c>
    </row>
    <row r="80" spans="1:11" ht="17" x14ac:dyDescent="0.2">
      <c r="A80" t="s">
        <v>293</v>
      </c>
      <c r="B80" s="1" t="s">
        <v>294</v>
      </c>
      <c r="C80" t="s">
        <v>186</v>
      </c>
      <c r="D80" s="1" t="s">
        <v>2</v>
      </c>
      <c r="E80" t="b">
        <v>0</v>
      </c>
      <c r="F80">
        <v>2866</v>
      </c>
      <c r="G80">
        <v>6</v>
      </c>
      <c r="H80" t="s">
        <v>11</v>
      </c>
      <c r="I80" t="b">
        <v>0</v>
      </c>
      <c r="J80" cm="1">
        <f t="array" ref="J80">sentimentCalc(B80)</f>
        <v>0</v>
      </c>
      <c r="K80" t="str" cm="1">
        <f t="array" ref="K80">sentimentCategory(J80)</f>
        <v>Neutral</v>
      </c>
    </row>
    <row r="81" spans="1:11" ht="17" x14ac:dyDescent="0.2">
      <c r="A81" t="s">
        <v>547</v>
      </c>
      <c r="B81" s="1" t="s">
        <v>548</v>
      </c>
      <c r="C81" t="s">
        <v>186</v>
      </c>
      <c r="D81" s="1" t="s">
        <v>2</v>
      </c>
      <c r="E81" t="b">
        <v>0</v>
      </c>
      <c r="F81">
        <v>2866</v>
      </c>
      <c r="G81">
        <v>6</v>
      </c>
      <c r="H81" t="s">
        <v>11</v>
      </c>
      <c r="I81" t="b">
        <v>0</v>
      </c>
      <c r="J81" cm="1">
        <f t="array" ref="J81">sentimentCalc(B81)</f>
        <v>0</v>
      </c>
      <c r="K81" t="str" cm="1">
        <f t="array" ref="K81">sentimentCategory(J81)</f>
        <v>Neutral</v>
      </c>
    </row>
    <row r="82" spans="1:11" ht="17" x14ac:dyDescent="0.2">
      <c r="A82" t="s">
        <v>5435</v>
      </c>
      <c r="B82" s="1" t="s">
        <v>5436</v>
      </c>
      <c r="C82" t="s">
        <v>186</v>
      </c>
      <c r="D82" s="1" t="s">
        <v>2</v>
      </c>
      <c r="E82" t="b">
        <v>0</v>
      </c>
      <c r="F82">
        <v>2868</v>
      </c>
      <c r="G82">
        <v>6</v>
      </c>
      <c r="H82" t="s">
        <v>11</v>
      </c>
      <c r="I82" t="b">
        <v>0</v>
      </c>
      <c r="J82" cm="1">
        <f t="array" ref="J82">sentimentCalc(B82)</f>
        <v>0</v>
      </c>
      <c r="K82" t="str" cm="1">
        <f t="array" ref="K82">sentimentCategory(J82)</f>
        <v>Neutral</v>
      </c>
    </row>
    <row r="83" spans="1:11" ht="17" x14ac:dyDescent="0.2">
      <c r="A83" t="s">
        <v>2118</v>
      </c>
      <c r="B83" s="1" t="s">
        <v>2119</v>
      </c>
      <c r="C83" t="s">
        <v>186</v>
      </c>
      <c r="D83" s="1" t="s">
        <v>2</v>
      </c>
      <c r="E83" t="b">
        <v>0</v>
      </c>
      <c r="F83">
        <v>2867</v>
      </c>
      <c r="G83">
        <v>6</v>
      </c>
      <c r="H83" t="s">
        <v>11</v>
      </c>
      <c r="I83" t="b">
        <v>0</v>
      </c>
      <c r="J83" cm="1">
        <f t="array" ref="J83">sentimentCalc(B83)</f>
        <v>0</v>
      </c>
      <c r="K83" t="str" cm="1">
        <f t="array" ref="K83">sentimentCategory(J83)</f>
        <v>Neutral</v>
      </c>
    </row>
    <row r="84" spans="1:11" ht="17" x14ac:dyDescent="0.2">
      <c r="A84" t="s">
        <v>2718</v>
      </c>
      <c r="B84" s="1" t="s">
        <v>2719</v>
      </c>
      <c r="C84" t="s">
        <v>186</v>
      </c>
      <c r="D84" s="1" t="s">
        <v>2</v>
      </c>
      <c r="E84" t="b">
        <v>0</v>
      </c>
      <c r="F84">
        <v>2868</v>
      </c>
      <c r="G84">
        <v>6</v>
      </c>
      <c r="H84" t="s">
        <v>11</v>
      </c>
      <c r="I84" t="b">
        <v>0</v>
      </c>
      <c r="J84" cm="1">
        <f t="array" ref="J84">sentimentCalc(B84)</f>
        <v>0</v>
      </c>
      <c r="K84" t="str" cm="1">
        <f t="array" ref="K84">sentimentCategory(J84)</f>
        <v>Neutral</v>
      </c>
    </row>
    <row r="85" spans="1:11" ht="34" x14ac:dyDescent="0.2">
      <c r="A85" t="s">
        <v>430</v>
      </c>
      <c r="B85" s="1" t="s">
        <v>431</v>
      </c>
      <c r="C85" t="s">
        <v>432</v>
      </c>
      <c r="D85" s="1" t="s">
        <v>2</v>
      </c>
      <c r="E85" t="b">
        <v>0</v>
      </c>
      <c r="F85">
        <v>12</v>
      </c>
      <c r="G85">
        <v>1</v>
      </c>
      <c r="H85" t="s">
        <v>11</v>
      </c>
      <c r="I85" t="b">
        <v>0</v>
      </c>
      <c r="J85" cm="1">
        <f t="array" ref="J85">sentimentCalc(B85)</f>
        <v>0</v>
      </c>
      <c r="K85" t="str" cm="1">
        <f t="array" ref="K85">sentimentCategory(J85)</f>
        <v>Neutral</v>
      </c>
    </row>
    <row r="86" spans="1:11" ht="34" x14ac:dyDescent="0.2">
      <c r="A86" t="s">
        <v>1444</v>
      </c>
      <c r="B86" s="1" t="s">
        <v>1445</v>
      </c>
      <c r="C86" t="s">
        <v>432</v>
      </c>
      <c r="D86" s="1" t="s">
        <v>2</v>
      </c>
      <c r="E86" t="b">
        <v>0</v>
      </c>
      <c r="F86">
        <v>12</v>
      </c>
      <c r="G86">
        <v>1</v>
      </c>
      <c r="H86" t="s">
        <v>11</v>
      </c>
      <c r="I86" t="b">
        <v>0</v>
      </c>
      <c r="J86" cm="1">
        <f t="array" ref="J86">sentimentCalc(B86)</f>
        <v>0</v>
      </c>
      <c r="K86" t="str" cm="1">
        <f t="array" ref="K86">sentimentCategory(J86)</f>
        <v>Neutral</v>
      </c>
    </row>
    <row r="87" spans="1:11" ht="34" x14ac:dyDescent="0.2">
      <c r="A87" t="s">
        <v>2032</v>
      </c>
      <c r="B87" s="1" t="s">
        <v>2033</v>
      </c>
      <c r="C87" t="s">
        <v>432</v>
      </c>
      <c r="D87" s="1" t="s">
        <v>2</v>
      </c>
      <c r="E87" t="b">
        <v>0</v>
      </c>
      <c r="F87">
        <v>12</v>
      </c>
      <c r="G87">
        <v>1</v>
      </c>
      <c r="H87" t="s">
        <v>11</v>
      </c>
      <c r="I87" t="b">
        <v>0</v>
      </c>
      <c r="J87" cm="1">
        <f t="array" ref="J87">sentimentCalc(B87)</f>
        <v>0</v>
      </c>
      <c r="K87" t="str" cm="1">
        <f t="array" ref="K87">sentimentCategory(J87)</f>
        <v>Neutral</v>
      </c>
    </row>
    <row r="88" spans="1:11" ht="34" x14ac:dyDescent="0.2">
      <c r="A88" t="s">
        <v>5524</v>
      </c>
      <c r="B88" s="1" t="s">
        <v>5525</v>
      </c>
      <c r="C88" t="s">
        <v>432</v>
      </c>
      <c r="D88" s="1" t="s">
        <v>2</v>
      </c>
      <c r="E88" t="b">
        <v>0</v>
      </c>
      <c r="F88">
        <v>12</v>
      </c>
      <c r="G88">
        <v>1</v>
      </c>
      <c r="H88" t="s">
        <v>11</v>
      </c>
      <c r="I88" t="b">
        <v>0</v>
      </c>
      <c r="J88" cm="1">
        <f t="array" ref="J88">sentimentCalc(B88)</f>
        <v>0</v>
      </c>
      <c r="K88" t="str" cm="1">
        <f t="array" ref="K88">sentimentCategory(J88)</f>
        <v>Neutral</v>
      </c>
    </row>
    <row r="89" spans="1:11" ht="34" x14ac:dyDescent="0.2">
      <c r="A89" t="s">
        <v>4472</v>
      </c>
      <c r="B89" s="1" t="s">
        <v>4473</v>
      </c>
      <c r="C89" t="s">
        <v>432</v>
      </c>
      <c r="D89" s="1" t="s">
        <v>2</v>
      </c>
      <c r="E89" t="b">
        <v>0</v>
      </c>
      <c r="F89">
        <v>12</v>
      </c>
      <c r="G89">
        <v>1</v>
      </c>
      <c r="H89" t="s">
        <v>11</v>
      </c>
      <c r="I89" t="b">
        <v>0</v>
      </c>
      <c r="J89" cm="1">
        <f t="array" ref="J89">sentimentCalc(B89)</f>
        <v>0</v>
      </c>
      <c r="K89" t="str" cm="1">
        <f t="array" ref="K89">sentimentCategory(J89)</f>
        <v>Neutral</v>
      </c>
    </row>
    <row r="90" spans="1:11" ht="34" x14ac:dyDescent="0.2">
      <c r="A90" t="s">
        <v>6094</v>
      </c>
      <c r="B90" s="1" t="s">
        <v>6095</v>
      </c>
      <c r="C90" t="s">
        <v>432</v>
      </c>
      <c r="D90" s="1" t="s">
        <v>2</v>
      </c>
      <c r="E90" t="b">
        <v>0</v>
      </c>
      <c r="F90">
        <v>12</v>
      </c>
      <c r="G90">
        <v>1</v>
      </c>
      <c r="H90" t="s">
        <v>11</v>
      </c>
      <c r="I90" t="b">
        <v>0</v>
      </c>
      <c r="J90" cm="1">
        <f t="array" ref="J90">sentimentCalc(B90)</f>
        <v>0</v>
      </c>
      <c r="K90" t="str" cm="1">
        <f t="array" ref="K90">sentimentCategory(J90)</f>
        <v>Neutral</v>
      </c>
    </row>
    <row r="91" spans="1:11" ht="34" x14ac:dyDescent="0.2">
      <c r="A91" t="s">
        <v>2608</v>
      </c>
      <c r="B91" s="1" t="s">
        <v>2609</v>
      </c>
      <c r="C91" t="s">
        <v>432</v>
      </c>
      <c r="D91" s="1" t="s">
        <v>2</v>
      </c>
      <c r="E91" t="b">
        <v>0</v>
      </c>
      <c r="F91">
        <v>12</v>
      </c>
      <c r="G91">
        <v>1</v>
      </c>
      <c r="H91" t="s">
        <v>11</v>
      </c>
      <c r="I91" t="b">
        <v>0</v>
      </c>
      <c r="J91" cm="1">
        <f t="array" ref="J91">sentimentCalc(B91)</f>
        <v>0</v>
      </c>
      <c r="K91" t="str" cm="1">
        <f t="array" ref="K91">sentimentCategory(J91)</f>
        <v>Neutral</v>
      </c>
    </row>
    <row r="92" spans="1:11" ht="17" x14ac:dyDescent="0.2">
      <c r="A92" t="s">
        <v>1913</v>
      </c>
      <c r="B92" s="1" t="s">
        <v>1915</v>
      </c>
      <c r="C92" t="s">
        <v>564</v>
      </c>
      <c r="D92" s="1" t="s">
        <v>565</v>
      </c>
      <c r="E92" t="b">
        <v>0</v>
      </c>
      <c r="F92">
        <v>998</v>
      </c>
      <c r="G92">
        <v>1</v>
      </c>
      <c r="H92" t="s">
        <v>359</v>
      </c>
      <c r="I92" t="b">
        <v>0</v>
      </c>
      <c r="J92" cm="1">
        <f t="array" ref="J92">sentimentCalc(B92)</f>
        <v>0</v>
      </c>
      <c r="K92" t="str" cm="1">
        <f t="array" ref="K92">sentimentCategory(J92)</f>
        <v>Neutral</v>
      </c>
    </row>
    <row r="93" spans="1:11" ht="17" x14ac:dyDescent="0.2">
      <c r="A93" t="s">
        <v>2666</v>
      </c>
      <c r="B93" s="1" t="s">
        <v>2667</v>
      </c>
      <c r="C93" t="s">
        <v>564</v>
      </c>
      <c r="D93" s="1" t="s">
        <v>565</v>
      </c>
      <c r="E93" t="b">
        <v>0</v>
      </c>
      <c r="F93">
        <v>998</v>
      </c>
      <c r="G93">
        <v>1</v>
      </c>
      <c r="H93" t="s">
        <v>359</v>
      </c>
      <c r="I93" t="b">
        <v>0</v>
      </c>
      <c r="J93" cm="1">
        <f t="array" ref="J93">sentimentCalc(B93)</f>
        <v>0</v>
      </c>
      <c r="K93" t="str" cm="1">
        <f t="array" ref="K93">sentimentCategory(J93)</f>
        <v>Neutral</v>
      </c>
    </row>
    <row r="94" spans="1:11" ht="17" x14ac:dyDescent="0.2">
      <c r="A94" t="s">
        <v>7050</v>
      </c>
      <c r="B94" s="1" t="s">
        <v>7051</v>
      </c>
      <c r="C94" t="s">
        <v>564</v>
      </c>
      <c r="D94" s="1" t="s">
        <v>565</v>
      </c>
      <c r="E94" t="b">
        <v>0</v>
      </c>
      <c r="F94">
        <v>997</v>
      </c>
      <c r="G94">
        <v>1</v>
      </c>
      <c r="H94" t="s">
        <v>359</v>
      </c>
      <c r="I94" t="b">
        <v>0</v>
      </c>
      <c r="J94" cm="1">
        <f t="array" ref="J94">sentimentCalc(B94)</f>
        <v>0</v>
      </c>
      <c r="K94" t="str" cm="1">
        <f t="array" ref="K94">sentimentCategory(J94)</f>
        <v>Neutral</v>
      </c>
    </row>
    <row r="95" spans="1:11" ht="17" x14ac:dyDescent="0.2">
      <c r="A95" t="s">
        <v>5610</v>
      </c>
      <c r="B95" s="1" t="s">
        <v>5612</v>
      </c>
      <c r="C95" t="s">
        <v>564</v>
      </c>
      <c r="D95" s="1" t="s">
        <v>565</v>
      </c>
      <c r="E95" t="b">
        <v>0</v>
      </c>
      <c r="F95">
        <v>997</v>
      </c>
      <c r="G95">
        <v>1</v>
      </c>
      <c r="H95" t="s">
        <v>359</v>
      </c>
      <c r="I95" t="b">
        <v>0</v>
      </c>
      <c r="J95" cm="1">
        <f t="array" ref="J95">sentimentCalc(B95)</f>
        <v>0</v>
      </c>
      <c r="K95" t="str" cm="1">
        <f t="array" ref="K95">sentimentCategory(J95)</f>
        <v>Neutral</v>
      </c>
    </row>
    <row r="96" spans="1:11" ht="17" x14ac:dyDescent="0.2">
      <c r="A96" t="s">
        <v>4250</v>
      </c>
      <c r="B96" s="1" t="s">
        <v>4254</v>
      </c>
      <c r="C96" t="s">
        <v>564</v>
      </c>
      <c r="D96" s="1" t="s">
        <v>565</v>
      </c>
      <c r="E96" t="b">
        <v>0</v>
      </c>
      <c r="F96">
        <v>997</v>
      </c>
      <c r="G96">
        <v>1</v>
      </c>
      <c r="H96" t="s">
        <v>359</v>
      </c>
      <c r="I96" t="b">
        <v>0</v>
      </c>
      <c r="J96" cm="1">
        <f t="array" ref="J96">sentimentCalc(B96)</f>
        <v>0</v>
      </c>
      <c r="K96" t="str" cm="1">
        <f t="array" ref="K96">sentimentCategory(J96)</f>
        <v>Neutral</v>
      </c>
    </row>
    <row r="97" spans="1:11" ht="17" x14ac:dyDescent="0.2">
      <c r="A97" t="s">
        <v>4972</v>
      </c>
      <c r="B97" s="1" t="s">
        <v>4973</v>
      </c>
      <c r="C97" t="s">
        <v>564</v>
      </c>
      <c r="D97" s="1" t="s">
        <v>565</v>
      </c>
      <c r="E97" t="b">
        <v>0</v>
      </c>
      <c r="F97">
        <v>997</v>
      </c>
      <c r="G97">
        <v>1</v>
      </c>
      <c r="H97" t="s">
        <v>359</v>
      </c>
      <c r="I97" t="b">
        <v>0</v>
      </c>
      <c r="J97" cm="1">
        <f t="array" ref="J97">sentimentCalc(B97)</f>
        <v>0</v>
      </c>
      <c r="K97" t="str" cm="1">
        <f t="array" ref="K97">sentimentCategory(J97)</f>
        <v>Neutral</v>
      </c>
    </row>
    <row r="98" spans="1:11" ht="17" x14ac:dyDescent="0.2">
      <c r="A98" t="s">
        <v>1171</v>
      </c>
      <c r="B98" s="1" t="s">
        <v>1175</v>
      </c>
      <c r="C98" t="s">
        <v>564</v>
      </c>
      <c r="D98" s="1" t="s">
        <v>565</v>
      </c>
      <c r="E98" t="b">
        <v>0</v>
      </c>
      <c r="F98">
        <v>998</v>
      </c>
      <c r="G98">
        <v>1</v>
      </c>
      <c r="H98" t="s">
        <v>359</v>
      </c>
      <c r="I98" t="b">
        <v>0</v>
      </c>
      <c r="J98" cm="1">
        <f t="array" ref="J98">sentimentCalc(B98)</f>
        <v>0</v>
      </c>
      <c r="K98" t="str" cm="1">
        <f t="array" ref="K98">sentimentCategory(J98)</f>
        <v>Neutral</v>
      </c>
    </row>
    <row r="99" spans="1:11" ht="17" x14ac:dyDescent="0.2">
      <c r="A99" t="s">
        <v>555</v>
      </c>
      <c r="B99" s="1" t="s">
        <v>563</v>
      </c>
      <c r="C99" t="s">
        <v>564</v>
      </c>
      <c r="D99" s="1" t="s">
        <v>565</v>
      </c>
      <c r="E99" t="b">
        <v>0</v>
      </c>
      <c r="F99">
        <v>998</v>
      </c>
      <c r="G99">
        <v>1</v>
      </c>
      <c r="H99" t="s">
        <v>359</v>
      </c>
      <c r="I99" t="b">
        <v>0</v>
      </c>
      <c r="J99" cm="1">
        <f t="array" ref="J99">sentimentCalc(B99)</f>
        <v>0</v>
      </c>
      <c r="K99" t="str" cm="1">
        <f t="array" ref="K99">sentimentCategory(J99)</f>
        <v>Neutral</v>
      </c>
    </row>
    <row r="100" spans="1:11" ht="17" x14ac:dyDescent="0.2">
      <c r="A100" t="s">
        <v>36</v>
      </c>
      <c r="B100" s="1" t="s">
        <v>37</v>
      </c>
      <c r="C100" t="s">
        <v>38</v>
      </c>
      <c r="D100" s="1" t="s">
        <v>39</v>
      </c>
      <c r="E100" t="b">
        <v>0</v>
      </c>
      <c r="F100">
        <v>2056</v>
      </c>
      <c r="G100">
        <v>453</v>
      </c>
      <c r="H100" t="s">
        <v>11</v>
      </c>
      <c r="I100" t="b">
        <v>0</v>
      </c>
      <c r="J100" cm="1">
        <f t="array" ref="J100">sentimentCalc(B100)</f>
        <v>0</v>
      </c>
      <c r="K100" t="str" cm="1">
        <f t="array" ref="K100">sentimentCategory(J100)</f>
        <v>Neutral</v>
      </c>
    </row>
    <row r="101" spans="1:11" ht="17" x14ac:dyDescent="0.2">
      <c r="A101" t="s">
        <v>859</v>
      </c>
      <c r="B101" s="1" t="s">
        <v>860</v>
      </c>
      <c r="C101" t="s">
        <v>45</v>
      </c>
      <c r="D101" s="1" t="s">
        <v>61</v>
      </c>
      <c r="E101" t="b">
        <v>0</v>
      </c>
      <c r="F101">
        <v>87</v>
      </c>
      <c r="G101">
        <v>237</v>
      </c>
      <c r="H101" t="s">
        <v>11</v>
      </c>
      <c r="I101" t="b">
        <v>0</v>
      </c>
      <c r="J101" cm="1">
        <f t="array" ref="J101">sentimentCalc(B101)</f>
        <v>0</v>
      </c>
      <c r="K101" t="str" cm="1">
        <f t="array" ref="K101">sentimentCategory(J101)</f>
        <v>Neutral</v>
      </c>
    </row>
    <row r="102" spans="1:11" ht="17" x14ac:dyDescent="0.2">
      <c r="A102" t="s">
        <v>59</v>
      </c>
      <c r="B102" s="1" t="s">
        <v>60</v>
      </c>
      <c r="C102" t="s">
        <v>45</v>
      </c>
      <c r="D102" s="1" t="s">
        <v>61</v>
      </c>
      <c r="E102" t="b">
        <v>0</v>
      </c>
      <c r="F102">
        <v>87</v>
      </c>
      <c r="G102">
        <v>237</v>
      </c>
      <c r="H102" t="s">
        <v>11</v>
      </c>
      <c r="I102" t="b">
        <v>0</v>
      </c>
      <c r="J102" cm="1">
        <f t="array" ref="J102">sentimentCalc(B102)</f>
        <v>0</v>
      </c>
      <c r="K102" t="str" cm="1">
        <f t="array" ref="K102">sentimentCategory(J102)</f>
        <v>Neutral</v>
      </c>
    </row>
    <row r="103" spans="1:11" ht="17" x14ac:dyDescent="0.2">
      <c r="A103" t="s">
        <v>615</v>
      </c>
      <c r="B103" s="1" t="s">
        <v>616</v>
      </c>
      <c r="C103" t="s">
        <v>617</v>
      </c>
      <c r="D103" s="1" t="s">
        <v>618</v>
      </c>
      <c r="E103" t="b">
        <v>0</v>
      </c>
      <c r="F103">
        <v>13371</v>
      </c>
      <c r="G103">
        <v>13241</v>
      </c>
      <c r="H103" t="s">
        <v>11</v>
      </c>
      <c r="I103" t="b">
        <v>0</v>
      </c>
      <c r="J103" cm="1">
        <f t="array" ref="J103">sentimentCalc(B103)</f>
        <v>0</v>
      </c>
      <c r="K103" t="str" cm="1">
        <f t="array" ref="K103">sentimentCategory(J103)</f>
        <v>Neutral</v>
      </c>
    </row>
    <row r="104" spans="1:11" ht="17" x14ac:dyDescent="0.2">
      <c r="A104" t="s">
        <v>774</v>
      </c>
      <c r="B104" s="1" t="s">
        <v>775</v>
      </c>
      <c r="C104" t="s">
        <v>45</v>
      </c>
      <c r="D104" s="1" t="s">
        <v>61</v>
      </c>
      <c r="E104" t="b">
        <v>0</v>
      </c>
      <c r="F104">
        <v>87</v>
      </c>
      <c r="G104">
        <v>237</v>
      </c>
      <c r="H104" t="s">
        <v>11</v>
      </c>
      <c r="I104" t="b">
        <v>0</v>
      </c>
      <c r="J104" cm="1">
        <f t="array" ref="J104">sentimentCalc(B104)</f>
        <v>0</v>
      </c>
      <c r="K104" t="str" cm="1">
        <f t="array" ref="K104">sentimentCategory(J104)</f>
        <v>Neutral</v>
      </c>
    </row>
    <row r="105" spans="1:11" ht="34" x14ac:dyDescent="0.2">
      <c r="A105" t="s">
        <v>669</v>
      </c>
      <c r="B105" s="1" t="s">
        <v>670</v>
      </c>
      <c r="C105" t="s">
        <v>671</v>
      </c>
      <c r="D105" s="1" t="s">
        <v>672</v>
      </c>
      <c r="E105" t="b">
        <v>0</v>
      </c>
      <c r="F105">
        <v>4758</v>
      </c>
      <c r="G105">
        <v>3442</v>
      </c>
      <c r="H105" t="s">
        <v>11</v>
      </c>
      <c r="I105" t="b">
        <v>0</v>
      </c>
      <c r="J105" cm="1">
        <f t="array" ref="J105">sentimentCalc(B105)</f>
        <v>0</v>
      </c>
      <c r="K105" t="str" cm="1">
        <f t="array" ref="K105">sentimentCategory(J105)</f>
        <v>Neutral</v>
      </c>
    </row>
    <row r="106" spans="1:11" ht="17" x14ac:dyDescent="0.2">
      <c r="A106" t="s">
        <v>1208</v>
      </c>
      <c r="B106" s="1" t="s">
        <v>1209</v>
      </c>
      <c r="C106" t="s">
        <v>617</v>
      </c>
      <c r="D106" s="1" t="s">
        <v>618</v>
      </c>
      <c r="E106" t="b">
        <v>0</v>
      </c>
      <c r="F106">
        <v>13379</v>
      </c>
      <c r="G106">
        <v>13242</v>
      </c>
      <c r="H106" t="s">
        <v>11</v>
      </c>
      <c r="I106" t="b">
        <v>0</v>
      </c>
      <c r="J106" cm="1">
        <f t="array" ref="J106">sentimentCalc(B106)</f>
        <v>0</v>
      </c>
      <c r="K106" t="str" cm="1">
        <f t="array" ref="K106">sentimentCategory(J106)</f>
        <v>Neutral</v>
      </c>
    </row>
    <row r="107" spans="1:11" ht="34" x14ac:dyDescent="0.2">
      <c r="A107" t="s">
        <v>1222</v>
      </c>
      <c r="B107" s="1" t="s">
        <v>1223</v>
      </c>
      <c r="C107" t="s">
        <v>623</v>
      </c>
      <c r="D107" s="1" t="s">
        <v>624</v>
      </c>
      <c r="E107" t="b">
        <v>0</v>
      </c>
      <c r="F107">
        <v>3565</v>
      </c>
      <c r="G107">
        <v>88</v>
      </c>
      <c r="H107" t="s">
        <v>11</v>
      </c>
      <c r="I107" t="b">
        <v>0</v>
      </c>
      <c r="J107" cm="1">
        <f t="array" ref="J107">sentimentCalc(B107)</f>
        <v>0</v>
      </c>
      <c r="K107" t="str" cm="1">
        <f t="array" ref="K107">sentimentCategory(J107)</f>
        <v>Neutral</v>
      </c>
    </row>
    <row r="108" spans="1:11" ht="34" x14ac:dyDescent="0.2">
      <c r="A108" t="s">
        <v>1239</v>
      </c>
      <c r="B108" s="1" t="s">
        <v>1240</v>
      </c>
      <c r="C108" t="s">
        <v>671</v>
      </c>
      <c r="D108" s="1" t="s">
        <v>672</v>
      </c>
      <c r="E108" t="b">
        <v>0</v>
      </c>
      <c r="F108">
        <v>4758</v>
      </c>
      <c r="G108">
        <v>3442</v>
      </c>
      <c r="H108" t="s">
        <v>11</v>
      </c>
      <c r="I108" t="b">
        <v>0</v>
      </c>
      <c r="J108" cm="1">
        <f t="array" ref="J108">sentimentCalc(B108)</f>
        <v>0</v>
      </c>
      <c r="K108" t="str" cm="1">
        <f t="array" ref="K108">sentimentCategory(J108)</f>
        <v>Neutral</v>
      </c>
    </row>
    <row r="109" spans="1:11" ht="17" x14ac:dyDescent="0.2">
      <c r="A109" t="s">
        <v>5054</v>
      </c>
      <c r="B109" s="1" t="s">
        <v>5055</v>
      </c>
      <c r="C109" t="s">
        <v>617</v>
      </c>
      <c r="D109" s="1" t="s">
        <v>618</v>
      </c>
      <c r="E109" t="b">
        <v>0</v>
      </c>
      <c r="F109">
        <v>13393</v>
      </c>
      <c r="G109">
        <v>13241</v>
      </c>
      <c r="H109" t="s">
        <v>11</v>
      </c>
      <c r="I109" t="b">
        <v>0</v>
      </c>
      <c r="J109" cm="1">
        <f t="array" ref="J109">sentimentCalc(B109)</f>
        <v>0</v>
      </c>
      <c r="K109" t="str" cm="1">
        <f t="array" ref="K109">sentimentCategory(J109)</f>
        <v>Neutral</v>
      </c>
    </row>
    <row r="110" spans="1:11" ht="34" x14ac:dyDescent="0.2">
      <c r="A110" t="s">
        <v>5054</v>
      </c>
      <c r="B110" s="1" t="s">
        <v>5056</v>
      </c>
      <c r="C110" t="s">
        <v>623</v>
      </c>
      <c r="D110" s="1" t="s">
        <v>624</v>
      </c>
      <c r="E110" t="b">
        <v>0</v>
      </c>
      <c r="F110">
        <v>3563</v>
      </c>
      <c r="G110">
        <v>88</v>
      </c>
      <c r="H110" t="s">
        <v>11</v>
      </c>
      <c r="I110" t="b">
        <v>0</v>
      </c>
      <c r="J110" cm="1">
        <f t="array" ref="J110">sentimentCalc(B110)</f>
        <v>0</v>
      </c>
      <c r="K110" t="str" cm="1">
        <f t="array" ref="K110">sentimentCategory(J110)</f>
        <v>Neutral</v>
      </c>
    </row>
    <row r="111" spans="1:11" ht="34" x14ac:dyDescent="0.2">
      <c r="A111" t="s">
        <v>5070</v>
      </c>
      <c r="B111" s="1" t="s">
        <v>5071</v>
      </c>
      <c r="C111" t="s">
        <v>671</v>
      </c>
      <c r="D111" s="1" t="s">
        <v>672</v>
      </c>
      <c r="E111" t="b">
        <v>0</v>
      </c>
      <c r="F111">
        <v>4757</v>
      </c>
      <c r="G111">
        <v>3442</v>
      </c>
      <c r="H111" t="s">
        <v>11</v>
      </c>
      <c r="I111" t="b">
        <v>0</v>
      </c>
      <c r="J111" cm="1">
        <f t="array" ref="J111">sentimentCalc(B111)</f>
        <v>0</v>
      </c>
      <c r="K111" t="str" cm="1">
        <f t="array" ref="K111">sentimentCategory(J111)</f>
        <v>Neutral</v>
      </c>
    </row>
    <row r="112" spans="1:11" ht="17" x14ac:dyDescent="0.2">
      <c r="A112" t="s">
        <v>3556</v>
      </c>
      <c r="B112" s="1" t="s">
        <v>3557</v>
      </c>
      <c r="C112" t="s">
        <v>617</v>
      </c>
      <c r="D112" s="1" t="s">
        <v>618</v>
      </c>
      <c r="E112" t="b">
        <v>0</v>
      </c>
      <c r="F112">
        <v>13390</v>
      </c>
      <c r="G112">
        <v>13241</v>
      </c>
      <c r="H112" t="s">
        <v>11</v>
      </c>
      <c r="I112" t="b">
        <v>0</v>
      </c>
      <c r="J112" cm="1">
        <f t="array" ref="J112">sentimentCalc(B112)</f>
        <v>0</v>
      </c>
      <c r="K112" t="str" cm="1">
        <f t="array" ref="K112">sentimentCategory(J112)</f>
        <v>Neutral</v>
      </c>
    </row>
    <row r="113" spans="1:11" ht="17" x14ac:dyDescent="0.2">
      <c r="A113" t="s">
        <v>3522</v>
      </c>
      <c r="B113" s="1" t="s">
        <v>3523</v>
      </c>
      <c r="C113" t="s">
        <v>387</v>
      </c>
      <c r="D113" s="1" t="s">
        <v>1435</v>
      </c>
      <c r="E113" t="b">
        <v>0</v>
      </c>
      <c r="F113">
        <v>32</v>
      </c>
      <c r="G113">
        <v>141</v>
      </c>
      <c r="H113" t="s">
        <v>11</v>
      </c>
      <c r="I113" t="b">
        <v>0</v>
      </c>
      <c r="J113" cm="1">
        <f t="array" ref="J113">sentimentCalc(B113)</f>
        <v>0</v>
      </c>
      <c r="K113" t="str" cm="1">
        <f t="array" ref="K113">sentimentCategory(J113)</f>
        <v>Neutral</v>
      </c>
    </row>
    <row r="114" spans="1:11" ht="34" x14ac:dyDescent="0.2">
      <c r="A114" t="s">
        <v>3554</v>
      </c>
      <c r="B114" s="1" t="s">
        <v>3555</v>
      </c>
      <c r="C114" t="s">
        <v>671</v>
      </c>
      <c r="D114" s="1" t="s">
        <v>672</v>
      </c>
      <c r="E114" t="b">
        <v>0</v>
      </c>
      <c r="F114">
        <v>4758</v>
      </c>
      <c r="G114">
        <v>3442</v>
      </c>
      <c r="H114" t="s">
        <v>11</v>
      </c>
      <c r="I114" t="b">
        <v>0</v>
      </c>
      <c r="J114" cm="1">
        <f t="array" ref="J114">sentimentCalc(B114)</f>
        <v>0</v>
      </c>
      <c r="K114" t="str" cm="1">
        <f t="array" ref="K114">sentimentCategory(J114)</f>
        <v>Neutral</v>
      </c>
    </row>
    <row r="115" spans="1:11" ht="17" x14ac:dyDescent="0.2">
      <c r="A115" t="s">
        <v>1936</v>
      </c>
      <c r="B115" s="1" t="s">
        <v>1937</v>
      </c>
      <c r="C115" t="s">
        <v>38</v>
      </c>
      <c r="D115" s="1" t="s">
        <v>39</v>
      </c>
      <c r="E115" t="b">
        <v>0</v>
      </c>
      <c r="F115">
        <v>2057</v>
      </c>
      <c r="G115">
        <v>453</v>
      </c>
      <c r="H115" t="s">
        <v>11</v>
      </c>
      <c r="I115" t="b">
        <v>0</v>
      </c>
      <c r="J115" cm="1">
        <f t="array" ref="J115">sentimentCalc(B115)</f>
        <v>0</v>
      </c>
      <c r="K115" t="str" cm="1">
        <f t="array" ref="K115">sentimentCategory(J115)</f>
        <v>Neutral</v>
      </c>
    </row>
    <row r="116" spans="1:11" ht="34" x14ac:dyDescent="0.2">
      <c r="A116" t="s">
        <v>1970</v>
      </c>
      <c r="B116" s="1" t="s">
        <v>1971</v>
      </c>
      <c r="C116" t="s">
        <v>623</v>
      </c>
      <c r="D116" s="1" t="s">
        <v>624</v>
      </c>
      <c r="E116" t="b">
        <v>0</v>
      </c>
      <c r="F116">
        <v>3564</v>
      </c>
      <c r="G116">
        <v>88</v>
      </c>
      <c r="H116" t="s">
        <v>11</v>
      </c>
      <c r="I116" t="b">
        <v>0</v>
      </c>
      <c r="J116" cm="1">
        <f t="array" ref="J116">sentimentCalc(B116)</f>
        <v>0</v>
      </c>
      <c r="K116" t="str" cm="1">
        <f t="array" ref="K116">sentimentCategory(J116)</f>
        <v>Neutral</v>
      </c>
    </row>
    <row r="117" spans="1:11" ht="34" x14ac:dyDescent="0.2">
      <c r="A117" t="s">
        <v>1965</v>
      </c>
      <c r="B117" s="1" t="s">
        <v>1966</v>
      </c>
      <c r="C117" t="s">
        <v>671</v>
      </c>
      <c r="D117" s="1" t="s">
        <v>672</v>
      </c>
      <c r="E117" t="b">
        <v>0</v>
      </c>
      <c r="F117">
        <v>4758</v>
      </c>
      <c r="G117">
        <v>3442</v>
      </c>
      <c r="H117" t="s">
        <v>11</v>
      </c>
      <c r="I117" t="b">
        <v>0</v>
      </c>
      <c r="J117" cm="1">
        <f t="array" ref="J117">sentimentCalc(B117)</f>
        <v>0</v>
      </c>
      <c r="K117" t="str" cm="1">
        <f t="array" ref="K117">sentimentCategory(J117)</f>
        <v>Neutral</v>
      </c>
    </row>
    <row r="118" spans="1:11" ht="17" x14ac:dyDescent="0.2">
      <c r="A118" t="s">
        <v>7077</v>
      </c>
      <c r="B118" s="1" t="s">
        <v>7078</v>
      </c>
      <c r="C118" t="s">
        <v>617</v>
      </c>
      <c r="D118" s="1" t="s">
        <v>618</v>
      </c>
      <c r="E118" t="b">
        <v>0</v>
      </c>
      <c r="F118">
        <v>13405</v>
      </c>
      <c r="G118">
        <v>13240</v>
      </c>
      <c r="H118" t="s">
        <v>11</v>
      </c>
      <c r="I118" t="b">
        <v>0</v>
      </c>
      <c r="J118" cm="1">
        <f t="array" ref="J118">sentimentCalc(B118)</f>
        <v>0</v>
      </c>
      <c r="K118" t="str" cm="1">
        <f t="array" ref="K118">sentimentCategory(J118)</f>
        <v>Neutral</v>
      </c>
    </row>
    <row r="119" spans="1:11" ht="17" x14ac:dyDescent="0.2">
      <c r="A119" t="s">
        <v>7113</v>
      </c>
      <c r="B119" s="1" t="s">
        <v>7115</v>
      </c>
      <c r="C119" t="s">
        <v>387</v>
      </c>
      <c r="D119" s="1" t="s">
        <v>1435</v>
      </c>
      <c r="E119" t="b">
        <v>0</v>
      </c>
      <c r="F119">
        <v>32</v>
      </c>
      <c r="G119">
        <v>141</v>
      </c>
      <c r="H119" t="s">
        <v>11</v>
      </c>
      <c r="I119" t="b">
        <v>0</v>
      </c>
      <c r="J119" cm="1">
        <f t="array" ref="J119">sentimentCalc(B119)</f>
        <v>0</v>
      </c>
      <c r="K119" t="str" cm="1">
        <f t="array" ref="K119">sentimentCategory(J119)</f>
        <v>Neutral</v>
      </c>
    </row>
    <row r="120" spans="1:11" ht="34" x14ac:dyDescent="0.2">
      <c r="A120" t="s">
        <v>7101</v>
      </c>
      <c r="B120" s="1" t="s">
        <v>7102</v>
      </c>
      <c r="C120" t="s">
        <v>671</v>
      </c>
      <c r="D120" s="1" t="s">
        <v>672</v>
      </c>
      <c r="E120" t="b">
        <v>0</v>
      </c>
      <c r="F120">
        <v>4757</v>
      </c>
      <c r="G120">
        <v>3442</v>
      </c>
      <c r="H120" t="s">
        <v>11</v>
      </c>
      <c r="I120" t="b">
        <v>0</v>
      </c>
      <c r="J120" cm="1">
        <f t="array" ref="J120">sentimentCalc(B120)</f>
        <v>0</v>
      </c>
      <c r="K120" t="str" cm="1">
        <f t="array" ref="K120">sentimentCategory(J120)</f>
        <v>Neutral</v>
      </c>
    </row>
    <row r="121" spans="1:11" ht="17" x14ac:dyDescent="0.2">
      <c r="A121" t="s">
        <v>6436</v>
      </c>
      <c r="B121" s="1" t="s">
        <v>6437</v>
      </c>
      <c r="C121" t="s">
        <v>617</v>
      </c>
      <c r="D121" s="1" t="s">
        <v>618</v>
      </c>
      <c r="E121" t="b">
        <v>0</v>
      </c>
      <c r="F121">
        <v>13401</v>
      </c>
      <c r="G121">
        <v>13241</v>
      </c>
      <c r="H121" t="s">
        <v>11</v>
      </c>
      <c r="I121" t="b">
        <v>0</v>
      </c>
      <c r="J121" cm="1">
        <f t="array" ref="J121">sentimentCalc(B121)</f>
        <v>0</v>
      </c>
      <c r="K121" t="str" cm="1">
        <f t="array" ref="K121">sentimentCategory(J121)</f>
        <v>Neutral</v>
      </c>
    </row>
    <row r="122" spans="1:11" ht="17" x14ac:dyDescent="0.2">
      <c r="A122" t="s">
        <v>6451</v>
      </c>
      <c r="B122" s="1" t="s">
        <v>6452</v>
      </c>
      <c r="C122" t="s">
        <v>387</v>
      </c>
      <c r="D122" s="1" t="s">
        <v>1435</v>
      </c>
      <c r="E122" t="b">
        <v>0</v>
      </c>
      <c r="F122">
        <v>32</v>
      </c>
      <c r="G122">
        <v>141</v>
      </c>
      <c r="H122" t="s">
        <v>11</v>
      </c>
      <c r="I122" t="b">
        <v>0</v>
      </c>
      <c r="J122" cm="1">
        <f t="array" ref="J122">sentimentCalc(B122)</f>
        <v>0</v>
      </c>
      <c r="K122" t="str" cm="1">
        <f t="array" ref="K122">sentimentCategory(J122)</f>
        <v>Neutral</v>
      </c>
    </row>
    <row r="123" spans="1:11" ht="34" x14ac:dyDescent="0.2">
      <c r="A123" t="s">
        <v>6443</v>
      </c>
      <c r="B123" s="1" t="s">
        <v>6444</v>
      </c>
      <c r="C123" t="s">
        <v>671</v>
      </c>
      <c r="D123" s="1" t="s">
        <v>672</v>
      </c>
      <c r="E123" t="b">
        <v>0</v>
      </c>
      <c r="F123">
        <v>4757</v>
      </c>
      <c r="G123">
        <v>3442</v>
      </c>
      <c r="H123" t="s">
        <v>11</v>
      </c>
      <c r="I123" t="b">
        <v>0</v>
      </c>
      <c r="J123" cm="1">
        <f t="array" ref="J123">sentimentCalc(B123)</f>
        <v>0</v>
      </c>
      <c r="K123" t="str" cm="1">
        <f t="array" ref="K123">sentimentCategory(J123)</f>
        <v>Neutral</v>
      </c>
    </row>
    <row r="124" spans="1:11" ht="17" x14ac:dyDescent="0.2">
      <c r="A124" t="s">
        <v>4294</v>
      </c>
      <c r="B124" s="1" t="s">
        <v>4295</v>
      </c>
      <c r="C124" t="s">
        <v>4296</v>
      </c>
      <c r="D124" s="1" t="s">
        <v>2109</v>
      </c>
      <c r="E124" t="b">
        <v>0</v>
      </c>
      <c r="F124">
        <v>3542</v>
      </c>
      <c r="G124">
        <v>3480</v>
      </c>
      <c r="H124" t="s">
        <v>11</v>
      </c>
      <c r="I124" t="b">
        <v>0</v>
      </c>
      <c r="J124" cm="1">
        <f t="array" ref="J124">sentimentCalc(B124)</f>
        <v>0</v>
      </c>
      <c r="K124" t="str" cm="1">
        <f t="array" ref="K124">sentimentCategory(J124)</f>
        <v>Neutral</v>
      </c>
    </row>
    <row r="125" spans="1:11" ht="17" x14ac:dyDescent="0.2">
      <c r="A125" t="s">
        <v>4302</v>
      </c>
      <c r="B125" s="1" t="s">
        <v>4303</v>
      </c>
      <c r="C125" t="s">
        <v>387</v>
      </c>
      <c r="D125" s="1" t="s">
        <v>1435</v>
      </c>
      <c r="E125" t="b">
        <v>0</v>
      </c>
      <c r="F125">
        <v>32</v>
      </c>
      <c r="G125">
        <v>141</v>
      </c>
      <c r="H125" t="s">
        <v>11</v>
      </c>
      <c r="I125" t="b">
        <v>0</v>
      </c>
      <c r="J125" cm="1">
        <f t="array" ref="J125">sentimentCalc(B125)</f>
        <v>0</v>
      </c>
      <c r="K125" t="str" cm="1">
        <f t="array" ref="K125">sentimentCategory(J125)</f>
        <v>Neutral</v>
      </c>
    </row>
    <row r="126" spans="1:11" ht="34" x14ac:dyDescent="0.2">
      <c r="A126" t="s">
        <v>4281</v>
      </c>
      <c r="B126" s="1" t="s">
        <v>4282</v>
      </c>
      <c r="C126" t="s">
        <v>671</v>
      </c>
      <c r="D126" s="1" t="s">
        <v>672</v>
      </c>
      <c r="E126" t="b">
        <v>0</v>
      </c>
      <c r="F126">
        <v>4758</v>
      </c>
      <c r="G126">
        <v>3442</v>
      </c>
      <c r="H126" t="s">
        <v>11</v>
      </c>
      <c r="I126" t="b">
        <v>0</v>
      </c>
      <c r="J126" cm="1">
        <f t="array" ref="J126">sentimentCalc(B126)</f>
        <v>0</v>
      </c>
      <c r="K126" t="str" cm="1">
        <f t="array" ref="K126">sentimentCategory(J126)</f>
        <v>Neutral</v>
      </c>
    </row>
    <row r="127" spans="1:11" ht="17" x14ac:dyDescent="0.2">
      <c r="A127" t="s">
        <v>2703</v>
      </c>
      <c r="B127" s="1" t="s">
        <v>2704</v>
      </c>
      <c r="C127" t="s">
        <v>2705</v>
      </c>
      <c r="D127" s="1" t="s">
        <v>2</v>
      </c>
      <c r="E127" t="b">
        <v>0</v>
      </c>
      <c r="F127">
        <v>15</v>
      </c>
      <c r="G127">
        <v>18</v>
      </c>
      <c r="H127" t="s">
        <v>641</v>
      </c>
      <c r="I127" t="b">
        <v>0</v>
      </c>
      <c r="J127" cm="1">
        <f t="array" ref="J127">sentimentCalc(B127)</f>
        <v>0</v>
      </c>
      <c r="K127" t="str" cm="1">
        <f t="array" ref="K127">sentimentCategory(J127)</f>
        <v>Neutral</v>
      </c>
    </row>
    <row r="128" spans="1:11" ht="17" x14ac:dyDescent="0.2">
      <c r="A128" t="s">
        <v>2696</v>
      </c>
      <c r="B128" s="1" t="s">
        <v>2700</v>
      </c>
      <c r="C128" t="s">
        <v>2701</v>
      </c>
      <c r="D128" s="1" t="s">
        <v>2702</v>
      </c>
      <c r="E128" t="b">
        <v>1</v>
      </c>
      <c r="F128">
        <v>20127</v>
      </c>
      <c r="G128">
        <v>14655</v>
      </c>
      <c r="H128" t="s">
        <v>11</v>
      </c>
      <c r="I128" t="b">
        <v>0</v>
      </c>
      <c r="J128" cm="1">
        <f t="array" ref="J128">sentimentCalc(B128)</f>
        <v>0</v>
      </c>
      <c r="K128" t="str" cm="1">
        <f t="array" ref="K128">sentimentCategory(J128)</f>
        <v>Neutral</v>
      </c>
    </row>
    <row r="129" spans="1:11" ht="34" x14ac:dyDescent="0.2">
      <c r="A129" t="s">
        <v>2692</v>
      </c>
      <c r="B129" s="1" t="s">
        <v>2693</v>
      </c>
      <c r="C129" t="s">
        <v>623</v>
      </c>
      <c r="D129" s="1" t="s">
        <v>624</v>
      </c>
      <c r="E129" t="b">
        <v>0</v>
      </c>
      <c r="F129">
        <v>3565</v>
      </c>
      <c r="G129">
        <v>88</v>
      </c>
      <c r="H129" t="s">
        <v>11</v>
      </c>
      <c r="I129" t="b">
        <v>0</v>
      </c>
      <c r="J129" cm="1">
        <f t="array" ref="J129">sentimentCalc(B129)</f>
        <v>0</v>
      </c>
      <c r="K129" t="str" cm="1">
        <f t="array" ref="K129">sentimentCategory(J129)</f>
        <v>Neutral</v>
      </c>
    </row>
    <row r="130" spans="1:11" ht="34" x14ac:dyDescent="0.2">
      <c r="A130" t="s">
        <v>2683</v>
      </c>
      <c r="B130" s="1" t="s">
        <v>2684</v>
      </c>
      <c r="C130" t="s">
        <v>671</v>
      </c>
      <c r="D130" s="1" t="s">
        <v>672</v>
      </c>
      <c r="E130" t="b">
        <v>0</v>
      </c>
      <c r="F130">
        <v>4758</v>
      </c>
      <c r="G130">
        <v>3442</v>
      </c>
      <c r="H130" t="s">
        <v>11</v>
      </c>
      <c r="I130" t="b">
        <v>0</v>
      </c>
      <c r="J130" cm="1">
        <f t="array" ref="J130">sentimentCalc(B130)</f>
        <v>0</v>
      </c>
      <c r="K130" t="str" cm="1">
        <f t="array" ref="K130">sentimentCategory(J130)</f>
        <v>Neutral</v>
      </c>
    </row>
    <row r="131" spans="1:11" ht="17" x14ac:dyDescent="0.2">
      <c r="A131" t="s">
        <v>5658</v>
      </c>
      <c r="B131" s="1" t="s">
        <v>5659</v>
      </c>
      <c r="C131" t="s">
        <v>617</v>
      </c>
      <c r="D131" s="1" t="s">
        <v>618</v>
      </c>
      <c r="E131" t="b">
        <v>0</v>
      </c>
      <c r="F131">
        <v>13398</v>
      </c>
      <c r="G131">
        <v>13241</v>
      </c>
      <c r="H131" t="s">
        <v>11</v>
      </c>
      <c r="I131" t="b">
        <v>0</v>
      </c>
      <c r="J131" cm="1">
        <f t="array" ref="J131">sentimentCalc(B131)</f>
        <v>0</v>
      </c>
      <c r="K131" t="str" cm="1">
        <f t="array" ref="K131">sentimentCategory(J131)</f>
        <v>Neutral</v>
      </c>
    </row>
    <row r="132" spans="1:11" ht="17" x14ac:dyDescent="0.2">
      <c r="A132" t="s">
        <v>5650</v>
      </c>
      <c r="B132" s="1" t="s">
        <v>5651</v>
      </c>
      <c r="C132" t="s">
        <v>387</v>
      </c>
      <c r="D132" s="1" t="s">
        <v>1435</v>
      </c>
      <c r="E132" t="b">
        <v>0</v>
      </c>
      <c r="F132">
        <v>32</v>
      </c>
      <c r="G132">
        <v>141</v>
      </c>
      <c r="H132" t="s">
        <v>11</v>
      </c>
      <c r="I132" t="b">
        <v>0</v>
      </c>
      <c r="J132" cm="1">
        <f t="array" ref="J132">sentimentCalc(B132)</f>
        <v>0</v>
      </c>
      <c r="K132" t="str" cm="1">
        <f t="array" ref="K132">sentimentCategory(J132)</f>
        <v>Neutral</v>
      </c>
    </row>
    <row r="133" spans="1:11" ht="34" x14ac:dyDescent="0.2">
      <c r="A133" t="s">
        <v>5637</v>
      </c>
      <c r="B133" s="1" t="s">
        <v>5638</v>
      </c>
      <c r="C133" t="s">
        <v>671</v>
      </c>
      <c r="D133" s="1" t="s">
        <v>672</v>
      </c>
      <c r="E133" t="b">
        <v>0</v>
      </c>
      <c r="F133">
        <v>4757</v>
      </c>
      <c r="G133">
        <v>3442</v>
      </c>
      <c r="H133" t="s">
        <v>11</v>
      </c>
      <c r="I133" t="b">
        <v>0</v>
      </c>
      <c r="J133" cm="1">
        <f t="array" ref="J133">sentimentCalc(B133)</f>
        <v>0</v>
      </c>
      <c r="K133" t="str" cm="1">
        <f t="array" ref="K133">sentimentCategory(J133)</f>
        <v>Neutral</v>
      </c>
    </row>
    <row r="134" spans="1:11" ht="17" x14ac:dyDescent="0.2">
      <c r="A134" t="s">
        <v>5714</v>
      </c>
      <c r="B134" s="1" t="s">
        <v>5715</v>
      </c>
      <c r="C134" t="s">
        <v>584</v>
      </c>
      <c r="D134" s="1" t="s">
        <v>1978</v>
      </c>
      <c r="E134" t="b">
        <v>0</v>
      </c>
      <c r="F134">
        <v>186</v>
      </c>
      <c r="G134">
        <v>211</v>
      </c>
      <c r="H134" t="s">
        <v>641</v>
      </c>
      <c r="I134" t="b">
        <v>0</v>
      </c>
      <c r="J134" cm="1">
        <f t="array" ref="J134">sentimentCalc(B134)</f>
        <v>0</v>
      </c>
      <c r="K134" t="str" cm="1">
        <f t="array" ref="K134">sentimentCategory(J134)</f>
        <v>Neutral</v>
      </c>
    </row>
    <row r="135" spans="1:11" ht="17" x14ac:dyDescent="0.2">
      <c r="A135" t="s">
        <v>8</v>
      </c>
      <c r="B135" s="1" t="s">
        <v>9</v>
      </c>
      <c r="C135" t="s">
        <v>10</v>
      </c>
      <c r="D135" s="1" t="s">
        <v>2</v>
      </c>
      <c r="E135" t="b">
        <v>0</v>
      </c>
      <c r="F135">
        <v>44</v>
      </c>
      <c r="G135">
        <v>9</v>
      </c>
      <c r="H135" t="s">
        <v>11</v>
      </c>
      <c r="I135" t="b">
        <v>0</v>
      </c>
      <c r="J135" cm="1">
        <f t="array" ref="J135">sentimentCalc(B135)</f>
        <v>0</v>
      </c>
      <c r="K135" t="str" cm="1">
        <f t="array" ref="K135">sentimentCategory(J135)</f>
        <v>Neutral</v>
      </c>
    </row>
    <row r="136" spans="1:11" ht="17" x14ac:dyDescent="0.2">
      <c r="A136" t="s">
        <v>650</v>
      </c>
      <c r="B136" s="1" t="s">
        <v>651</v>
      </c>
      <c r="C136" t="s">
        <v>10</v>
      </c>
      <c r="D136" s="1" t="s">
        <v>2</v>
      </c>
      <c r="E136" t="b">
        <v>0</v>
      </c>
      <c r="F136">
        <v>44</v>
      </c>
      <c r="G136">
        <v>9</v>
      </c>
      <c r="H136" t="s">
        <v>11</v>
      </c>
      <c r="I136" t="b">
        <v>0</v>
      </c>
      <c r="J136" cm="1">
        <f t="array" ref="J136">sentimentCalc(B136)</f>
        <v>0</v>
      </c>
      <c r="K136" t="str" cm="1">
        <f t="array" ref="K136">sentimentCategory(J136)</f>
        <v>Neutral</v>
      </c>
    </row>
    <row r="137" spans="1:11" ht="17" x14ac:dyDescent="0.2">
      <c r="A137" t="s">
        <v>1255</v>
      </c>
      <c r="B137" s="1" t="s">
        <v>1256</v>
      </c>
      <c r="C137" t="s">
        <v>10</v>
      </c>
      <c r="D137" s="1" t="s">
        <v>2</v>
      </c>
      <c r="E137" t="b">
        <v>0</v>
      </c>
      <c r="F137">
        <v>44</v>
      </c>
      <c r="G137">
        <v>9</v>
      </c>
      <c r="H137" t="s">
        <v>11</v>
      </c>
      <c r="I137" t="b">
        <v>0</v>
      </c>
      <c r="J137" cm="1">
        <f t="array" ref="J137">sentimentCalc(B137)</f>
        <v>0</v>
      </c>
      <c r="K137" t="str" cm="1">
        <f t="array" ref="K137">sentimentCategory(J137)</f>
        <v>Neutral</v>
      </c>
    </row>
    <row r="138" spans="1:11" ht="17" x14ac:dyDescent="0.2">
      <c r="A138" t="s">
        <v>1241</v>
      </c>
      <c r="B138" s="1" t="s">
        <v>1242</v>
      </c>
      <c r="C138" t="s">
        <v>117</v>
      </c>
      <c r="D138" s="1" t="s">
        <v>2</v>
      </c>
      <c r="E138" t="b">
        <v>0</v>
      </c>
      <c r="F138">
        <v>18</v>
      </c>
      <c r="G138">
        <v>51</v>
      </c>
      <c r="H138" t="s">
        <v>83</v>
      </c>
      <c r="I138" t="b">
        <v>0</v>
      </c>
      <c r="J138" cm="1">
        <f t="array" ref="J138">sentimentCalc(B138)</f>
        <v>0</v>
      </c>
      <c r="K138" t="str" cm="1">
        <f t="array" ref="K138">sentimentCategory(J138)</f>
        <v>Neutral</v>
      </c>
    </row>
    <row r="139" spans="1:11" ht="17" x14ac:dyDescent="0.2">
      <c r="A139" t="s">
        <v>5006</v>
      </c>
      <c r="B139" s="1" t="s">
        <v>5007</v>
      </c>
      <c r="C139" t="s">
        <v>10</v>
      </c>
      <c r="D139" s="1" t="s">
        <v>2</v>
      </c>
      <c r="E139" t="b">
        <v>0</v>
      </c>
      <c r="F139">
        <v>44</v>
      </c>
      <c r="G139">
        <v>9</v>
      </c>
      <c r="H139" t="s">
        <v>11</v>
      </c>
      <c r="I139" t="b">
        <v>0</v>
      </c>
      <c r="J139" cm="1">
        <f t="array" ref="J139">sentimentCalc(B139)</f>
        <v>0</v>
      </c>
      <c r="K139" t="str" cm="1">
        <f t="array" ref="K139">sentimentCategory(J139)</f>
        <v>Neutral</v>
      </c>
    </row>
    <row r="140" spans="1:11" ht="17" x14ac:dyDescent="0.2">
      <c r="A140" t="s">
        <v>3505</v>
      </c>
      <c r="B140" s="1" t="s">
        <v>3506</v>
      </c>
      <c r="C140" t="s">
        <v>3439</v>
      </c>
      <c r="D140" s="1" t="s">
        <v>2</v>
      </c>
      <c r="E140" t="b">
        <v>0</v>
      </c>
      <c r="F140">
        <v>28</v>
      </c>
      <c r="G140">
        <v>42</v>
      </c>
      <c r="H140" t="s">
        <v>3</v>
      </c>
      <c r="I140" t="b">
        <v>0</v>
      </c>
      <c r="J140" cm="1">
        <f t="array" ref="J140">sentimentCalc(B140)</f>
        <v>0</v>
      </c>
      <c r="K140" t="str" cm="1">
        <f t="array" ref="K140">sentimentCategory(J140)</f>
        <v>Neutral</v>
      </c>
    </row>
    <row r="141" spans="1:11" ht="17" x14ac:dyDescent="0.2">
      <c r="A141" t="s">
        <v>1941</v>
      </c>
      <c r="B141" s="1" t="s">
        <v>1944</v>
      </c>
      <c r="C141" t="s">
        <v>10</v>
      </c>
      <c r="D141" s="1" t="s">
        <v>2</v>
      </c>
      <c r="E141" t="b">
        <v>0</v>
      </c>
      <c r="F141">
        <v>44</v>
      </c>
      <c r="G141">
        <v>9</v>
      </c>
      <c r="H141" t="s">
        <v>11</v>
      </c>
      <c r="I141" t="b">
        <v>0</v>
      </c>
      <c r="J141" cm="1">
        <f t="array" ref="J141">sentimentCalc(B141)</f>
        <v>0</v>
      </c>
      <c r="K141" t="str" cm="1">
        <f t="array" ref="K141">sentimentCategory(J141)</f>
        <v>Neutral</v>
      </c>
    </row>
    <row r="142" spans="1:11" ht="17" x14ac:dyDescent="0.2">
      <c r="A142" t="s">
        <v>7079</v>
      </c>
      <c r="B142" s="1" t="s">
        <v>7080</v>
      </c>
      <c r="C142" t="s">
        <v>10</v>
      </c>
      <c r="D142" s="1" t="s">
        <v>2</v>
      </c>
      <c r="E142" t="b">
        <v>0</v>
      </c>
      <c r="F142">
        <v>44</v>
      </c>
      <c r="G142">
        <v>9</v>
      </c>
      <c r="H142" t="s">
        <v>11</v>
      </c>
      <c r="I142" t="b">
        <v>0</v>
      </c>
      <c r="J142" cm="1">
        <f t="array" ref="J142">sentimentCalc(B142)</f>
        <v>0</v>
      </c>
      <c r="K142" t="str" cm="1">
        <f t="array" ref="K142">sentimentCategory(J142)</f>
        <v>Neutral</v>
      </c>
    </row>
    <row r="143" spans="1:11" ht="17" x14ac:dyDescent="0.2">
      <c r="A143" t="s">
        <v>6468</v>
      </c>
      <c r="B143" s="1" t="s">
        <v>6469</v>
      </c>
      <c r="C143" t="s">
        <v>10</v>
      </c>
      <c r="D143" s="1" t="s">
        <v>2</v>
      </c>
      <c r="E143" t="b">
        <v>0</v>
      </c>
      <c r="F143">
        <v>44</v>
      </c>
      <c r="G143">
        <v>9</v>
      </c>
      <c r="H143" t="s">
        <v>11</v>
      </c>
      <c r="I143" t="b">
        <v>0</v>
      </c>
      <c r="J143" cm="1">
        <f t="array" ref="J143">sentimentCalc(B143)</f>
        <v>0</v>
      </c>
      <c r="K143" t="str" cm="1">
        <f t="array" ref="K143">sentimentCategory(J143)</f>
        <v>Neutral</v>
      </c>
    </row>
    <row r="144" spans="1:11" ht="17" x14ac:dyDescent="0.2">
      <c r="A144" t="s">
        <v>4285</v>
      </c>
      <c r="B144" s="1" t="s">
        <v>4286</v>
      </c>
      <c r="C144" t="s">
        <v>10</v>
      </c>
      <c r="D144" s="1" t="s">
        <v>2</v>
      </c>
      <c r="E144" t="b">
        <v>0</v>
      </c>
      <c r="F144">
        <v>44</v>
      </c>
      <c r="G144">
        <v>9</v>
      </c>
      <c r="H144" t="s">
        <v>11</v>
      </c>
      <c r="I144" t="b">
        <v>0</v>
      </c>
      <c r="J144" cm="1">
        <f t="array" ref="J144">sentimentCalc(B144)</f>
        <v>0</v>
      </c>
      <c r="K144" t="str" cm="1">
        <f t="array" ref="K144">sentimentCategory(J144)</f>
        <v>Neutral</v>
      </c>
    </row>
    <row r="145" spans="1:11" ht="17" x14ac:dyDescent="0.2">
      <c r="A145" t="s">
        <v>4317</v>
      </c>
      <c r="B145" s="1" t="s">
        <v>4319</v>
      </c>
      <c r="C145" t="s">
        <v>275</v>
      </c>
      <c r="D145" s="1" t="s">
        <v>158</v>
      </c>
      <c r="E145" t="b">
        <v>0</v>
      </c>
      <c r="F145">
        <v>159</v>
      </c>
      <c r="G145">
        <v>722</v>
      </c>
      <c r="H145" t="s">
        <v>11</v>
      </c>
      <c r="I145" t="b">
        <v>0</v>
      </c>
      <c r="J145" cm="1">
        <f t="array" ref="J145">sentimentCalc(B145)</f>
        <v>0</v>
      </c>
      <c r="K145" t="str" cm="1">
        <f t="array" ref="K145">sentimentCategory(J145)</f>
        <v>Neutral</v>
      </c>
    </row>
    <row r="146" spans="1:11" ht="17" x14ac:dyDescent="0.2">
      <c r="A146" t="s">
        <v>2736</v>
      </c>
      <c r="B146" s="1" t="s">
        <v>2737</v>
      </c>
      <c r="C146" t="s">
        <v>10</v>
      </c>
      <c r="D146" s="1" t="s">
        <v>2</v>
      </c>
      <c r="E146" t="b">
        <v>0</v>
      </c>
      <c r="F146">
        <v>44</v>
      </c>
      <c r="G146">
        <v>9</v>
      </c>
      <c r="H146" t="s">
        <v>11</v>
      </c>
      <c r="I146" t="b">
        <v>0</v>
      </c>
      <c r="J146" cm="1">
        <f t="array" ref="J146">sentimentCalc(B146)</f>
        <v>0</v>
      </c>
      <c r="K146" t="str" cm="1">
        <f t="array" ref="K146">sentimentCategory(J146)</f>
        <v>Neutral</v>
      </c>
    </row>
    <row r="147" spans="1:11" ht="17" x14ac:dyDescent="0.2">
      <c r="A147" t="s">
        <v>2732</v>
      </c>
      <c r="B147" s="1" t="s">
        <v>2733</v>
      </c>
      <c r="C147" t="s">
        <v>2734</v>
      </c>
      <c r="D147" s="1" t="s">
        <v>2735</v>
      </c>
      <c r="E147" t="b">
        <v>0</v>
      </c>
      <c r="F147">
        <v>772</v>
      </c>
      <c r="G147">
        <v>606</v>
      </c>
      <c r="H147" t="s">
        <v>73</v>
      </c>
      <c r="I147" t="b">
        <v>0</v>
      </c>
      <c r="J147" cm="1">
        <f t="array" ref="J147">sentimentCalc(B147)</f>
        <v>0</v>
      </c>
      <c r="K147" t="str" cm="1">
        <f t="array" ref="K147">sentimentCategory(J147)</f>
        <v>Neutral</v>
      </c>
    </row>
    <row r="148" spans="1:11" ht="17" x14ac:dyDescent="0.2">
      <c r="A148" t="s">
        <v>5660</v>
      </c>
      <c r="B148" s="1" t="s">
        <v>5661</v>
      </c>
      <c r="C148" t="s">
        <v>10</v>
      </c>
      <c r="D148" s="1" t="s">
        <v>2</v>
      </c>
      <c r="E148" t="b">
        <v>0</v>
      </c>
      <c r="F148">
        <v>44</v>
      </c>
      <c r="G148">
        <v>9</v>
      </c>
      <c r="H148" t="s">
        <v>11</v>
      </c>
      <c r="I148" t="b">
        <v>0</v>
      </c>
      <c r="J148" cm="1">
        <f t="array" ref="J148">sentimentCalc(B148)</f>
        <v>0</v>
      </c>
      <c r="K148" t="str" cm="1">
        <f t="array" ref="K148">sentimentCategory(J148)</f>
        <v>Neutral</v>
      </c>
    </row>
    <row r="149" spans="1:11" ht="17" x14ac:dyDescent="0.2">
      <c r="A149" t="s">
        <v>295</v>
      </c>
      <c r="B149" s="1" t="s">
        <v>296</v>
      </c>
      <c r="C149" t="s">
        <v>297</v>
      </c>
      <c r="D149" s="1" t="s">
        <v>298</v>
      </c>
      <c r="E149" t="b">
        <v>0</v>
      </c>
      <c r="F149">
        <v>51</v>
      </c>
      <c r="G149">
        <v>62</v>
      </c>
      <c r="H149" t="s">
        <v>11</v>
      </c>
      <c r="I149" t="b">
        <v>0</v>
      </c>
      <c r="J149" cm="1">
        <f t="array" ref="J149">sentimentCalc(B149)</f>
        <v>0</v>
      </c>
      <c r="K149" t="str" cm="1">
        <f t="array" ref="K149">sentimentCategory(J149)</f>
        <v>Neutral</v>
      </c>
    </row>
    <row r="150" spans="1:11" ht="17" x14ac:dyDescent="0.2">
      <c r="A150" t="s">
        <v>904</v>
      </c>
      <c r="B150" s="1" t="s">
        <v>905</v>
      </c>
      <c r="C150" t="s">
        <v>297</v>
      </c>
      <c r="D150" s="1" t="s">
        <v>298</v>
      </c>
      <c r="E150" t="b">
        <v>0</v>
      </c>
      <c r="F150">
        <v>51</v>
      </c>
      <c r="G150">
        <v>62</v>
      </c>
      <c r="H150" t="s">
        <v>11</v>
      </c>
      <c r="I150" t="b">
        <v>0</v>
      </c>
      <c r="J150" cm="1">
        <f t="array" ref="J150">sentimentCalc(B150)</f>
        <v>0</v>
      </c>
      <c r="K150" t="str" cm="1">
        <f t="array" ref="K150">sentimentCategory(J150)</f>
        <v>Neutral</v>
      </c>
    </row>
    <row r="151" spans="1:11" ht="17" x14ac:dyDescent="0.2">
      <c r="A151" t="s">
        <v>1585</v>
      </c>
      <c r="B151" s="1" t="s">
        <v>1586</v>
      </c>
      <c r="C151" t="s">
        <v>297</v>
      </c>
      <c r="D151" s="1" t="s">
        <v>298</v>
      </c>
      <c r="E151" t="b">
        <v>0</v>
      </c>
      <c r="F151">
        <v>51</v>
      </c>
      <c r="G151">
        <v>62</v>
      </c>
      <c r="H151" t="s">
        <v>11</v>
      </c>
      <c r="I151" t="b">
        <v>0</v>
      </c>
      <c r="J151" cm="1">
        <f t="array" ref="J151">sentimentCalc(B151)</f>
        <v>0</v>
      </c>
      <c r="K151" t="str" cm="1">
        <f t="array" ref="K151">sentimentCategory(J151)</f>
        <v>Neutral</v>
      </c>
    </row>
    <row r="152" spans="1:11" ht="17" x14ac:dyDescent="0.2">
      <c r="A152" t="s">
        <v>3904</v>
      </c>
      <c r="B152" s="1" t="s">
        <v>3905</v>
      </c>
      <c r="C152" t="s">
        <v>297</v>
      </c>
      <c r="D152" s="1" t="s">
        <v>298</v>
      </c>
      <c r="E152" t="b">
        <v>0</v>
      </c>
      <c r="F152">
        <v>51</v>
      </c>
      <c r="G152">
        <v>62</v>
      </c>
      <c r="H152" t="s">
        <v>11</v>
      </c>
      <c r="I152" t="b">
        <v>0</v>
      </c>
      <c r="J152" cm="1">
        <f t="array" ref="J152">sentimentCalc(B152)</f>
        <v>0</v>
      </c>
      <c r="K152" t="str" cm="1">
        <f t="array" ref="K152">sentimentCategory(J152)</f>
        <v>Neutral</v>
      </c>
    </row>
    <row r="153" spans="1:11" ht="17" x14ac:dyDescent="0.2">
      <c r="A153" t="s">
        <v>5344</v>
      </c>
      <c r="B153" s="1" t="s">
        <v>5345</v>
      </c>
      <c r="C153" t="s">
        <v>297</v>
      </c>
      <c r="D153" s="1" t="s">
        <v>298</v>
      </c>
      <c r="E153" t="b">
        <v>0</v>
      </c>
      <c r="F153">
        <v>51</v>
      </c>
      <c r="G153">
        <v>62</v>
      </c>
      <c r="H153" t="s">
        <v>11</v>
      </c>
      <c r="I153" t="b">
        <v>0</v>
      </c>
      <c r="J153" cm="1">
        <f t="array" ref="J153">sentimentCalc(B153)</f>
        <v>0</v>
      </c>
      <c r="K153" t="str" cm="1">
        <f t="array" ref="K153">sentimentCategory(J153)</f>
        <v>Neutral</v>
      </c>
    </row>
    <row r="154" spans="1:11" ht="17" x14ac:dyDescent="0.2">
      <c r="A154" t="s">
        <v>4660</v>
      </c>
      <c r="B154" s="1" t="s">
        <v>4661</v>
      </c>
      <c r="C154" t="s">
        <v>297</v>
      </c>
      <c r="D154" s="1" t="s">
        <v>298</v>
      </c>
      <c r="E154" t="b">
        <v>0</v>
      </c>
      <c r="F154">
        <v>51</v>
      </c>
      <c r="G154">
        <v>62</v>
      </c>
      <c r="H154" t="s">
        <v>11</v>
      </c>
      <c r="I154" t="b">
        <v>0</v>
      </c>
      <c r="J154" cm="1">
        <f t="array" ref="J154">sentimentCalc(B154)</f>
        <v>0</v>
      </c>
      <c r="K154" t="str" cm="1">
        <f t="array" ref="K154">sentimentCategory(J154)</f>
        <v>Neutral</v>
      </c>
    </row>
    <row r="155" spans="1:11" ht="17" x14ac:dyDescent="0.2">
      <c r="A155" t="s">
        <v>2332</v>
      </c>
      <c r="B155" s="1" t="s">
        <v>2333</v>
      </c>
      <c r="C155" t="s">
        <v>297</v>
      </c>
      <c r="D155" s="1" t="s">
        <v>298</v>
      </c>
      <c r="E155" t="b">
        <v>0</v>
      </c>
      <c r="F155">
        <v>51</v>
      </c>
      <c r="G155">
        <v>62</v>
      </c>
      <c r="H155" t="s">
        <v>11</v>
      </c>
      <c r="I155" t="b">
        <v>0</v>
      </c>
      <c r="J155" cm="1">
        <f t="array" ref="J155">sentimentCalc(B155)</f>
        <v>0</v>
      </c>
      <c r="K155" t="str" cm="1">
        <f t="array" ref="K155">sentimentCategory(J155)</f>
        <v>Neutral</v>
      </c>
    </row>
    <row r="156" spans="1:11" ht="17" x14ac:dyDescent="0.2">
      <c r="A156" t="s">
        <v>6031</v>
      </c>
      <c r="B156" s="1" t="s">
        <v>6032</v>
      </c>
      <c r="C156" t="s">
        <v>297</v>
      </c>
      <c r="D156" s="1" t="s">
        <v>298</v>
      </c>
      <c r="E156" t="b">
        <v>0</v>
      </c>
      <c r="F156">
        <v>51</v>
      </c>
      <c r="G156">
        <v>62</v>
      </c>
      <c r="H156" t="s">
        <v>11</v>
      </c>
      <c r="I156" t="b">
        <v>0</v>
      </c>
      <c r="J156" cm="1">
        <f t="array" ref="J156">sentimentCalc(B156)</f>
        <v>0</v>
      </c>
      <c r="K156" t="str" cm="1">
        <f t="array" ref="K156">sentimentCategory(J156)</f>
        <v>Neutral</v>
      </c>
    </row>
    <row r="157" spans="1:11" ht="17" x14ac:dyDescent="0.2">
      <c r="A157" t="s">
        <v>3104</v>
      </c>
      <c r="B157" s="1" t="s">
        <v>3105</v>
      </c>
      <c r="C157" t="s">
        <v>297</v>
      </c>
      <c r="D157" s="1" t="s">
        <v>298</v>
      </c>
      <c r="E157" t="b">
        <v>0</v>
      </c>
      <c r="F157">
        <v>51</v>
      </c>
      <c r="G157">
        <v>62</v>
      </c>
      <c r="H157" t="s">
        <v>11</v>
      </c>
      <c r="I157" t="b">
        <v>0</v>
      </c>
      <c r="J157" cm="1">
        <f t="array" ref="J157">sentimentCalc(B157)</f>
        <v>0</v>
      </c>
      <c r="K157" t="str" cm="1">
        <f t="array" ref="K157">sentimentCategory(J157)</f>
        <v>Neutral</v>
      </c>
    </row>
    <row r="158" spans="1:11" ht="17" x14ac:dyDescent="0.2">
      <c r="A158" t="s">
        <v>6678</v>
      </c>
      <c r="B158" s="1" t="s">
        <v>6679</v>
      </c>
      <c r="C158" t="s">
        <v>2208</v>
      </c>
      <c r="D158" s="1" t="s">
        <v>6680</v>
      </c>
      <c r="E158" t="b">
        <v>0</v>
      </c>
      <c r="F158">
        <v>9</v>
      </c>
      <c r="G158">
        <v>8</v>
      </c>
      <c r="H158" t="s">
        <v>11</v>
      </c>
      <c r="I158" t="b">
        <v>0</v>
      </c>
      <c r="J158" cm="1">
        <f t="array" ref="J158">sentimentCalc(B158)</f>
        <v>0</v>
      </c>
      <c r="K158" t="str" cm="1">
        <f t="array" ref="K158">sentimentCategory(J158)</f>
        <v>Neutral</v>
      </c>
    </row>
    <row r="159" spans="1:11" ht="17" x14ac:dyDescent="0.2">
      <c r="A159" t="s">
        <v>3355</v>
      </c>
      <c r="B159" s="1" t="s">
        <v>3356</v>
      </c>
      <c r="C159" t="s">
        <v>509</v>
      </c>
      <c r="D159" s="1" t="s">
        <v>3357</v>
      </c>
      <c r="E159" t="b">
        <v>0</v>
      </c>
      <c r="F159">
        <v>326</v>
      </c>
      <c r="G159">
        <v>393</v>
      </c>
      <c r="H159" t="s">
        <v>11</v>
      </c>
      <c r="I159" t="b">
        <v>0</v>
      </c>
      <c r="J159" cm="1">
        <f t="array" ref="J159">sentimentCalc(B159)</f>
        <v>0</v>
      </c>
      <c r="K159" t="str" cm="1">
        <f t="array" ref="K159">sentimentCategory(J159)</f>
        <v>Neutral</v>
      </c>
    </row>
    <row r="160" spans="1:11" ht="34" x14ac:dyDescent="0.2">
      <c r="A160" t="s">
        <v>7041</v>
      </c>
      <c r="B160" s="1" t="s">
        <v>7042</v>
      </c>
      <c r="C160" t="s">
        <v>7043</v>
      </c>
      <c r="D160" s="1" t="s">
        <v>2</v>
      </c>
      <c r="E160" t="b">
        <v>0</v>
      </c>
      <c r="F160">
        <v>683</v>
      </c>
      <c r="G160">
        <v>230</v>
      </c>
      <c r="H160" t="s">
        <v>11</v>
      </c>
      <c r="I160" t="b">
        <v>0</v>
      </c>
      <c r="J160" cm="1">
        <f t="array" ref="J160">sentimentCalc(B160)</f>
        <v>1</v>
      </c>
      <c r="K160" t="str" cm="1">
        <f t="array" ref="K160">sentimentCategory(J160)</f>
        <v>Positive</v>
      </c>
    </row>
    <row r="161" spans="1:11" ht="17" x14ac:dyDescent="0.2">
      <c r="A161" t="s">
        <v>7194</v>
      </c>
      <c r="B161" s="1" t="s">
        <v>7195</v>
      </c>
      <c r="C161" t="s">
        <v>7187</v>
      </c>
      <c r="D161" s="1" t="s">
        <v>2</v>
      </c>
      <c r="E161" t="b">
        <v>0</v>
      </c>
      <c r="F161">
        <v>1960</v>
      </c>
      <c r="G161">
        <v>233</v>
      </c>
      <c r="H161" t="s">
        <v>11</v>
      </c>
      <c r="I161" t="b">
        <v>0</v>
      </c>
      <c r="J161" cm="1">
        <f t="array" ref="J161">sentimentCalc(B161)</f>
        <v>0</v>
      </c>
      <c r="K161" t="str" cm="1">
        <f t="array" ref="K161">sentimentCategory(J161)</f>
        <v>Neutral</v>
      </c>
    </row>
    <row r="162" spans="1:11" ht="34" x14ac:dyDescent="0.2">
      <c r="A162" t="s">
        <v>4991</v>
      </c>
      <c r="B162" s="1" t="s">
        <v>4992</v>
      </c>
      <c r="C162" t="s">
        <v>4555</v>
      </c>
      <c r="D162" s="1" t="s">
        <v>4556</v>
      </c>
      <c r="E162" t="b">
        <v>0</v>
      </c>
      <c r="F162">
        <v>2059</v>
      </c>
      <c r="G162">
        <v>503</v>
      </c>
      <c r="H162" t="s">
        <v>11</v>
      </c>
      <c r="I162" t="b">
        <v>0</v>
      </c>
      <c r="J162" cm="1">
        <f t="array" ref="J162">sentimentCalc(B162)</f>
        <v>1</v>
      </c>
      <c r="K162" t="str" cm="1">
        <f t="array" ref="K162">sentimentCategory(J162)</f>
        <v>Positive</v>
      </c>
    </row>
    <row r="163" spans="1:11" ht="34" x14ac:dyDescent="0.2">
      <c r="A163" t="s">
        <v>4964</v>
      </c>
      <c r="B163" s="1" t="s">
        <v>4965</v>
      </c>
      <c r="C163" t="s">
        <v>4555</v>
      </c>
      <c r="D163" s="1" t="s">
        <v>4556</v>
      </c>
      <c r="E163" t="b">
        <v>0</v>
      </c>
      <c r="F163">
        <v>2058</v>
      </c>
      <c r="G163">
        <v>503</v>
      </c>
      <c r="H163" t="s">
        <v>11</v>
      </c>
      <c r="I163" t="b">
        <v>0</v>
      </c>
      <c r="J163" cm="1">
        <f t="array" ref="J163">sentimentCalc(B163)</f>
        <v>1</v>
      </c>
      <c r="K163" t="str" cm="1">
        <f t="array" ref="K163">sentimentCategory(J163)</f>
        <v>Positive</v>
      </c>
    </row>
    <row r="164" spans="1:11" ht="34" x14ac:dyDescent="0.2">
      <c r="A164" t="s">
        <v>7178</v>
      </c>
      <c r="B164" s="1" t="s">
        <v>7179</v>
      </c>
      <c r="C164" t="s">
        <v>944</v>
      </c>
      <c r="D164" s="1" t="s">
        <v>6600</v>
      </c>
      <c r="E164" t="b">
        <v>0</v>
      </c>
      <c r="F164">
        <v>777</v>
      </c>
      <c r="G164">
        <v>616</v>
      </c>
      <c r="H164" t="s">
        <v>11</v>
      </c>
      <c r="I164" t="b">
        <v>0</v>
      </c>
      <c r="J164" cm="1">
        <f t="array" ref="J164">sentimentCalc(B164)</f>
        <v>0</v>
      </c>
      <c r="K164" t="str" cm="1">
        <f t="array" ref="K164">sentimentCategory(J164)</f>
        <v>Neutral</v>
      </c>
    </row>
    <row r="165" spans="1:11" ht="17" x14ac:dyDescent="0.2">
      <c r="A165" t="s">
        <v>3311</v>
      </c>
      <c r="B165" s="1" t="s">
        <v>3312</v>
      </c>
      <c r="C165" t="s">
        <v>222</v>
      </c>
      <c r="D165" s="1" t="s">
        <v>223</v>
      </c>
      <c r="E165" t="b">
        <v>0</v>
      </c>
      <c r="F165">
        <v>9225</v>
      </c>
      <c r="G165">
        <v>7170</v>
      </c>
      <c r="H165" t="s">
        <v>11</v>
      </c>
      <c r="I165" t="b">
        <v>0</v>
      </c>
      <c r="J165" cm="1">
        <f t="array" ref="J165">sentimentCalc(B165)</f>
        <v>0</v>
      </c>
      <c r="K165" t="str" cm="1">
        <f t="array" ref="K165">sentimentCategory(J165)</f>
        <v>Neutral</v>
      </c>
    </row>
    <row r="166" spans="1:11" ht="17" x14ac:dyDescent="0.2">
      <c r="A166" t="s">
        <v>613</v>
      </c>
      <c r="B166" s="1" t="s">
        <v>614</v>
      </c>
      <c r="C166" t="s">
        <v>483</v>
      </c>
      <c r="D166" s="1" t="s">
        <v>484</v>
      </c>
      <c r="E166" t="b">
        <v>0</v>
      </c>
      <c r="F166">
        <v>1899</v>
      </c>
      <c r="G166">
        <v>540</v>
      </c>
      <c r="H166" t="s">
        <v>11</v>
      </c>
      <c r="I166" t="b">
        <v>0</v>
      </c>
      <c r="J166" cm="1">
        <f t="array" ref="J166">sentimentCalc(B166)</f>
        <v>0</v>
      </c>
      <c r="K166" t="str" cm="1">
        <f t="array" ref="K166">sentimentCategory(J166)</f>
        <v>Neutral</v>
      </c>
    </row>
    <row r="167" spans="1:11" ht="17" x14ac:dyDescent="0.2">
      <c r="A167" t="s">
        <v>3667</v>
      </c>
      <c r="B167" s="1" t="s">
        <v>3668</v>
      </c>
      <c r="C167" t="s">
        <v>483</v>
      </c>
      <c r="D167" s="1" t="s">
        <v>484</v>
      </c>
      <c r="E167" t="b">
        <v>0</v>
      </c>
      <c r="F167">
        <v>1899</v>
      </c>
      <c r="G167">
        <v>540</v>
      </c>
      <c r="H167" t="s">
        <v>11</v>
      </c>
      <c r="I167" t="b">
        <v>0</v>
      </c>
      <c r="J167" cm="1">
        <f t="array" ref="J167">sentimentCalc(B167)</f>
        <v>0</v>
      </c>
      <c r="K167" t="str" cm="1">
        <f t="array" ref="K167">sentimentCategory(J167)</f>
        <v>Neutral</v>
      </c>
    </row>
    <row r="168" spans="1:11" ht="17" x14ac:dyDescent="0.2">
      <c r="A168" t="s">
        <v>5206</v>
      </c>
      <c r="B168" s="1" t="s">
        <v>5207</v>
      </c>
      <c r="C168" t="s">
        <v>483</v>
      </c>
      <c r="D168" s="1" t="s">
        <v>484</v>
      </c>
      <c r="E168" t="b">
        <v>0</v>
      </c>
      <c r="F168">
        <v>1898</v>
      </c>
      <c r="G168">
        <v>540</v>
      </c>
      <c r="H168" t="s">
        <v>11</v>
      </c>
      <c r="I168" t="b">
        <v>0</v>
      </c>
      <c r="J168" cm="1">
        <f t="array" ref="J168">sentimentCalc(B168)</f>
        <v>0</v>
      </c>
      <c r="K168" t="str" cm="1">
        <f t="array" ref="K168">sentimentCategory(J168)</f>
        <v>Neutral</v>
      </c>
    </row>
    <row r="169" spans="1:11" ht="17" x14ac:dyDescent="0.2">
      <c r="A169" t="s">
        <v>5894</v>
      </c>
      <c r="B169" s="1" t="s">
        <v>5895</v>
      </c>
      <c r="C169" t="s">
        <v>483</v>
      </c>
      <c r="D169" s="1" t="s">
        <v>484</v>
      </c>
      <c r="E169" t="b">
        <v>0</v>
      </c>
      <c r="F169">
        <v>1898</v>
      </c>
      <c r="G169">
        <v>540</v>
      </c>
      <c r="H169" t="s">
        <v>11</v>
      </c>
      <c r="I169" t="b">
        <v>0</v>
      </c>
      <c r="J169" cm="1">
        <f t="array" ref="J169">sentimentCalc(B169)</f>
        <v>0</v>
      </c>
      <c r="K169" t="str" cm="1">
        <f t="array" ref="K169">sentimentCategory(J169)</f>
        <v>Neutral</v>
      </c>
    </row>
    <row r="170" spans="1:11" ht="17" x14ac:dyDescent="0.2">
      <c r="A170" t="s">
        <v>4474</v>
      </c>
      <c r="B170" s="1" t="s">
        <v>4475</v>
      </c>
      <c r="C170" t="s">
        <v>483</v>
      </c>
      <c r="D170" s="1" t="s">
        <v>484</v>
      </c>
      <c r="E170" t="b">
        <v>0</v>
      </c>
      <c r="F170">
        <v>1898</v>
      </c>
      <c r="G170">
        <v>540</v>
      </c>
      <c r="H170" t="s">
        <v>11</v>
      </c>
      <c r="I170" t="b">
        <v>0</v>
      </c>
      <c r="J170" cm="1">
        <f t="array" ref="J170">sentimentCalc(B170)</f>
        <v>0</v>
      </c>
      <c r="K170" t="str" cm="1">
        <f t="array" ref="K170">sentimentCategory(J170)</f>
        <v>Neutral</v>
      </c>
    </row>
    <row r="171" spans="1:11" ht="17" x14ac:dyDescent="0.2">
      <c r="A171" t="s">
        <v>5945</v>
      </c>
      <c r="B171" s="1" t="s">
        <v>5946</v>
      </c>
      <c r="C171" t="s">
        <v>45</v>
      </c>
      <c r="D171" s="1" t="s">
        <v>2</v>
      </c>
      <c r="E171" t="b">
        <v>0</v>
      </c>
      <c r="F171">
        <v>3505</v>
      </c>
      <c r="G171">
        <v>67</v>
      </c>
      <c r="H171" t="s">
        <v>11</v>
      </c>
      <c r="I171" t="b">
        <v>0</v>
      </c>
      <c r="J171" cm="1">
        <f t="array" ref="J171">sentimentCalc(B171)</f>
        <v>0</v>
      </c>
      <c r="K171" t="str" cm="1">
        <f t="array" ref="K171">sentimentCategory(J171)</f>
        <v>Neutral</v>
      </c>
    </row>
    <row r="172" spans="1:11" ht="34" x14ac:dyDescent="0.2">
      <c r="A172" t="s">
        <v>4762</v>
      </c>
      <c r="B172" s="1" t="s">
        <v>4763</v>
      </c>
      <c r="C172" t="s">
        <v>275</v>
      </c>
      <c r="D172" s="1" t="s">
        <v>4764</v>
      </c>
      <c r="E172" t="b">
        <v>0</v>
      </c>
      <c r="F172">
        <v>243</v>
      </c>
      <c r="G172">
        <v>64</v>
      </c>
      <c r="H172" t="s">
        <v>11</v>
      </c>
      <c r="I172" t="b">
        <v>0</v>
      </c>
      <c r="J172" cm="1">
        <f t="array" ref="J172">sentimentCalc(B172)</f>
        <v>0</v>
      </c>
      <c r="K172" t="str" cm="1">
        <f t="array" ref="K172">sentimentCategory(J172)</f>
        <v>Neutral</v>
      </c>
    </row>
    <row r="173" spans="1:11" ht="34" x14ac:dyDescent="0.2">
      <c r="A173" t="s">
        <v>3643</v>
      </c>
      <c r="B173" s="1" t="s">
        <v>3644</v>
      </c>
      <c r="C173" t="s">
        <v>3645</v>
      </c>
      <c r="D173" s="1" t="s">
        <v>3646</v>
      </c>
      <c r="E173" t="b">
        <v>0</v>
      </c>
      <c r="F173">
        <v>472</v>
      </c>
      <c r="G173">
        <v>366</v>
      </c>
      <c r="H173" t="s">
        <v>11</v>
      </c>
      <c r="I173" t="b">
        <v>0</v>
      </c>
      <c r="J173" cm="1">
        <f t="array" ref="J173">sentimentCalc(B173)</f>
        <v>-1</v>
      </c>
      <c r="K173" t="str" cm="1">
        <f t="array" ref="K173">sentimentCategory(J173)</f>
        <v>Negative</v>
      </c>
    </row>
    <row r="174" spans="1:11" ht="34" x14ac:dyDescent="0.2">
      <c r="A174" t="s">
        <v>1156</v>
      </c>
      <c r="B174" s="1" t="s">
        <v>1157</v>
      </c>
      <c r="C174" t="s">
        <v>1158</v>
      </c>
      <c r="D174" s="1" t="s">
        <v>1159</v>
      </c>
      <c r="E174" t="b">
        <v>0</v>
      </c>
      <c r="F174">
        <v>142</v>
      </c>
      <c r="G174">
        <v>137</v>
      </c>
      <c r="H174" t="s">
        <v>11</v>
      </c>
      <c r="I174" t="b">
        <v>0</v>
      </c>
      <c r="J174" cm="1">
        <f t="array" ref="J174">sentimentCalc(B174)</f>
        <v>-1</v>
      </c>
      <c r="K174" t="str" cm="1">
        <f t="array" ref="K174">sentimentCategory(J174)</f>
        <v>Negative</v>
      </c>
    </row>
    <row r="175" spans="1:11" ht="34" x14ac:dyDescent="0.2">
      <c r="A175" t="s">
        <v>5353</v>
      </c>
      <c r="B175" s="1" t="s">
        <v>5354</v>
      </c>
      <c r="C175" t="s">
        <v>468</v>
      </c>
      <c r="D175" s="1" t="s">
        <v>469</v>
      </c>
      <c r="E175" t="b">
        <v>0</v>
      </c>
      <c r="F175">
        <v>366</v>
      </c>
      <c r="G175">
        <v>225</v>
      </c>
      <c r="H175" t="s">
        <v>11</v>
      </c>
      <c r="I175" t="b">
        <v>0</v>
      </c>
      <c r="J175" cm="1">
        <f t="array" ref="J175">sentimentCalc(B175)</f>
        <v>0</v>
      </c>
      <c r="K175" t="str" cm="1">
        <f t="array" ref="K175">sentimentCategory(J175)</f>
        <v>Neutral</v>
      </c>
    </row>
    <row r="176" spans="1:11" ht="34" x14ac:dyDescent="0.2">
      <c r="A176" t="s">
        <v>4721</v>
      </c>
      <c r="B176" s="1" t="s">
        <v>4722</v>
      </c>
      <c r="C176" t="s">
        <v>468</v>
      </c>
      <c r="D176" s="1" t="s">
        <v>469</v>
      </c>
      <c r="E176" t="b">
        <v>0</v>
      </c>
      <c r="F176">
        <v>366</v>
      </c>
      <c r="G176">
        <v>225</v>
      </c>
      <c r="H176" t="s">
        <v>11</v>
      </c>
      <c r="I176" t="b">
        <v>0</v>
      </c>
      <c r="J176" cm="1">
        <f t="array" ref="J176">sentimentCalc(B176)</f>
        <v>0</v>
      </c>
      <c r="K176" t="str" cm="1">
        <f t="array" ref="K176">sentimentCategory(J176)</f>
        <v>Neutral</v>
      </c>
    </row>
    <row r="177" spans="1:11" ht="34" x14ac:dyDescent="0.2">
      <c r="A177" t="s">
        <v>6784</v>
      </c>
      <c r="B177" s="1" t="s">
        <v>6785</v>
      </c>
      <c r="C177" t="s">
        <v>468</v>
      </c>
      <c r="D177" s="1" t="s">
        <v>469</v>
      </c>
      <c r="E177" t="b">
        <v>0</v>
      </c>
      <c r="F177">
        <v>366</v>
      </c>
      <c r="G177">
        <v>225</v>
      </c>
      <c r="H177" t="s">
        <v>11</v>
      </c>
      <c r="I177" t="b">
        <v>0</v>
      </c>
      <c r="J177" cm="1">
        <f t="array" ref="J177">sentimentCalc(B177)</f>
        <v>0</v>
      </c>
      <c r="K177" t="str" cm="1">
        <f t="array" ref="K177">sentimentCategory(J177)</f>
        <v>Neutral</v>
      </c>
    </row>
    <row r="178" spans="1:11" ht="34" x14ac:dyDescent="0.2">
      <c r="A178" t="s">
        <v>466</v>
      </c>
      <c r="B178" s="1" t="s">
        <v>467</v>
      </c>
      <c r="C178" t="s">
        <v>468</v>
      </c>
      <c r="D178" s="1" t="s">
        <v>469</v>
      </c>
      <c r="E178" t="b">
        <v>0</v>
      </c>
      <c r="F178">
        <v>366</v>
      </c>
      <c r="G178">
        <v>225</v>
      </c>
      <c r="H178" t="s">
        <v>11</v>
      </c>
      <c r="I178" t="b">
        <v>0</v>
      </c>
      <c r="J178" cm="1">
        <f t="array" ref="J178">sentimentCalc(B178)</f>
        <v>0</v>
      </c>
      <c r="K178" t="str" cm="1">
        <f t="array" ref="K178">sentimentCategory(J178)</f>
        <v>Neutral</v>
      </c>
    </row>
    <row r="179" spans="1:11" ht="34" x14ac:dyDescent="0.2">
      <c r="A179" t="s">
        <v>1771</v>
      </c>
      <c r="B179" s="1" t="s">
        <v>1772</v>
      </c>
      <c r="C179" t="s">
        <v>468</v>
      </c>
      <c r="D179" s="1" t="s">
        <v>469</v>
      </c>
      <c r="E179" t="b">
        <v>0</v>
      </c>
      <c r="F179">
        <v>366</v>
      </c>
      <c r="G179">
        <v>225</v>
      </c>
      <c r="H179" t="s">
        <v>11</v>
      </c>
      <c r="I179" t="b">
        <v>0</v>
      </c>
      <c r="J179" cm="1">
        <f t="array" ref="J179">sentimentCalc(B179)</f>
        <v>0</v>
      </c>
      <c r="K179" t="str" cm="1">
        <f t="array" ref="K179">sentimentCategory(J179)</f>
        <v>Neutral</v>
      </c>
    </row>
    <row r="180" spans="1:11" ht="34" x14ac:dyDescent="0.2">
      <c r="A180" t="s">
        <v>3960</v>
      </c>
      <c r="B180" s="1" t="s">
        <v>3961</v>
      </c>
      <c r="C180" t="s">
        <v>468</v>
      </c>
      <c r="D180" s="1" t="s">
        <v>469</v>
      </c>
      <c r="E180" t="b">
        <v>0</v>
      </c>
      <c r="F180">
        <v>365</v>
      </c>
      <c r="G180">
        <v>225</v>
      </c>
      <c r="H180" t="s">
        <v>11</v>
      </c>
      <c r="I180" t="b">
        <v>0</v>
      </c>
      <c r="J180" cm="1">
        <f t="array" ref="J180">sentimentCalc(B180)</f>
        <v>0</v>
      </c>
      <c r="K180" t="str" cm="1">
        <f t="array" ref="K180">sentimentCategory(J180)</f>
        <v>Neutral</v>
      </c>
    </row>
    <row r="181" spans="1:11" ht="34" x14ac:dyDescent="0.2">
      <c r="A181" t="s">
        <v>2519</v>
      </c>
      <c r="B181" s="1" t="s">
        <v>2520</v>
      </c>
      <c r="C181" t="s">
        <v>468</v>
      </c>
      <c r="D181" s="1" t="s">
        <v>469</v>
      </c>
      <c r="E181" t="b">
        <v>0</v>
      </c>
      <c r="F181">
        <v>366</v>
      </c>
      <c r="G181">
        <v>225</v>
      </c>
      <c r="H181" t="s">
        <v>11</v>
      </c>
      <c r="I181" t="b">
        <v>0</v>
      </c>
      <c r="J181" cm="1">
        <f t="array" ref="J181">sentimentCalc(B181)</f>
        <v>0</v>
      </c>
      <c r="K181" t="str" cm="1">
        <f t="array" ref="K181">sentimentCategory(J181)</f>
        <v>Neutral</v>
      </c>
    </row>
    <row r="182" spans="1:11" ht="34" x14ac:dyDescent="0.2">
      <c r="A182" t="s">
        <v>6022</v>
      </c>
      <c r="B182" s="1" t="s">
        <v>6023</v>
      </c>
      <c r="C182" t="s">
        <v>468</v>
      </c>
      <c r="D182" s="1" t="s">
        <v>469</v>
      </c>
      <c r="E182" t="b">
        <v>0</v>
      </c>
      <c r="F182">
        <v>366</v>
      </c>
      <c r="G182">
        <v>225</v>
      </c>
      <c r="H182" t="s">
        <v>11</v>
      </c>
      <c r="I182" t="b">
        <v>0</v>
      </c>
      <c r="J182" cm="1">
        <f t="array" ref="J182">sentimentCalc(B182)</f>
        <v>0</v>
      </c>
      <c r="K182" t="str" cm="1">
        <f t="array" ref="K182">sentimentCategory(J182)</f>
        <v>Neutral</v>
      </c>
    </row>
    <row r="183" spans="1:11" ht="34" x14ac:dyDescent="0.2">
      <c r="A183" t="s">
        <v>1069</v>
      </c>
      <c r="B183" s="1" t="s">
        <v>1070</v>
      </c>
      <c r="C183" t="s">
        <v>468</v>
      </c>
      <c r="D183" s="1" t="s">
        <v>469</v>
      </c>
      <c r="E183" t="b">
        <v>0</v>
      </c>
      <c r="F183">
        <v>366</v>
      </c>
      <c r="G183">
        <v>225</v>
      </c>
      <c r="H183" t="s">
        <v>11</v>
      </c>
      <c r="I183" t="b">
        <v>0</v>
      </c>
      <c r="J183" cm="1">
        <f t="array" ref="J183">sentimentCalc(B183)</f>
        <v>0</v>
      </c>
      <c r="K183" t="str" cm="1">
        <f t="array" ref="K183">sentimentCategory(J183)</f>
        <v>Neutral</v>
      </c>
    </row>
    <row r="184" spans="1:11" ht="34" x14ac:dyDescent="0.2">
      <c r="A184" t="s">
        <v>4360</v>
      </c>
      <c r="B184" s="1" t="s">
        <v>4361</v>
      </c>
      <c r="C184" t="s">
        <v>898</v>
      </c>
      <c r="D184" s="1" t="s">
        <v>68</v>
      </c>
      <c r="E184" t="b">
        <v>0</v>
      </c>
      <c r="F184">
        <v>56540</v>
      </c>
      <c r="G184">
        <v>645</v>
      </c>
      <c r="H184" t="s">
        <v>11</v>
      </c>
      <c r="I184" t="b">
        <v>0</v>
      </c>
      <c r="J184" cm="1">
        <f t="array" ref="J184">sentimentCalc(B184)</f>
        <v>0</v>
      </c>
      <c r="K184" t="str" cm="1">
        <f t="array" ref="K184">sentimentCategory(J184)</f>
        <v>Neutral</v>
      </c>
    </row>
    <row r="185" spans="1:11" ht="34" x14ac:dyDescent="0.2">
      <c r="A185" t="s">
        <v>2296</v>
      </c>
      <c r="B185" s="1" t="s">
        <v>2297</v>
      </c>
      <c r="C185" t="s">
        <v>2169</v>
      </c>
      <c r="D185" s="1" t="s">
        <v>2170</v>
      </c>
      <c r="E185" t="b">
        <v>0</v>
      </c>
      <c r="F185">
        <v>62083</v>
      </c>
      <c r="G185">
        <v>346</v>
      </c>
      <c r="H185" t="s">
        <v>83</v>
      </c>
      <c r="I185" t="b">
        <v>0</v>
      </c>
      <c r="J185" cm="1">
        <f t="array" ref="J185">sentimentCalc(B185)</f>
        <v>0</v>
      </c>
      <c r="K185" t="str" cm="1">
        <f t="array" ref="K185">sentimentCategory(J185)</f>
        <v>Neutral</v>
      </c>
    </row>
    <row r="186" spans="1:11" ht="17" x14ac:dyDescent="0.2">
      <c r="A186" t="s">
        <v>4593</v>
      </c>
      <c r="B186" s="1" t="s">
        <v>4594</v>
      </c>
      <c r="C186" t="s">
        <v>4595</v>
      </c>
      <c r="D186" s="1" t="s">
        <v>996</v>
      </c>
      <c r="E186" t="b">
        <v>0</v>
      </c>
      <c r="F186">
        <v>7</v>
      </c>
      <c r="G186">
        <v>59</v>
      </c>
      <c r="H186" t="s">
        <v>11</v>
      </c>
      <c r="I186" t="b">
        <v>0</v>
      </c>
      <c r="J186" cm="1">
        <f t="array" ref="J186">sentimentCalc(B186)</f>
        <v>0</v>
      </c>
      <c r="K186" t="str" cm="1">
        <f t="array" ref="K186">sentimentCategory(J186)</f>
        <v>Neutral</v>
      </c>
    </row>
    <row r="187" spans="1:11" ht="34" x14ac:dyDescent="0.2">
      <c r="A187" t="s">
        <v>4955</v>
      </c>
      <c r="B187" s="1" t="s">
        <v>4956</v>
      </c>
      <c r="C187" t="s">
        <v>455</v>
      </c>
      <c r="D187" s="1" t="s">
        <v>212</v>
      </c>
      <c r="E187" t="b">
        <v>0</v>
      </c>
      <c r="F187">
        <v>178</v>
      </c>
      <c r="G187">
        <v>135</v>
      </c>
      <c r="H187" t="s">
        <v>11</v>
      </c>
      <c r="I187" t="b">
        <v>0</v>
      </c>
      <c r="J187" cm="1">
        <f t="array" ref="J187">sentimentCalc(B187)</f>
        <v>1</v>
      </c>
      <c r="K187" t="str" cm="1">
        <f t="array" ref="K187">sentimentCategory(J187)</f>
        <v>Positive</v>
      </c>
    </row>
    <row r="188" spans="1:11" ht="34" x14ac:dyDescent="0.2">
      <c r="A188" t="s">
        <v>4998</v>
      </c>
      <c r="B188" s="1" t="s">
        <v>4999</v>
      </c>
      <c r="C188" t="s">
        <v>455</v>
      </c>
      <c r="D188" s="1" t="s">
        <v>212</v>
      </c>
      <c r="E188" t="b">
        <v>0</v>
      </c>
      <c r="F188">
        <v>178</v>
      </c>
      <c r="G188">
        <v>135</v>
      </c>
      <c r="H188" t="s">
        <v>11</v>
      </c>
      <c r="I188" t="b">
        <v>0</v>
      </c>
      <c r="J188" cm="1">
        <f t="array" ref="J188">sentimentCalc(B188)</f>
        <v>1</v>
      </c>
      <c r="K188" t="str" cm="1">
        <f t="array" ref="K188">sentimentCategory(J188)</f>
        <v>Positive</v>
      </c>
    </row>
    <row r="189" spans="1:11" ht="34" x14ac:dyDescent="0.2">
      <c r="A189" t="s">
        <v>2761</v>
      </c>
      <c r="B189" s="1" t="s">
        <v>2762</v>
      </c>
      <c r="C189" t="s">
        <v>1568</v>
      </c>
      <c r="D189" s="1" t="s">
        <v>2713</v>
      </c>
      <c r="E189" t="b">
        <v>0</v>
      </c>
      <c r="F189">
        <v>271</v>
      </c>
      <c r="G189">
        <v>39</v>
      </c>
      <c r="H189" t="s">
        <v>11</v>
      </c>
      <c r="I189" t="b">
        <v>0</v>
      </c>
      <c r="J189" cm="1">
        <f t="array" ref="J189">sentimentCalc(B189)</f>
        <v>2</v>
      </c>
      <c r="K189" t="str" cm="1">
        <f t="array" ref="K189">sentimentCategory(J189)</f>
        <v>Positive</v>
      </c>
    </row>
    <row r="190" spans="1:11" ht="17" x14ac:dyDescent="0.2">
      <c r="A190" t="s">
        <v>559</v>
      </c>
      <c r="B190" s="1" t="s">
        <v>566</v>
      </c>
      <c r="C190" t="s">
        <v>567</v>
      </c>
      <c r="D190" s="1" t="s">
        <v>61</v>
      </c>
      <c r="E190" t="b">
        <v>0</v>
      </c>
      <c r="F190">
        <v>580</v>
      </c>
      <c r="G190">
        <v>0</v>
      </c>
      <c r="H190" t="s">
        <v>11</v>
      </c>
      <c r="I190" t="b">
        <v>0</v>
      </c>
      <c r="J190" cm="1">
        <f t="array" ref="J190">sentimentCalc(B190)</f>
        <v>0</v>
      </c>
      <c r="K190" t="str" cm="1">
        <f t="array" ref="K190">sentimentCategory(J190)</f>
        <v>Neutral</v>
      </c>
    </row>
    <row r="191" spans="1:11" ht="17" x14ac:dyDescent="0.2">
      <c r="A191" t="s">
        <v>1176</v>
      </c>
      <c r="B191" s="1" t="s">
        <v>1177</v>
      </c>
      <c r="C191" t="s">
        <v>567</v>
      </c>
      <c r="D191" s="1" t="s">
        <v>61</v>
      </c>
      <c r="E191" t="b">
        <v>0</v>
      </c>
      <c r="F191">
        <v>580</v>
      </c>
      <c r="G191">
        <v>0</v>
      </c>
      <c r="H191" t="s">
        <v>11</v>
      </c>
      <c r="I191" t="b">
        <v>0</v>
      </c>
      <c r="J191" cm="1">
        <f t="array" ref="J191">sentimentCalc(B191)</f>
        <v>0</v>
      </c>
      <c r="K191" t="str" cm="1">
        <f t="array" ref="K191">sentimentCategory(J191)</f>
        <v>Neutral</v>
      </c>
    </row>
    <row r="192" spans="1:11" ht="17" x14ac:dyDescent="0.2">
      <c r="A192" t="s">
        <v>4968</v>
      </c>
      <c r="B192" s="1" t="s">
        <v>4976</v>
      </c>
      <c r="C192" t="s">
        <v>567</v>
      </c>
      <c r="D192" s="1" t="s">
        <v>61</v>
      </c>
      <c r="E192" t="b">
        <v>0</v>
      </c>
      <c r="F192">
        <v>580</v>
      </c>
      <c r="G192">
        <v>0</v>
      </c>
      <c r="H192" t="s">
        <v>11</v>
      </c>
      <c r="I192" t="b">
        <v>0</v>
      </c>
      <c r="J192" cm="1">
        <f t="array" ref="J192">sentimentCalc(B192)</f>
        <v>0</v>
      </c>
      <c r="K192" t="str" cm="1">
        <f t="array" ref="K192">sentimentCategory(J192)</f>
        <v>Neutral</v>
      </c>
    </row>
    <row r="193" spans="1:11" ht="17" x14ac:dyDescent="0.2">
      <c r="A193" t="s">
        <v>1913</v>
      </c>
      <c r="B193" s="1" t="s">
        <v>1917</v>
      </c>
      <c r="C193" t="s">
        <v>567</v>
      </c>
      <c r="D193" s="1" t="s">
        <v>61</v>
      </c>
      <c r="E193" t="b">
        <v>0</v>
      </c>
      <c r="F193">
        <v>580</v>
      </c>
      <c r="G193">
        <v>0</v>
      </c>
      <c r="H193" t="s">
        <v>11</v>
      </c>
      <c r="I193" t="b">
        <v>0</v>
      </c>
      <c r="J193" cm="1">
        <f t="array" ref="J193">sentimentCalc(B193)</f>
        <v>0</v>
      </c>
      <c r="K193" t="str" cm="1">
        <f t="array" ref="K193">sentimentCategory(J193)</f>
        <v>Neutral</v>
      </c>
    </row>
    <row r="194" spans="1:11" ht="17" x14ac:dyDescent="0.2">
      <c r="A194" t="s">
        <v>4255</v>
      </c>
      <c r="B194" s="1" t="s">
        <v>4256</v>
      </c>
      <c r="C194" t="s">
        <v>567</v>
      </c>
      <c r="D194" s="1" t="s">
        <v>61</v>
      </c>
      <c r="E194" t="b">
        <v>0</v>
      </c>
      <c r="F194">
        <v>580</v>
      </c>
      <c r="G194">
        <v>0</v>
      </c>
      <c r="H194" t="s">
        <v>11</v>
      </c>
      <c r="I194" t="b">
        <v>0</v>
      </c>
      <c r="J194" cm="1">
        <f t="array" ref="J194">sentimentCalc(B194)</f>
        <v>0</v>
      </c>
      <c r="K194" t="str" cm="1">
        <f t="array" ref="K194">sentimentCategory(J194)</f>
        <v>Neutral</v>
      </c>
    </row>
    <row r="195" spans="1:11" ht="17" x14ac:dyDescent="0.2">
      <c r="A195" t="s">
        <v>5610</v>
      </c>
      <c r="B195" s="1" t="s">
        <v>5613</v>
      </c>
      <c r="C195" t="s">
        <v>567</v>
      </c>
      <c r="D195" s="1" t="s">
        <v>61</v>
      </c>
      <c r="E195" t="b">
        <v>0</v>
      </c>
      <c r="F195">
        <v>580</v>
      </c>
      <c r="G195">
        <v>0</v>
      </c>
      <c r="H195" t="s">
        <v>11</v>
      </c>
      <c r="I195" t="b">
        <v>0</v>
      </c>
      <c r="J195" cm="1">
        <f t="array" ref="J195">sentimentCalc(B195)</f>
        <v>0</v>
      </c>
      <c r="K195" t="str" cm="1">
        <f t="array" ref="K195">sentimentCategory(J195)</f>
        <v>Neutral</v>
      </c>
    </row>
    <row r="196" spans="1:11" ht="17" x14ac:dyDescent="0.2">
      <c r="A196" t="s">
        <v>3496</v>
      </c>
      <c r="B196" s="1" t="s">
        <v>3498</v>
      </c>
      <c r="C196" t="s">
        <v>567</v>
      </c>
      <c r="D196" s="1" t="s">
        <v>61</v>
      </c>
      <c r="E196" t="b">
        <v>0</v>
      </c>
      <c r="F196">
        <v>580</v>
      </c>
      <c r="G196">
        <v>0</v>
      </c>
      <c r="H196" t="s">
        <v>11</v>
      </c>
      <c r="I196" t="b">
        <v>0</v>
      </c>
      <c r="J196" cm="1">
        <f t="array" ref="J196">sentimentCalc(B196)</f>
        <v>0</v>
      </c>
      <c r="K196" t="str" cm="1">
        <f t="array" ref="K196">sentimentCategory(J196)</f>
        <v>Neutral</v>
      </c>
    </row>
    <row r="197" spans="1:11" ht="17" x14ac:dyDescent="0.2">
      <c r="A197" t="s">
        <v>6415</v>
      </c>
      <c r="B197" s="1" t="s">
        <v>6419</v>
      </c>
      <c r="C197" t="s">
        <v>567</v>
      </c>
      <c r="D197" s="1" t="s">
        <v>61</v>
      </c>
      <c r="E197" t="b">
        <v>0</v>
      </c>
      <c r="F197">
        <v>580</v>
      </c>
      <c r="G197">
        <v>0</v>
      </c>
      <c r="H197" t="s">
        <v>11</v>
      </c>
      <c r="I197" t="b">
        <v>0</v>
      </c>
      <c r="J197" cm="1">
        <f t="array" ref="J197">sentimentCalc(B197)</f>
        <v>0</v>
      </c>
      <c r="K197" t="str" cm="1">
        <f t="array" ref="K197">sentimentCategory(J197)</f>
        <v>Neutral</v>
      </c>
    </row>
    <row r="198" spans="1:11" ht="17" x14ac:dyDescent="0.2">
      <c r="A198" t="s">
        <v>7047</v>
      </c>
      <c r="B198" s="1" t="s">
        <v>7049</v>
      </c>
      <c r="C198" t="s">
        <v>567</v>
      </c>
      <c r="D198" s="1" t="s">
        <v>61</v>
      </c>
      <c r="E198" t="b">
        <v>0</v>
      </c>
      <c r="F198">
        <v>580</v>
      </c>
      <c r="G198">
        <v>0</v>
      </c>
      <c r="H198" t="s">
        <v>11</v>
      </c>
      <c r="I198" t="b">
        <v>0</v>
      </c>
      <c r="J198" cm="1">
        <f t="array" ref="J198">sentimentCalc(B198)</f>
        <v>0</v>
      </c>
      <c r="K198" t="str" cm="1">
        <f t="array" ref="K198">sentimentCategory(J198)</f>
        <v>Neutral</v>
      </c>
    </row>
    <row r="199" spans="1:11" ht="17" x14ac:dyDescent="0.2">
      <c r="A199" t="s">
        <v>6852</v>
      </c>
      <c r="B199" s="1" t="s">
        <v>6853</v>
      </c>
      <c r="C199" t="s">
        <v>483</v>
      </c>
      <c r="D199" s="1" t="s">
        <v>484</v>
      </c>
      <c r="E199" t="b">
        <v>0</v>
      </c>
      <c r="F199">
        <v>1896</v>
      </c>
      <c r="G199">
        <v>540</v>
      </c>
      <c r="H199" t="s">
        <v>11</v>
      </c>
      <c r="I199" t="b">
        <v>0</v>
      </c>
      <c r="J199" cm="1">
        <f t="array" ref="J199">sentimentCalc(B199)</f>
        <v>0</v>
      </c>
      <c r="K199" t="str" cm="1">
        <f t="array" ref="K199">sentimentCategory(J199)</f>
        <v>Neutral</v>
      </c>
    </row>
    <row r="200" spans="1:11" ht="17" x14ac:dyDescent="0.2">
      <c r="A200" t="s">
        <v>3240</v>
      </c>
      <c r="B200" s="1" t="s">
        <v>3241</v>
      </c>
      <c r="C200" t="s">
        <v>483</v>
      </c>
      <c r="D200" s="1" t="s">
        <v>484</v>
      </c>
      <c r="E200" t="b">
        <v>0</v>
      </c>
      <c r="F200">
        <v>1899</v>
      </c>
      <c r="G200">
        <v>540</v>
      </c>
      <c r="H200" t="s">
        <v>11</v>
      </c>
      <c r="I200" t="b">
        <v>0</v>
      </c>
      <c r="J200" cm="1">
        <f t="array" ref="J200">sentimentCalc(B200)</f>
        <v>0</v>
      </c>
      <c r="K200" t="str" cm="1">
        <f t="array" ref="K200">sentimentCategory(J200)</f>
        <v>Neutral</v>
      </c>
    </row>
    <row r="201" spans="1:11" ht="17" x14ac:dyDescent="0.2">
      <c r="A201" t="s">
        <v>5596</v>
      </c>
      <c r="B201" s="1" t="s">
        <v>5597</v>
      </c>
      <c r="C201" t="s">
        <v>483</v>
      </c>
      <c r="D201" s="1" t="s">
        <v>484</v>
      </c>
      <c r="E201" t="b">
        <v>0</v>
      </c>
      <c r="F201">
        <v>1898</v>
      </c>
      <c r="G201">
        <v>540</v>
      </c>
      <c r="H201" t="s">
        <v>11</v>
      </c>
      <c r="I201" t="b">
        <v>0</v>
      </c>
      <c r="J201" cm="1">
        <f t="array" ref="J201">sentimentCalc(B201)</f>
        <v>0</v>
      </c>
      <c r="K201" t="str" cm="1">
        <f t="array" ref="K201">sentimentCategory(J201)</f>
        <v>Neutral</v>
      </c>
    </row>
    <row r="202" spans="1:11" ht="17" x14ac:dyDescent="0.2">
      <c r="A202" t="s">
        <v>4518</v>
      </c>
      <c r="B202" s="1" t="s">
        <v>4519</v>
      </c>
      <c r="C202" t="s">
        <v>483</v>
      </c>
      <c r="D202" s="1" t="s">
        <v>484</v>
      </c>
      <c r="E202" t="b">
        <v>0</v>
      </c>
      <c r="F202">
        <v>1898</v>
      </c>
      <c r="G202">
        <v>540</v>
      </c>
      <c r="H202" t="s">
        <v>11</v>
      </c>
      <c r="I202" t="b">
        <v>0</v>
      </c>
      <c r="J202" cm="1">
        <f t="array" ref="J202">sentimentCalc(B202)</f>
        <v>0</v>
      </c>
      <c r="K202" t="str" cm="1">
        <f t="array" ref="K202">sentimentCategory(J202)</f>
        <v>Neutral</v>
      </c>
    </row>
    <row r="203" spans="1:11" ht="17" x14ac:dyDescent="0.2">
      <c r="A203" t="s">
        <v>4072</v>
      </c>
      <c r="B203" s="1" t="s">
        <v>4073</v>
      </c>
      <c r="C203" t="s">
        <v>483</v>
      </c>
      <c r="D203" s="1" t="s">
        <v>484</v>
      </c>
      <c r="E203" t="b">
        <v>0</v>
      </c>
      <c r="F203">
        <v>1898</v>
      </c>
      <c r="G203">
        <v>540</v>
      </c>
      <c r="H203" t="s">
        <v>11</v>
      </c>
      <c r="I203" t="b">
        <v>0</v>
      </c>
      <c r="J203" cm="1">
        <f t="array" ref="J203">sentimentCalc(B203)</f>
        <v>0</v>
      </c>
      <c r="K203" t="str" cm="1">
        <f t="array" ref="K203">sentimentCategory(J203)</f>
        <v>Neutral</v>
      </c>
    </row>
    <row r="204" spans="1:11" ht="17" x14ac:dyDescent="0.2">
      <c r="A204" t="s">
        <v>5284</v>
      </c>
      <c r="B204" s="1" t="s">
        <v>5285</v>
      </c>
      <c r="C204" t="s">
        <v>483</v>
      </c>
      <c r="D204" s="1" t="s">
        <v>484</v>
      </c>
      <c r="E204" t="b">
        <v>0</v>
      </c>
      <c r="F204">
        <v>1898</v>
      </c>
      <c r="G204">
        <v>540</v>
      </c>
      <c r="H204" t="s">
        <v>11</v>
      </c>
      <c r="I204" t="b">
        <v>0</v>
      </c>
      <c r="J204" cm="1">
        <f t="array" ref="J204">sentimentCalc(B204)</f>
        <v>0</v>
      </c>
      <c r="K204" t="str" cm="1">
        <f t="array" ref="K204">sentimentCategory(J204)</f>
        <v>Neutral</v>
      </c>
    </row>
    <row r="205" spans="1:11" ht="17" x14ac:dyDescent="0.2">
      <c r="A205" t="s">
        <v>3707</v>
      </c>
      <c r="B205" s="1" t="s">
        <v>3708</v>
      </c>
      <c r="C205" t="s">
        <v>483</v>
      </c>
      <c r="D205" s="1" t="s">
        <v>484</v>
      </c>
      <c r="E205" t="b">
        <v>0</v>
      </c>
      <c r="F205">
        <v>1899</v>
      </c>
      <c r="G205">
        <v>540</v>
      </c>
      <c r="H205" t="s">
        <v>11</v>
      </c>
      <c r="I205" t="b">
        <v>0</v>
      </c>
      <c r="J205" cm="1">
        <f t="array" ref="J205">sentimentCalc(B205)</f>
        <v>0</v>
      </c>
      <c r="K205" t="str" cm="1">
        <f t="array" ref="K205">sentimentCategory(J205)</f>
        <v>Neutral</v>
      </c>
    </row>
    <row r="206" spans="1:11" ht="17" x14ac:dyDescent="0.2">
      <c r="A206" t="s">
        <v>1557</v>
      </c>
      <c r="B206" s="1" t="s">
        <v>1558</v>
      </c>
      <c r="C206" t="s">
        <v>483</v>
      </c>
      <c r="D206" s="1" t="s">
        <v>484</v>
      </c>
      <c r="E206" t="b">
        <v>0</v>
      </c>
      <c r="F206">
        <v>1899</v>
      </c>
      <c r="G206">
        <v>540</v>
      </c>
      <c r="H206" t="s">
        <v>11</v>
      </c>
      <c r="I206" t="b">
        <v>0</v>
      </c>
      <c r="J206" cm="1">
        <f t="array" ref="J206">sentimentCalc(B206)</f>
        <v>0</v>
      </c>
      <c r="K206" t="str" cm="1">
        <f t="array" ref="K206">sentimentCategory(J206)</f>
        <v>Neutral</v>
      </c>
    </row>
    <row r="207" spans="1:11" ht="17" x14ac:dyDescent="0.2">
      <c r="A207" t="s">
        <v>1130</v>
      </c>
      <c r="B207" s="1" t="s">
        <v>1131</v>
      </c>
      <c r="C207" t="s">
        <v>483</v>
      </c>
      <c r="D207" s="1" t="s">
        <v>484</v>
      </c>
      <c r="E207" t="b">
        <v>0</v>
      </c>
      <c r="F207">
        <v>1899</v>
      </c>
      <c r="G207">
        <v>540</v>
      </c>
      <c r="H207" t="s">
        <v>11</v>
      </c>
      <c r="I207" t="b">
        <v>0</v>
      </c>
      <c r="J207" cm="1">
        <f t="array" ref="J207">sentimentCalc(B207)</f>
        <v>0</v>
      </c>
      <c r="K207" t="str" cm="1">
        <f t="array" ref="K207">sentimentCategory(J207)</f>
        <v>Neutral</v>
      </c>
    </row>
    <row r="208" spans="1:11" ht="34" x14ac:dyDescent="0.2">
      <c r="A208" t="s">
        <v>159</v>
      </c>
      <c r="B208" s="1" t="s">
        <v>160</v>
      </c>
      <c r="C208" t="s">
        <v>161</v>
      </c>
      <c r="D208" s="1" t="s">
        <v>162</v>
      </c>
      <c r="E208" t="b">
        <v>0</v>
      </c>
      <c r="F208">
        <v>966</v>
      </c>
      <c r="G208">
        <v>180</v>
      </c>
      <c r="H208" t="s">
        <v>11</v>
      </c>
      <c r="I208" t="b">
        <v>0</v>
      </c>
      <c r="J208" cm="1">
        <f t="array" ref="J208">sentimentCalc(B208)</f>
        <v>0</v>
      </c>
      <c r="K208" t="str" cm="1">
        <f t="array" ref="K208">sentimentCategory(J208)</f>
        <v>Neutral</v>
      </c>
    </row>
    <row r="209" spans="1:11" ht="34" x14ac:dyDescent="0.2">
      <c r="A209" t="s">
        <v>1378</v>
      </c>
      <c r="B209" s="1" t="s">
        <v>1379</v>
      </c>
      <c r="C209" t="s">
        <v>161</v>
      </c>
      <c r="D209" s="1" t="s">
        <v>162</v>
      </c>
      <c r="E209" t="b">
        <v>0</v>
      </c>
      <c r="F209">
        <v>969</v>
      </c>
      <c r="G209">
        <v>180</v>
      </c>
      <c r="H209" t="s">
        <v>11</v>
      </c>
      <c r="I209" t="b">
        <v>0</v>
      </c>
      <c r="J209" cm="1">
        <f t="array" ref="J209">sentimentCalc(B209)</f>
        <v>0</v>
      </c>
      <c r="K209" t="str" cm="1">
        <f t="array" ref="K209">sentimentCategory(J209)</f>
        <v>Neutral</v>
      </c>
    </row>
    <row r="210" spans="1:11" ht="34" x14ac:dyDescent="0.2">
      <c r="A210" t="s">
        <v>778</v>
      </c>
      <c r="B210" s="1" t="s">
        <v>779</v>
      </c>
      <c r="C210" t="s">
        <v>161</v>
      </c>
      <c r="D210" s="1" t="s">
        <v>162</v>
      </c>
      <c r="E210" t="b">
        <v>0</v>
      </c>
      <c r="F210">
        <v>967</v>
      </c>
      <c r="G210">
        <v>180</v>
      </c>
      <c r="H210" t="s">
        <v>11</v>
      </c>
      <c r="I210" t="b">
        <v>0</v>
      </c>
      <c r="J210" cm="1">
        <f t="array" ref="J210">sentimentCalc(B210)</f>
        <v>0</v>
      </c>
      <c r="K210" t="str" cm="1">
        <f t="array" ref="K210">sentimentCategory(J210)</f>
        <v>Neutral</v>
      </c>
    </row>
    <row r="211" spans="1:11" ht="34" x14ac:dyDescent="0.2">
      <c r="A211" t="s">
        <v>5172</v>
      </c>
      <c r="B211" s="1" t="s">
        <v>5175</v>
      </c>
      <c r="C211" t="s">
        <v>161</v>
      </c>
      <c r="D211" s="1" t="s">
        <v>162</v>
      </c>
      <c r="E211" t="b">
        <v>0</v>
      </c>
      <c r="F211">
        <v>971</v>
      </c>
      <c r="G211">
        <v>180</v>
      </c>
      <c r="H211" t="s">
        <v>11</v>
      </c>
      <c r="I211" t="b">
        <v>0</v>
      </c>
      <c r="J211" cm="1">
        <f t="array" ref="J211">sentimentCalc(B211)</f>
        <v>0</v>
      </c>
      <c r="K211" t="str" cm="1">
        <f t="array" ref="K211">sentimentCategory(J211)</f>
        <v>Neutral</v>
      </c>
    </row>
    <row r="212" spans="1:11" ht="34" x14ac:dyDescent="0.2">
      <c r="A212" t="s">
        <v>3715</v>
      </c>
      <c r="B212" s="1" t="s">
        <v>3716</v>
      </c>
      <c r="C212" t="s">
        <v>161</v>
      </c>
      <c r="D212" s="1" t="s">
        <v>162</v>
      </c>
      <c r="E212" t="b">
        <v>0</v>
      </c>
      <c r="F212">
        <v>972</v>
      </c>
      <c r="G212">
        <v>180</v>
      </c>
      <c r="H212" t="s">
        <v>11</v>
      </c>
      <c r="I212" t="b">
        <v>0</v>
      </c>
      <c r="J212" cm="1">
        <f t="array" ref="J212">sentimentCalc(B212)</f>
        <v>0</v>
      </c>
      <c r="K212" t="str" cm="1">
        <f t="array" ref="K212">sentimentCategory(J212)</f>
        <v>Neutral</v>
      </c>
    </row>
    <row r="213" spans="1:11" ht="34" x14ac:dyDescent="0.2">
      <c r="A213" t="s">
        <v>2138</v>
      </c>
      <c r="B213" s="1" t="s">
        <v>2139</v>
      </c>
      <c r="C213" t="s">
        <v>161</v>
      </c>
      <c r="D213" s="1" t="s">
        <v>162</v>
      </c>
      <c r="E213" t="b">
        <v>0</v>
      </c>
      <c r="F213">
        <v>970</v>
      </c>
      <c r="G213">
        <v>180</v>
      </c>
      <c r="H213" t="s">
        <v>11</v>
      </c>
      <c r="I213" t="b">
        <v>0</v>
      </c>
      <c r="J213" cm="1">
        <f t="array" ref="J213">sentimentCalc(B213)</f>
        <v>0</v>
      </c>
      <c r="K213" t="str" cm="1">
        <f t="array" ref="K213">sentimentCategory(J213)</f>
        <v>Neutral</v>
      </c>
    </row>
    <row r="214" spans="1:11" ht="34" x14ac:dyDescent="0.2">
      <c r="A214" t="s">
        <v>7227</v>
      </c>
      <c r="B214" s="1" t="s">
        <v>7228</v>
      </c>
      <c r="C214" t="s">
        <v>161</v>
      </c>
      <c r="D214" s="1" t="s">
        <v>162</v>
      </c>
      <c r="E214" t="b">
        <v>0</v>
      </c>
      <c r="F214">
        <v>970</v>
      </c>
      <c r="G214">
        <v>180</v>
      </c>
      <c r="H214" t="s">
        <v>11</v>
      </c>
      <c r="I214" t="b">
        <v>0</v>
      </c>
      <c r="J214" cm="1">
        <f t="array" ref="J214">sentimentCalc(B214)</f>
        <v>0</v>
      </c>
      <c r="K214" t="str" cm="1">
        <f t="array" ref="K214">sentimentCategory(J214)</f>
        <v>Neutral</v>
      </c>
    </row>
    <row r="215" spans="1:11" ht="17" x14ac:dyDescent="0.2">
      <c r="A215" t="s">
        <v>4272</v>
      </c>
      <c r="B215" s="1" t="s">
        <v>4273</v>
      </c>
      <c r="C215" t="s">
        <v>1065</v>
      </c>
      <c r="D215" s="1" t="s">
        <v>1960</v>
      </c>
      <c r="E215" t="b">
        <v>0</v>
      </c>
      <c r="F215">
        <v>64</v>
      </c>
      <c r="G215">
        <v>274</v>
      </c>
      <c r="H215" t="s">
        <v>11</v>
      </c>
      <c r="I215" t="b">
        <v>0</v>
      </c>
      <c r="J215" cm="1">
        <f t="array" ref="J215">sentimentCalc(B215)</f>
        <v>0</v>
      </c>
      <c r="K215" t="str" cm="1">
        <f t="array" ref="K215">sentimentCategory(J215)</f>
        <v>Neutral</v>
      </c>
    </row>
    <row r="216" spans="1:11" ht="34" x14ac:dyDescent="0.2">
      <c r="A216" t="s">
        <v>6618</v>
      </c>
      <c r="B216" s="1" t="s">
        <v>6619</v>
      </c>
      <c r="C216" t="s">
        <v>161</v>
      </c>
      <c r="D216" s="1" t="s">
        <v>162</v>
      </c>
      <c r="E216" t="b">
        <v>0</v>
      </c>
      <c r="F216">
        <v>971</v>
      </c>
      <c r="G216">
        <v>180</v>
      </c>
      <c r="H216" t="s">
        <v>11</v>
      </c>
      <c r="I216" t="b">
        <v>0</v>
      </c>
      <c r="J216" cm="1">
        <f t="array" ref="J216">sentimentCalc(B216)</f>
        <v>0</v>
      </c>
      <c r="K216" t="str" cm="1">
        <f t="array" ref="K216">sentimentCategory(J216)</f>
        <v>Neutral</v>
      </c>
    </row>
    <row r="217" spans="1:11" ht="34" x14ac:dyDescent="0.2">
      <c r="A217" t="s">
        <v>5809</v>
      </c>
      <c r="B217" s="1" t="s">
        <v>5810</v>
      </c>
      <c r="C217" t="s">
        <v>161</v>
      </c>
      <c r="D217" s="1" t="s">
        <v>162</v>
      </c>
      <c r="E217" t="b">
        <v>0</v>
      </c>
      <c r="F217">
        <v>971</v>
      </c>
      <c r="G217">
        <v>180</v>
      </c>
      <c r="H217" t="s">
        <v>11</v>
      </c>
      <c r="I217" t="b">
        <v>0</v>
      </c>
      <c r="J217" cm="1">
        <f t="array" ref="J217">sentimentCalc(B217)</f>
        <v>0</v>
      </c>
      <c r="K217" t="str" cm="1">
        <f t="array" ref="K217">sentimentCategory(J217)</f>
        <v>Neutral</v>
      </c>
    </row>
    <row r="218" spans="1:11" ht="17" x14ac:dyDescent="0.2">
      <c r="A218" t="s">
        <v>4576</v>
      </c>
      <c r="B218" s="1" t="s">
        <v>4577</v>
      </c>
      <c r="C218" t="s">
        <v>237</v>
      </c>
      <c r="D218" s="1" t="s">
        <v>238</v>
      </c>
      <c r="E218" t="b">
        <v>0</v>
      </c>
      <c r="F218">
        <v>49</v>
      </c>
      <c r="G218">
        <v>0</v>
      </c>
      <c r="H218" t="s">
        <v>11</v>
      </c>
      <c r="I218" t="b">
        <v>0</v>
      </c>
      <c r="J218" cm="1">
        <f t="array" ref="J218">sentimentCalc(B218)</f>
        <v>0</v>
      </c>
      <c r="K218" t="str" cm="1">
        <f t="array" ref="K218">sentimentCategory(J218)</f>
        <v>Neutral</v>
      </c>
    </row>
    <row r="219" spans="1:11" ht="34" x14ac:dyDescent="0.2">
      <c r="A219" t="s">
        <v>524</v>
      </c>
      <c r="B219" s="1" t="s">
        <v>525</v>
      </c>
      <c r="C219" t="s">
        <v>526</v>
      </c>
      <c r="D219" s="1" t="s">
        <v>2</v>
      </c>
      <c r="E219" t="b">
        <v>0</v>
      </c>
      <c r="F219">
        <v>28</v>
      </c>
      <c r="G219">
        <v>7</v>
      </c>
      <c r="H219" t="s">
        <v>31</v>
      </c>
      <c r="I219" t="b">
        <v>0</v>
      </c>
      <c r="J219" cm="1">
        <f t="array" ref="J219">sentimentCalc(B219)</f>
        <v>0</v>
      </c>
      <c r="K219" t="str" cm="1">
        <f t="array" ref="K219">sentimentCategory(J219)</f>
        <v>Neutral</v>
      </c>
    </row>
    <row r="220" spans="1:11" ht="34" x14ac:dyDescent="0.2">
      <c r="A220" t="s">
        <v>62</v>
      </c>
      <c r="B220" s="1" t="s">
        <v>63</v>
      </c>
      <c r="C220" t="s">
        <v>64</v>
      </c>
      <c r="D220" s="1" t="s">
        <v>2</v>
      </c>
      <c r="E220" t="b">
        <v>0</v>
      </c>
      <c r="F220">
        <v>37</v>
      </c>
      <c r="G220">
        <v>7</v>
      </c>
      <c r="H220" t="s">
        <v>31</v>
      </c>
      <c r="I220" t="b">
        <v>0</v>
      </c>
      <c r="J220" cm="1">
        <f t="array" ref="J220">sentimentCalc(B220)</f>
        <v>0</v>
      </c>
      <c r="K220" t="str" cm="1">
        <f t="array" ref="K220">sentimentCategory(J220)</f>
        <v>Neutral</v>
      </c>
    </row>
    <row r="221" spans="1:11" ht="34" x14ac:dyDescent="0.2">
      <c r="A221" t="s">
        <v>2376</v>
      </c>
      <c r="B221" s="1" t="s">
        <v>2377</v>
      </c>
      <c r="C221" t="s">
        <v>649</v>
      </c>
      <c r="D221" s="1" t="s">
        <v>2</v>
      </c>
      <c r="E221" t="b">
        <v>0</v>
      </c>
      <c r="F221">
        <v>38</v>
      </c>
      <c r="G221">
        <v>14</v>
      </c>
      <c r="H221" t="s">
        <v>31</v>
      </c>
      <c r="I221" t="b">
        <v>0</v>
      </c>
      <c r="J221" cm="1">
        <f t="array" ref="J221">sentimentCalc(B221)</f>
        <v>0</v>
      </c>
      <c r="K221" t="str" cm="1">
        <f t="array" ref="K221">sentimentCategory(J221)</f>
        <v>Neutral</v>
      </c>
    </row>
    <row r="222" spans="1:11" ht="34" x14ac:dyDescent="0.2">
      <c r="A222" t="s">
        <v>65</v>
      </c>
      <c r="B222" s="1" t="s">
        <v>66</v>
      </c>
      <c r="C222" t="s">
        <v>67</v>
      </c>
      <c r="D222" s="1" t="s">
        <v>68</v>
      </c>
      <c r="E222" t="b">
        <v>0</v>
      </c>
      <c r="F222">
        <v>106</v>
      </c>
      <c r="G222">
        <v>58</v>
      </c>
      <c r="H222" t="s">
        <v>31</v>
      </c>
      <c r="I222" t="b">
        <v>0</v>
      </c>
      <c r="J222" cm="1">
        <f t="array" ref="J222">sentimentCalc(B222)</f>
        <v>0</v>
      </c>
      <c r="K222" t="str" cm="1">
        <f t="array" ref="K222">sentimentCategory(J222)</f>
        <v>Neutral</v>
      </c>
    </row>
    <row r="223" spans="1:11" ht="17" x14ac:dyDescent="0.2">
      <c r="A223" t="s">
        <v>2629</v>
      </c>
      <c r="B223" s="1" t="s">
        <v>2630</v>
      </c>
      <c r="C223" t="s">
        <v>211</v>
      </c>
      <c r="D223" s="1" t="s">
        <v>68</v>
      </c>
      <c r="E223" t="b">
        <v>0</v>
      </c>
      <c r="F223">
        <v>1010</v>
      </c>
      <c r="G223">
        <v>55</v>
      </c>
      <c r="H223" t="s">
        <v>11</v>
      </c>
      <c r="I223" t="b">
        <v>0</v>
      </c>
      <c r="J223" cm="1">
        <f t="array" ref="J223">sentimentCalc(B223)</f>
        <v>1</v>
      </c>
      <c r="K223" t="str" cm="1">
        <f t="array" ref="K223">sentimentCategory(J223)</f>
        <v>Positive</v>
      </c>
    </row>
    <row r="224" spans="1:11" ht="17" x14ac:dyDescent="0.2">
      <c r="A224" t="s">
        <v>6903</v>
      </c>
      <c r="B224" s="1" t="s">
        <v>6904</v>
      </c>
      <c r="C224" t="s">
        <v>402</v>
      </c>
      <c r="D224" s="1" t="s">
        <v>403</v>
      </c>
      <c r="E224" t="b">
        <v>0</v>
      </c>
      <c r="F224">
        <v>1664</v>
      </c>
      <c r="G224">
        <v>1478</v>
      </c>
      <c r="H224" t="s">
        <v>11</v>
      </c>
      <c r="I224" t="b">
        <v>0</v>
      </c>
      <c r="J224" cm="1">
        <f t="array" ref="J224">sentimentCalc(B224)</f>
        <v>0</v>
      </c>
      <c r="K224" t="str" cm="1">
        <f t="array" ref="K224">sentimentCategory(J224)</f>
        <v>Neutral</v>
      </c>
    </row>
    <row r="225" spans="1:11" ht="17" x14ac:dyDescent="0.2">
      <c r="A225" t="s">
        <v>4037</v>
      </c>
      <c r="B225" s="1" t="s">
        <v>4038</v>
      </c>
      <c r="C225" t="s">
        <v>402</v>
      </c>
      <c r="D225" s="1" t="s">
        <v>403</v>
      </c>
      <c r="E225" t="b">
        <v>0</v>
      </c>
      <c r="F225">
        <v>1662</v>
      </c>
      <c r="G225">
        <v>1478</v>
      </c>
      <c r="H225" t="s">
        <v>11</v>
      </c>
      <c r="I225" t="b">
        <v>0</v>
      </c>
      <c r="J225" cm="1">
        <f t="array" ref="J225">sentimentCalc(B225)</f>
        <v>0</v>
      </c>
      <c r="K225" t="str" cm="1">
        <f t="array" ref="K225">sentimentCategory(J225)</f>
        <v>Neutral</v>
      </c>
    </row>
    <row r="226" spans="1:11" ht="17" x14ac:dyDescent="0.2">
      <c r="A226" t="s">
        <v>5487</v>
      </c>
      <c r="B226" s="1" t="s">
        <v>5488</v>
      </c>
      <c r="C226" t="s">
        <v>402</v>
      </c>
      <c r="D226" s="1" t="s">
        <v>403</v>
      </c>
      <c r="E226" t="b">
        <v>0</v>
      </c>
      <c r="F226">
        <v>1662</v>
      </c>
      <c r="G226">
        <v>1478</v>
      </c>
      <c r="H226" t="s">
        <v>11</v>
      </c>
      <c r="I226" t="b">
        <v>0</v>
      </c>
      <c r="J226" cm="1">
        <f t="array" ref="J226">sentimentCalc(B226)</f>
        <v>0</v>
      </c>
      <c r="K226" t="str" cm="1">
        <f t="array" ref="K226">sentimentCategory(J226)</f>
        <v>Neutral</v>
      </c>
    </row>
    <row r="227" spans="1:11" ht="17" x14ac:dyDescent="0.2">
      <c r="A227" t="s">
        <v>2501</v>
      </c>
      <c r="B227" s="1" t="s">
        <v>2502</v>
      </c>
      <c r="C227" t="s">
        <v>402</v>
      </c>
      <c r="D227" s="1" t="s">
        <v>403</v>
      </c>
      <c r="E227" t="b">
        <v>0</v>
      </c>
      <c r="F227">
        <v>1663</v>
      </c>
      <c r="G227">
        <v>1479</v>
      </c>
      <c r="H227" t="s">
        <v>11</v>
      </c>
      <c r="I227" t="b">
        <v>0</v>
      </c>
      <c r="J227" cm="1">
        <f t="array" ref="J227">sentimentCalc(B227)</f>
        <v>0</v>
      </c>
      <c r="K227" t="str" cm="1">
        <f t="array" ref="K227">sentimentCategory(J227)</f>
        <v>Neutral</v>
      </c>
    </row>
    <row r="228" spans="1:11" ht="17" x14ac:dyDescent="0.2">
      <c r="A228" t="s">
        <v>1742</v>
      </c>
      <c r="B228" s="1" t="s">
        <v>1743</v>
      </c>
      <c r="C228" t="s">
        <v>402</v>
      </c>
      <c r="D228" s="1" t="s">
        <v>403</v>
      </c>
      <c r="E228" t="b">
        <v>0</v>
      </c>
      <c r="F228">
        <v>1663</v>
      </c>
      <c r="G228">
        <v>1479</v>
      </c>
      <c r="H228" t="s">
        <v>11</v>
      </c>
      <c r="I228" t="b">
        <v>0</v>
      </c>
      <c r="J228" cm="1">
        <f t="array" ref="J228">sentimentCalc(B228)</f>
        <v>0</v>
      </c>
      <c r="K228" t="str" cm="1">
        <f t="array" ref="K228">sentimentCategory(J228)</f>
        <v>Neutral</v>
      </c>
    </row>
    <row r="229" spans="1:11" ht="17" x14ac:dyDescent="0.2">
      <c r="A229" t="s">
        <v>4830</v>
      </c>
      <c r="B229" s="1" t="s">
        <v>4831</v>
      </c>
      <c r="C229" t="s">
        <v>402</v>
      </c>
      <c r="D229" s="1" t="s">
        <v>403</v>
      </c>
      <c r="E229" t="b">
        <v>0</v>
      </c>
      <c r="F229">
        <v>1662</v>
      </c>
      <c r="G229">
        <v>1478</v>
      </c>
      <c r="H229" t="s">
        <v>11</v>
      </c>
      <c r="I229" t="b">
        <v>0</v>
      </c>
      <c r="J229" cm="1">
        <f t="array" ref="J229">sentimentCalc(B229)</f>
        <v>0</v>
      </c>
      <c r="K229" t="str" cm="1">
        <f t="array" ref="K229">sentimentCategory(J229)</f>
        <v>Neutral</v>
      </c>
    </row>
    <row r="230" spans="1:11" ht="17" x14ac:dyDescent="0.2">
      <c r="A230" t="s">
        <v>6201</v>
      </c>
      <c r="B230" s="1" t="s">
        <v>6202</v>
      </c>
      <c r="C230" t="s">
        <v>402</v>
      </c>
      <c r="D230" s="1" t="s">
        <v>403</v>
      </c>
      <c r="E230" t="b">
        <v>0</v>
      </c>
      <c r="F230">
        <v>1663</v>
      </c>
      <c r="G230">
        <v>1478</v>
      </c>
      <c r="H230" t="s">
        <v>11</v>
      </c>
      <c r="I230" t="b">
        <v>0</v>
      </c>
      <c r="J230" cm="1">
        <f t="array" ref="J230">sentimentCalc(B230)</f>
        <v>0</v>
      </c>
      <c r="K230" t="str" cm="1">
        <f t="array" ref="K230">sentimentCategory(J230)</f>
        <v>Neutral</v>
      </c>
    </row>
    <row r="231" spans="1:11" ht="17" x14ac:dyDescent="0.2">
      <c r="A231" t="s">
        <v>400</v>
      </c>
      <c r="B231" s="1" t="s">
        <v>401</v>
      </c>
      <c r="C231" t="s">
        <v>402</v>
      </c>
      <c r="D231" s="1" t="s">
        <v>403</v>
      </c>
      <c r="E231" t="b">
        <v>0</v>
      </c>
      <c r="F231">
        <v>1661</v>
      </c>
      <c r="G231">
        <v>1479</v>
      </c>
      <c r="H231" t="s">
        <v>11</v>
      </c>
      <c r="I231" t="b">
        <v>0</v>
      </c>
      <c r="J231" cm="1">
        <f t="array" ref="J231">sentimentCalc(B231)</f>
        <v>0</v>
      </c>
      <c r="K231" t="str" cm="1">
        <f t="array" ref="K231">sentimentCategory(J231)</f>
        <v>Neutral</v>
      </c>
    </row>
    <row r="232" spans="1:11" ht="17" x14ac:dyDescent="0.2">
      <c r="A232" t="s">
        <v>1018</v>
      </c>
      <c r="B232" s="1" t="s">
        <v>1019</v>
      </c>
      <c r="C232" t="s">
        <v>402</v>
      </c>
      <c r="D232" s="1" t="s">
        <v>403</v>
      </c>
      <c r="E232" t="b">
        <v>0</v>
      </c>
      <c r="F232">
        <v>1662</v>
      </c>
      <c r="G232">
        <v>1479</v>
      </c>
      <c r="H232" t="s">
        <v>11</v>
      </c>
      <c r="I232" t="b">
        <v>0</v>
      </c>
      <c r="J232" cm="1">
        <f t="array" ref="J232">sentimentCalc(B232)</f>
        <v>0</v>
      </c>
      <c r="K232" t="str" cm="1">
        <f t="array" ref="K232">sentimentCategory(J232)</f>
        <v>Neutral</v>
      </c>
    </row>
    <row r="233" spans="1:11" ht="17" x14ac:dyDescent="0.2">
      <c r="A233" t="s">
        <v>1257</v>
      </c>
      <c r="B233" s="1" t="s">
        <v>1258</v>
      </c>
      <c r="C233" t="s">
        <v>1259</v>
      </c>
      <c r="D233" s="1" t="s">
        <v>1260</v>
      </c>
      <c r="E233" t="b">
        <v>0</v>
      </c>
      <c r="F233">
        <v>392</v>
      </c>
      <c r="G233">
        <v>470</v>
      </c>
      <c r="H233" t="s">
        <v>11</v>
      </c>
      <c r="I233" t="b">
        <v>0</v>
      </c>
      <c r="J233" cm="1">
        <f t="array" ref="J233">sentimentCalc(B233)</f>
        <v>0</v>
      </c>
      <c r="K233" t="str" cm="1">
        <f t="array" ref="K233">sentimentCategory(J233)</f>
        <v>Neutral</v>
      </c>
    </row>
    <row r="234" spans="1:11" ht="34" x14ac:dyDescent="0.2">
      <c r="A234" t="s">
        <v>421</v>
      </c>
      <c r="B234" s="1" t="s">
        <v>422</v>
      </c>
      <c r="C234" t="s">
        <v>413</v>
      </c>
      <c r="D234" s="1" t="s">
        <v>414</v>
      </c>
      <c r="E234" t="b">
        <v>0</v>
      </c>
      <c r="F234">
        <v>2713</v>
      </c>
      <c r="G234">
        <v>1823</v>
      </c>
      <c r="H234" t="s">
        <v>11</v>
      </c>
      <c r="I234" t="b">
        <v>0</v>
      </c>
      <c r="J234" cm="1">
        <f t="array" ref="J234">sentimentCalc(B234)</f>
        <v>0</v>
      </c>
      <c r="K234" t="str" cm="1">
        <f t="array" ref="K234">sentimentCategory(J234)</f>
        <v>Neutral</v>
      </c>
    </row>
    <row r="235" spans="1:11" ht="34" x14ac:dyDescent="0.2">
      <c r="A235" t="s">
        <v>411</v>
      </c>
      <c r="B235" s="1" t="s">
        <v>412</v>
      </c>
      <c r="C235" t="s">
        <v>413</v>
      </c>
      <c r="D235" s="1" t="s">
        <v>414</v>
      </c>
      <c r="E235" t="b">
        <v>0</v>
      </c>
      <c r="F235">
        <v>2713</v>
      </c>
      <c r="G235">
        <v>1823</v>
      </c>
      <c r="H235" t="s">
        <v>11</v>
      </c>
      <c r="I235" t="b">
        <v>0</v>
      </c>
      <c r="J235" cm="1">
        <f t="array" ref="J235">sentimentCalc(B235)</f>
        <v>0</v>
      </c>
      <c r="K235" t="str" cm="1">
        <f t="array" ref="K235">sentimentCategory(J235)</f>
        <v>Neutral</v>
      </c>
    </row>
    <row r="236" spans="1:11" ht="34" x14ac:dyDescent="0.2">
      <c r="A236" t="s">
        <v>704</v>
      </c>
      <c r="B236" s="1" t="s">
        <v>705</v>
      </c>
      <c r="C236" t="s">
        <v>413</v>
      </c>
      <c r="D236" s="1" t="s">
        <v>414</v>
      </c>
      <c r="E236" t="b">
        <v>0</v>
      </c>
      <c r="F236">
        <v>2715</v>
      </c>
      <c r="G236">
        <v>1823</v>
      </c>
      <c r="H236" t="s">
        <v>11</v>
      </c>
      <c r="I236" t="b">
        <v>0</v>
      </c>
      <c r="J236" cm="1">
        <f t="array" ref="J236">sentimentCalc(B236)</f>
        <v>0</v>
      </c>
      <c r="K236" t="str" cm="1">
        <f t="array" ref="K236">sentimentCategory(J236)</f>
        <v>Neutral</v>
      </c>
    </row>
    <row r="237" spans="1:11" ht="34" x14ac:dyDescent="0.2">
      <c r="A237" t="s">
        <v>718</v>
      </c>
      <c r="B237" s="1" t="s">
        <v>719</v>
      </c>
      <c r="C237" t="s">
        <v>413</v>
      </c>
      <c r="D237" s="1" t="s">
        <v>414</v>
      </c>
      <c r="E237" t="b">
        <v>0</v>
      </c>
      <c r="F237">
        <v>2715</v>
      </c>
      <c r="G237">
        <v>1823</v>
      </c>
      <c r="H237" t="s">
        <v>11</v>
      </c>
      <c r="I237" t="b">
        <v>0</v>
      </c>
      <c r="J237" cm="1">
        <f t="array" ref="J237">sentimentCalc(B237)</f>
        <v>0</v>
      </c>
      <c r="K237" t="str" cm="1">
        <f t="array" ref="K237">sentimentCategory(J237)</f>
        <v>Neutral</v>
      </c>
    </row>
    <row r="238" spans="1:11" ht="34" x14ac:dyDescent="0.2">
      <c r="A238" t="s">
        <v>4065</v>
      </c>
      <c r="B238" s="1" t="s">
        <v>4066</v>
      </c>
      <c r="C238" t="s">
        <v>413</v>
      </c>
      <c r="D238" s="1" t="s">
        <v>414</v>
      </c>
      <c r="E238" t="b">
        <v>0</v>
      </c>
      <c r="F238">
        <v>2719</v>
      </c>
      <c r="G238">
        <v>1831</v>
      </c>
      <c r="H238" t="s">
        <v>11</v>
      </c>
      <c r="I238" t="b">
        <v>0</v>
      </c>
      <c r="J238" cm="1">
        <f t="array" ref="J238">sentimentCalc(B238)</f>
        <v>0</v>
      </c>
      <c r="K238" t="str" cm="1">
        <f t="array" ref="K238">sentimentCategory(J238)</f>
        <v>Neutral</v>
      </c>
    </row>
    <row r="239" spans="1:11" ht="34" x14ac:dyDescent="0.2">
      <c r="A239" t="s">
        <v>6428</v>
      </c>
      <c r="B239" s="1" t="s">
        <v>6429</v>
      </c>
      <c r="C239" t="s">
        <v>584</v>
      </c>
      <c r="D239" s="1" t="s">
        <v>2</v>
      </c>
      <c r="E239" t="b">
        <v>0</v>
      </c>
      <c r="F239">
        <v>8723</v>
      </c>
      <c r="G239">
        <v>268</v>
      </c>
      <c r="H239" t="s">
        <v>11</v>
      </c>
      <c r="I239" t="b">
        <v>0</v>
      </c>
      <c r="J239" cm="1">
        <f t="array" ref="J239">sentimentCalc(B239)</f>
        <v>0</v>
      </c>
      <c r="K239" t="str" cm="1">
        <f t="array" ref="K239">sentimentCategory(J239)</f>
        <v>Neutral</v>
      </c>
    </row>
    <row r="240" spans="1:11" ht="34" x14ac:dyDescent="0.2">
      <c r="A240" t="s">
        <v>4264</v>
      </c>
      <c r="B240" s="1" t="s">
        <v>4265</v>
      </c>
      <c r="C240" t="s">
        <v>584</v>
      </c>
      <c r="D240" s="1" t="s">
        <v>2</v>
      </c>
      <c r="E240" t="b">
        <v>0</v>
      </c>
      <c r="F240">
        <v>8725</v>
      </c>
      <c r="G240">
        <v>268</v>
      </c>
      <c r="H240" t="s">
        <v>11</v>
      </c>
      <c r="I240" t="b">
        <v>0</v>
      </c>
      <c r="J240" cm="1">
        <f t="array" ref="J240">sentimentCalc(B240)</f>
        <v>0</v>
      </c>
      <c r="K240" t="str" cm="1">
        <f t="array" ref="K240">sentimentCategory(J240)</f>
        <v>Neutral</v>
      </c>
    </row>
    <row r="241" spans="1:11" ht="17" x14ac:dyDescent="0.2">
      <c r="A241" t="s">
        <v>5906</v>
      </c>
      <c r="B241" s="1" t="s">
        <v>5907</v>
      </c>
      <c r="C241" t="s">
        <v>387</v>
      </c>
      <c r="D241" s="1" t="s">
        <v>2</v>
      </c>
      <c r="E241" t="b">
        <v>0</v>
      </c>
      <c r="F241">
        <v>53</v>
      </c>
      <c r="G241">
        <v>83</v>
      </c>
      <c r="H241" t="s">
        <v>11</v>
      </c>
      <c r="I241" t="b">
        <v>0</v>
      </c>
      <c r="J241" cm="1">
        <f t="array" ref="J241">sentimentCalc(B241)</f>
        <v>0</v>
      </c>
      <c r="K241" t="str" cm="1">
        <f t="array" ref="K241">sentimentCategory(J241)</f>
        <v>Neutral</v>
      </c>
    </row>
    <row r="242" spans="1:11" ht="17" x14ac:dyDescent="0.2">
      <c r="A242" t="s">
        <v>5928</v>
      </c>
      <c r="B242" s="1" t="s">
        <v>5929</v>
      </c>
      <c r="C242" t="s">
        <v>607</v>
      </c>
      <c r="D242" s="1" t="s">
        <v>5930</v>
      </c>
      <c r="E242" t="b">
        <v>0</v>
      </c>
      <c r="F242">
        <v>566</v>
      </c>
      <c r="G242">
        <v>1347</v>
      </c>
      <c r="H242" t="s">
        <v>11</v>
      </c>
      <c r="I242" t="b">
        <v>0</v>
      </c>
      <c r="J242" cm="1">
        <f t="array" ref="J242">sentimentCalc(B242)</f>
        <v>0</v>
      </c>
      <c r="K242" t="str" cm="1">
        <f t="array" ref="K242">sentimentCategory(J242)</f>
        <v>Neutral</v>
      </c>
    </row>
    <row r="243" spans="1:11" ht="17" x14ac:dyDescent="0.2">
      <c r="A243" t="s">
        <v>2288</v>
      </c>
      <c r="B243" s="1" t="s">
        <v>2289</v>
      </c>
      <c r="C243" t="s">
        <v>1226</v>
      </c>
      <c r="D243" s="1" t="s">
        <v>2</v>
      </c>
      <c r="E243" t="b">
        <v>0</v>
      </c>
      <c r="F243">
        <v>0</v>
      </c>
      <c r="G243">
        <v>2</v>
      </c>
      <c r="H243" t="s">
        <v>11</v>
      </c>
      <c r="I243" t="b">
        <v>0</v>
      </c>
      <c r="J243" cm="1">
        <f t="array" ref="J243">sentimentCalc(B243)</f>
        <v>1</v>
      </c>
      <c r="K243" t="str" cm="1">
        <f t="array" ref="K243">sentimentCategory(J243)</f>
        <v>Positive</v>
      </c>
    </row>
    <row r="244" spans="1:11" ht="17" x14ac:dyDescent="0.2">
      <c r="A244" t="s">
        <v>1366</v>
      </c>
      <c r="B244" s="1" t="s">
        <v>1367</v>
      </c>
      <c r="C244" t="s">
        <v>958</v>
      </c>
      <c r="D244" s="1" t="s">
        <v>1368</v>
      </c>
      <c r="E244" t="b">
        <v>0</v>
      </c>
      <c r="F244">
        <v>5440</v>
      </c>
      <c r="G244">
        <v>3396</v>
      </c>
      <c r="H244" t="s">
        <v>11</v>
      </c>
      <c r="I244" t="b">
        <v>0</v>
      </c>
      <c r="J244" cm="1">
        <f t="array" ref="J244">sentimentCalc(B244)</f>
        <v>1</v>
      </c>
      <c r="K244" t="str" cm="1">
        <f t="array" ref="K244">sentimentCategory(J244)</f>
        <v>Positive</v>
      </c>
    </row>
    <row r="245" spans="1:11" ht="17" x14ac:dyDescent="0.2">
      <c r="A245" t="s">
        <v>6746</v>
      </c>
      <c r="B245" s="1" t="s">
        <v>6747</v>
      </c>
      <c r="C245" t="s">
        <v>2554</v>
      </c>
      <c r="D245" s="1" t="s">
        <v>2</v>
      </c>
      <c r="E245" t="b">
        <v>0</v>
      </c>
      <c r="F245">
        <v>891</v>
      </c>
      <c r="G245">
        <v>1448</v>
      </c>
      <c r="H245" t="s">
        <v>11</v>
      </c>
      <c r="I245" t="b">
        <v>0</v>
      </c>
      <c r="J245" cm="1">
        <f t="array" ref="J245">sentimentCalc(B245)</f>
        <v>0</v>
      </c>
      <c r="K245" t="str" cm="1">
        <f t="array" ref="K245">sentimentCategory(J245)</f>
        <v>Neutral</v>
      </c>
    </row>
    <row r="246" spans="1:11" ht="17" x14ac:dyDescent="0.2">
      <c r="A246" t="s">
        <v>4445</v>
      </c>
      <c r="B246" s="1" t="s">
        <v>4446</v>
      </c>
      <c r="C246" t="s">
        <v>271</v>
      </c>
      <c r="D246" s="1" t="s">
        <v>2</v>
      </c>
      <c r="E246" t="b">
        <v>0</v>
      </c>
      <c r="F246">
        <v>29984</v>
      </c>
      <c r="G246">
        <v>981</v>
      </c>
      <c r="H246" t="s">
        <v>47</v>
      </c>
      <c r="I246" t="b">
        <v>0</v>
      </c>
      <c r="J246" cm="1">
        <f t="array" ref="J246">sentimentCalc(B246)</f>
        <v>0</v>
      </c>
      <c r="K246" t="str" cm="1">
        <f t="array" ref="K246">sentimentCategory(J246)</f>
        <v>Neutral</v>
      </c>
    </row>
    <row r="247" spans="1:11" ht="17" x14ac:dyDescent="0.2">
      <c r="A247" t="s">
        <v>3789</v>
      </c>
      <c r="B247" s="1" t="s">
        <v>3790</v>
      </c>
      <c r="C247" t="s">
        <v>1330</v>
      </c>
      <c r="D247" s="1" t="s">
        <v>2</v>
      </c>
      <c r="E247" t="b">
        <v>0</v>
      </c>
      <c r="F247">
        <v>41</v>
      </c>
      <c r="G247">
        <v>42</v>
      </c>
      <c r="H247" t="s">
        <v>11</v>
      </c>
      <c r="I247" t="b">
        <v>0</v>
      </c>
      <c r="J247" cm="1">
        <f t="array" ref="J247">sentimentCalc(B247)</f>
        <v>0</v>
      </c>
      <c r="K247" t="str" cm="1">
        <f t="array" ref="K247">sentimentCategory(J247)</f>
        <v>Neutral</v>
      </c>
    </row>
    <row r="248" spans="1:11" ht="17" x14ac:dyDescent="0.2">
      <c r="A248" t="s">
        <v>4364</v>
      </c>
      <c r="B248" s="1" t="s">
        <v>4365</v>
      </c>
      <c r="C248" t="s">
        <v>617</v>
      </c>
      <c r="D248" s="1" t="s">
        <v>701</v>
      </c>
      <c r="E248" t="b">
        <v>0</v>
      </c>
      <c r="F248">
        <v>25</v>
      </c>
      <c r="G248">
        <v>175</v>
      </c>
      <c r="H248" t="s">
        <v>11</v>
      </c>
      <c r="I248" t="b">
        <v>0</v>
      </c>
      <c r="J248" cm="1">
        <f t="array" ref="J248">sentimentCalc(B248)</f>
        <v>0</v>
      </c>
      <c r="K248" t="str" cm="1">
        <f t="array" ref="K248">sentimentCategory(J248)</f>
        <v>Neutral</v>
      </c>
    </row>
    <row r="249" spans="1:11" ht="17" x14ac:dyDescent="0.2">
      <c r="A249" t="s">
        <v>7044</v>
      </c>
      <c r="B249" s="1" t="s">
        <v>7045</v>
      </c>
      <c r="C249" t="s">
        <v>1579</v>
      </c>
      <c r="D249" s="1" t="s">
        <v>2</v>
      </c>
      <c r="E249" t="b">
        <v>0</v>
      </c>
      <c r="F249">
        <v>17</v>
      </c>
      <c r="G249">
        <v>0</v>
      </c>
      <c r="H249" t="s">
        <v>11</v>
      </c>
      <c r="I249" t="b">
        <v>0</v>
      </c>
      <c r="J249" cm="1">
        <f t="array" ref="J249">sentimentCalc(B249)</f>
        <v>1</v>
      </c>
      <c r="K249" t="str" cm="1">
        <f t="array" ref="K249">sentimentCategory(J249)</f>
        <v>Positive</v>
      </c>
    </row>
    <row r="250" spans="1:11" ht="17" x14ac:dyDescent="0.2">
      <c r="A250" t="s">
        <v>4932</v>
      </c>
      <c r="B250" s="1" t="s">
        <v>4933</v>
      </c>
      <c r="C250" t="s">
        <v>623</v>
      </c>
      <c r="D250" s="1" t="s">
        <v>4934</v>
      </c>
      <c r="E250" t="b">
        <v>0</v>
      </c>
      <c r="F250">
        <v>2280</v>
      </c>
      <c r="G250">
        <v>1389</v>
      </c>
      <c r="H250" t="s">
        <v>11</v>
      </c>
      <c r="I250" t="b">
        <v>0</v>
      </c>
      <c r="J250" cm="1">
        <f t="array" ref="J250">sentimentCalc(B250)</f>
        <v>0</v>
      </c>
      <c r="K250" t="str" cm="1">
        <f t="array" ref="K250">sentimentCategory(J250)</f>
        <v>Neutral</v>
      </c>
    </row>
    <row r="251" spans="1:11" ht="17" x14ac:dyDescent="0.2">
      <c r="A251" t="s">
        <v>6052</v>
      </c>
      <c r="B251" s="1" t="s">
        <v>6053</v>
      </c>
      <c r="C251" t="s">
        <v>736</v>
      </c>
      <c r="D251" s="1" t="s">
        <v>61</v>
      </c>
      <c r="E251" t="b">
        <v>0</v>
      </c>
      <c r="F251">
        <v>169</v>
      </c>
      <c r="G251">
        <v>52</v>
      </c>
      <c r="H251" t="s">
        <v>11</v>
      </c>
      <c r="I251" t="b">
        <v>0</v>
      </c>
      <c r="J251" cm="1">
        <f t="array" ref="J251">sentimentCalc(B251)</f>
        <v>0</v>
      </c>
      <c r="K251" t="str" cm="1">
        <f t="array" ref="K251">sentimentCategory(J251)</f>
        <v>Neutral</v>
      </c>
    </row>
    <row r="252" spans="1:11" ht="34" x14ac:dyDescent="0.2">
      <c r="A252" t="s">
        <v>2663</v>
      </c>
      <c r="B252" s="1" t="s">
        <v>2665</v>
      </c>
      <c r="C252" t="s">
        <v>554</v>
      </c>
      <c r="D252" s="1" t="s">
        <v>2</v>
      </c>
      <c r="E252" t="b">
        <v>0</v>
      </c>
      <c r="F252">
        <v>236</v>
      </c>
      <c r="G252">
        <v>2</v>
      </c>
      <c r="H252" t="s">
        <v>11</v>
      </c>
      <c r="I252" t="b">
        <v>0</v>
      </c>
      <c r="J252" cm="1">
        <f t="array" ref="J252">sentimentCalc(B252)</f>
        <v>0</v>
      </c>
      <c r="K252" t="str" cm="1">
        <f t="array" ref="K252">sentimentCategory(J252)</f>
        <v>Neutral</v>
      </c>
    </row>
    <row r="253" spans="1:11" ht="17" x14ac:dyDescent="0.2">
      <c r="A253" t="s">
        <v>1429</v>
      </c>
      <c r="B253" s="1" t="s">
        <v>1430</v>
      </c>
      <c r="C253" t="s">
        <v>1431</v>
      </c>
      <c r="E253" t="b">
        <v>0</v>
      </c>
      <c r="F253">
        <v>2470</v>
      </c>
      <c r="G253">
        <v>2387</v>
      </c>
      <c r="H253" t="s">
        <v>3</v>
      </c>
      <c r="I253" t="b">
        <v>0</v>
      </c>
      <c r="J253" cm="1">
        <f t="array" ref="J253">sentimentCalc(B253)</f>
        <v>2</v>
      </c>
      <c r="K253" t="str" cm="1">
        <f t="array" ref="K253">sentimentCategory(J253)</f>
        <v>Positive</v>
      </c>
    </row>
    <row r="254" spans="1:11" ht="17" x14ac:dyDescent="0.2">
      <c r="A254" t="s">
        <v>2277</v>
      </c>
      <c r="B254" s="1" t="s">
        <v>2278</v>
      </c>
      <c r="C254" t="s">
        <v>736</v>
      </c>
      <c r="D254" s="1" t="s">
        <v>61</v>
      </c>
      <c r="E254" t="b">
        <v>0</v>
      </c>
      <c r="F254">
        <v>168</v>
      </c>
      <c r="G254">
        <v>52</v>
      </c>
      <c r="H254" t="s">
        <v>11</v>
      </c>
      <c r="I254" t="b">
        <v>0</v>
      </c>
      <c r="J254" cm="1">
        <f t="array" ref="J254">sentimentCalc(B254)</f>
        <v>0</v>
      </c>
      <c r="K254" t="str" cm="1">
        <f t="array" ref="K254">sentimentCategory(J254)</f>
        <v>Neutral</v>
      </c>
    </row>
    <row r="255" spans="1:11" ht="17" x14ac:dyDescent="0.2">
      <c r="A255" t="s">
        <v>3935</v>
      </c>
      <c r="B255" s="1" t="s">
        <v>3936</v>
      </c>
      <c r="C255" t="s">
        <v>736</v>
      </c>
      <c r="D255" s="1" t="s">
        <v>61</v>
      </c>
      <c r="E255" t="b">
        <v>0</v>
      </c>
      <c r="F255">
        <v>168</v>
      </c>
      <c r="G255">
        <v>52</v>
      </c>
      <c r="H255" t="s">
        <v>11</v>
      </c>
      <c r="I255" t="b">
        <v>0</v>
      </c>
      <c r="J255" cm="1">
        <f t="array" ref="J255">sentimentCalc(B255)</f>
        <v>0</v>
      </c>
      <c r="K255" t="str" cm="1">
        <f t="array" ref="K255">sentimentCategory(J255)</f>
        <v>Neutral</v>
      </c>
    </row>
    <row r="256" spans="1:11" ht="17" x14ac:dyDescent="0.2">
      <c r="A256" t="s">
        <v>4003</v>
      </c>
      <c r="B256" s="1" t="s">
        <v>4004</v>
      </c>
      <c r="C256" t="s">
        <v>736</v>
      </c>
      <c r="D256" s="1" t="s">
        <v>61</v>
      </c>
      <c r="E256" t="b">
        <v>0</v>
      </c>
      <c r="F256">
        <v>168</v>
      </c>
      <c r="G256">
        <v>52</v>
      </c>
      <c r="H256" t="s">
        <v>11</v>
      </c>
      <c r="I256" t="b">
        <v>0</v>
      </c>
      <c r="J256" cm="1">
        <f t="array" ref="J256">sentimentCalc(B256)</f>
        <v>0</v>
      </c>
      <c r="K256" t="str" cm="1">
        <f t="array" ref="K256">sentimentCategory(J256)</f>
        <v>Neutral</v>
      </c>
    </row>
    <row r="257" spans="1:11" ht="17" x14ac:dyDescent="0.2">
      <c r="A257" t="s">
        <v>2353</v>
      </c>
      <c r="B257" s="1" t="s">
        <v>2354</v>
      </c>
      <c r="C257" t="s">
        <v>736</v>
      </c>
      <c r="D257" s="1" t="s">
        <v>61</v>
      </c>
      <c r="E257" t="b">
        <v>0</v>
      </c>
      <c r="F257">
        <v>168</v>
      </c>
      <c r="G257">
        <v>52</v>
      </c>
      <c r="H257" t="s">
        <v>11</v>
      </c>
      <c r="I257" t="b">
        <v>0</v>
      </c>
      <c r="J257" cm="1">
        <f t="array" ref="J257">sentimentCalc(B257)</f>
        <v>0</v>
      </c>
      <c r="K257" t="str" cm="1">
        <f t="array" ref="K257">sentimentCategory(J257)</f>
        <v>Neutral</v>
      </c>
    </row>
    <row r="258" spans="1:11" ht="17" x14ac:dyDescent="0.2">
      <c r="A258" t="s">
        <v>4030</v>
      </c>
      <c r="B258" s="1" t="s">
        <v>4031</v>
      </c>
      <c r="C258" t="s">
        <v>736</v>
      </c>
      <c r="D258" s="1" t="s">
        <v>61</v>
      </c>
      <c r="E258" t="b">
        <v>0</v>
      </c>
      <c r="F258">
        <v>168</v>
      </c>
      <c r="G258">
        <v>52</v>
      </c>
      <c r="H258" t="s">
        <v>11</v>
      </c>
      <c r="I258" t="b">
        <v>0</v>
      </c>
      <c r="J258" cm="1">
        <f t="array" ref="J258">sentimentCalc(B258)</f>
        <v>0</v>
      </c>
      <c r="K258" t="str" cm="1">
        <f t="array" ref="K258">sentimentCategory(J258)</f>
        <v>Neutral</v>
      </c>
    </row>
    <row r="259" spans="1:11" ht="17" x14ac:dyDescent="0.2">
      <c r="A259" t="s">
        <v>746</v>
      </c>
      <c r="B259" s="1" t="s">
        <v>747</v>
      </c>
      <c r="C259" t="s">
        <v>748</v>
      </c>
      <c r="D259" s="1" t="s">
        <v>749</v>
      </c>
      <c r="E259" t="b">
        <v>0</v>
      </c>
      <c r="F259">
        <v>3058</v>
      </c>
      <c r="G259">
        <v>983</v>
      </c>
      <c r="H259" t="s">
        <v>11</v>
      </c>
      <c r="I259" t="b">
        <v>0</v>
      </c>
      <c r="J259" cm="1">
        <f t="array" ref="J259">sentimentCalc(B259)</f>
        <v>0</v>
      </c>
      <c r="K259" t="str" cm="1">
        <f t="array" ref="K259">sentimentCategory(J259)</f>
        <v>Neutral</v>
      </c>
    </row>
    <row r="260" spans="1:11" ht="17" x14ac:dyDescent="0.2">
      <c r="A260" t="s">
        <v>3971</v>
      </c>
      <c r="B260" s="1" t="s">
        <v>3972</v>
      </c>
      <c r="C260" t="s">
        <v>2533</v>
      </c>
      <c r="D260" s="1" t="s">
        <v>19</v>
      </c>
      <c r="E260" t="b">
        <v>0</v>
      </c>
      <c r="F260">
        <v>227</v>
      </c>
      <c r="G260">
        <v>454</v>
      </c>
      <c r="H260" t="s">
        <v>83</v>
      </c>
      <c r="I260" t="b">
        <v>0</v>
      </c>
      <c r="J260" cm="1">
        <f t="array" ref="J260">sentimentCalc(B260)</f>
        <v>0</v>
      </c>
      <c r="K260" t="str" cm="1">
        <f t="array" ref="K260">sentimentCategory(J260)</f>
        <v>Neutral</v>
      </c>
    </row>
    <row r="261" spans="1:11" ht="17" x14ac:dyDescent="0.2">
      <c r="A261" t="s">
        <v>619</v>
      </c>
      <c r="B261" s="1" t="s">
        <v>620</v>
      </c>
      <c r="C261" t="s">
        <v>391</v>
      </c>
      <c r="D261" s="1" t="s">
        <v>392</v>
      </c>
      <c r="E261" t="b">
        <v>0</v>
      </c>
      <c r="F261">
        <v>48</v>
      </c>
      <c r="G261">
        <v>230</v>
      </c>
      <c r="H261" t="s">
        <v>11</v>
      </c>
      <c r="I261" t="b">
        <v>0</v>
      </c>
      <c r="J261" cm="1">
        <f t="array" ref="J261">sentimentCalc(B261)</f>
        <v>0</v>
      </c>
      <c r="K261" t="str" cm="1">
        <f t="array" ref="K261">sentimentCategory(J261)</f>
        <v>Neutral</v>
      </c>
    </row>
    <row r="262" spans="1:11" ht="34" x14ac:dyDescent="0.2">
      <c r="A262" t="s">
        <v>6082</v>
      </c>
      <c r="B262" s="1" t="s">
        <v>6083</v>
      </c>
      <c r="C262" t="s">
        <v>5632</v>
      </c>
      <c r="D262" s="1" t="s">
        <v>2</v>
      </c>
      <c r="E262" t="b">
        <v>0</v>
      </c>
      <c r="F262">
        <v>87054</v>
      </c>
      <c r="G262">
        <v>83388</v>
      </c>
      <c r="H262" t="s">
        <v>11</v>
      </c>
      <c r="I262" t="b">
        <v>0</v>
      </c>
      <c r="J262" cm="1">
        <f t="array" ref="J262">sentimentCalc(B262)</f>
        <v>3</v>
      </c>
      <c r="K262" t="str" cm="1">
        <f t="array" ref="K262">sentimentCategory(J262)</f>
        <v>Positive</v>
      </c>
    </row>
    <row r="263" spans="1:11" ht="34" x14ac:dyDescent="0.2">
      <c r="A263" t="s">
        <v>7033</v>
      </c>
      <c r="B263" s="1" t="s">
        <v>7034</v>
      </c>
      <c r="C263" t="s">
        <v>1858</v>
      </c>
      <c r="D263" s="1" t="s">
        <v>7035</v>
      </c>
      <c r="E263" t="b">
        <v>0</v>
      </c>
      <c r="F263">
        <v>21202</v>
      </c>
      <c r="G263">
        <v>399</v>
      </c>
      <c r="H263" t="s">
        <v>11</v>
      </c>
      <c r="I263" t="b">
        <v>0</v>
      </c>
      <c r="J263" cm="1">
        <f t="array" ref="J263">sentimentCalc(B263)</f>
        <v>-1</v>
      </c>
      <c r="K263" t="str" cm="1">
        <f t="array" ref="K263">sentimentCategory(J263)</f>
        <v>Negative</v>
      </c>
    </row>
    <row r="264" spans="1:11" ht="17" x14ac:dyDescent="0.2">
      <c r="A264" t="s">
        <v>2011</v>
      </c>
      <c r="B264" s="1" t="s">
        <v>2012</v>
      </c>
      <c r="C264" t="s">
        <v>1112</v>
      </c>
      <c r="D264" s="1" t="s">
        <v>2013</v>
      </c>
      <c r="E264" t="b">
        <v>0</v>
      </c>
      <c r="F264">
        <v>1605</v>
      </c>
      <c r="G264">
        <v>288</v>
      </c>
      <c r="H264" t="s">
        <v>11</v>
      </c>
      <c r="I264" t="b">
        <v>0</v>
      </c>
      <c r="J264" cm="1">
        <f t="array" ref="J264">sentimentCalc(B264)</f>
        <v>0</v>
      </c>
      <c r="K264" t="str" cm="1">
        <f t="array" ref="K264">sentimentCategory(J264)</f>
        <v>Neutral</v>
      </c>
    </row>
    <row r="265" spans="1:11" ht="17" x14ac:dyDescent="0.2">
      <c r="A265" t="s">
        <v>514</v>
      </c>
      <c r="B265" s="1" t="s">
        <v>515</v>
      </c>
      <c r="C265" t="s">
        <v>516</v>
      </c>
      <c r="D265" s="1" t="s">
        <v>2</v>
      </c>
      <c r="E265" t="b">
        <v>0</v>
      </c>
      <c r="F265">
        <v>833</v>
      </c>
      <c r="G265">
        <v>1</v>
      </c>
      <c r="H265" t="s">
        <v>11</v>
      </c>
      <c r="I265" t="b">
        <v>0</v>
      </c>
      <c r="J265" cm="1">
        <f t="array" ref="J265">sentimentCalc(B265)</f>
        <v>-1</v>
      </c>
      <c r="K265" t="str" cm="1">
        <f t="array" ref="K265">sentimentCategory(J265)</f>
        <v>Negative</v>
      </c>
    </row>
    <row r="266" spans="1:11" ht="17" x14ac:dyDescent="0.2">
      <c r="A266" t="s">
        <v>1785</v>
      </c>
      <c r="B266" s="1" t="s">
        <v>1786</v>
      </c>
      <c r="C266" t="s">
        <v>271</v>
      </c>
      <c r="D266" s="1" t="s">
        <v>2</v>
      </c>
      <c r="E266" t="b">
        <v>0</v>
      </c>
      <c r="F266">
        <v>30114</v>
      </c>
      <c r="G266">
        <v>981</v>
      </c>
      <c r="H266" t="s">
        <v>47</v>
      </c>
      <c r="I266" t="b">
        <v>0</v>
      </c>
      <c r="J266" cm="1">
        <f t="array" ref="J266">sentimentCalc(B266)</f>
        <v>0</v>
      </c>
      <c r="K266" t="str" cm="1">
        <f t="array" ref="K266">sentimentCategory(J266)</f>
        <v>Neutral</v>
      </c>
    </row>
    <row r="267" spans="1:11" ht="17" x14ac:dyDescent="0.2">
      <c r="A267" t="s">
        <v>1353</v>
      </c>
      <c r="B267" s="1" t="s">
        <v>1354</v>
      </c>
      <c r="C267" t="s">
        <v>1355</v>
      </c>
      <c r="D267" s="1" t="s">
        <v>1356</v>
      </c>
      <c r="E267" t="b">
        <v>0</v>
      </c>
      <c r="F267">
        <v>1394</v>
      </c>
      <c r="G267">
        <v>2271</v>
      </c>
      <c r="H267" t="s">
        <v>11</v>
      </c>
      <c r="I267" t="b">
        <v>0</v>
      </c>
      <c r="J267" cm="1">
        <f t="array" ref="J267">sentimentCalc(B267)</f>
        <v>0</v>
      </c>
      <c r="K267" t="str" cm="1">
        <f t="array" ref="K267">sentimentCategory(J267)</f>
        <v>Neutral</v>
      </c>
    </row>
    <row r="268" spans="1:11" ht="17" x14ac:dyDescent="0.2">
      <c r="A268" t="s">
        <v>3253</v>
      </c>
      <c r="B268" s="1" t="s">
        <v>3254</v>
      </c>
      <c r="C268" t="s">
        <v>2642</v>
      </c>
      <c r="D268" s="1" t="s">
        <v>2643</v>
      </c>
      <c r="E268" t="b">
        <v>0</v>
      </c>
      <c r="F268">
        <v>313</v>
      </c>
      <c r="G268">
        <v>182</v>
      </c>
      <c r="H268" t="s">
        <v>11</v>
      </c>
      <c r="I268" t="b">
        <v>0</v>
      </c>
      <c r="J268" cm="1">
        <f t="array" ref="J268">sentimentCalc(B268)</f>
        <v>0</v>
      </c>
      <c r="K268" t="str" cm="1">
        <f t="array" ref="K268">sentimentCategory(J268)</f>
        <v>Neutral</v>
      </c>
    </row>
    <row r="269" spans="1:11" ht="17" x14ac:dyDescent="0.2">
      <c r="A269" t="s">
        <v>5885</v>
      </c>
      <c r="B269" s="1" t="s">
        <v>5886</v>
      </c>
      <c r="C269" t="s">
        <v>5887</v>
      </c>
      <c r="D269" s="1" t="s">
        <v>5888</v>
      </c>
      <c r="E269" t="b">
        <v>0</v>
      </c>
      <c r="F269">
        <v>169</v>
      </c>
      <c r="G269">
        <v>80</v>
      </c>
      <c r="H269" t="s">
        <v>11</v>
      </c>
      <c r="I269" t="b">
        <v>0</v>
      </c>
      <c r="J269" cm="1">
        <f t="array" ref="J269">sentimentCalc(B269)</f>
        <v>1</v>
      </c>
      <c r="K269" t="str" cm="1">
        <f t="array" ref="K269">sentimentCategory(J269)</f>
        <v>Positive</v>
      </c>
    </row>
    <row r="270" spans="1:11" ht="34" x14ac:dyDescent="0.2">
      <c r="A270" t="s">
        <v>5594</v>
      </c>
      <c r="B270" s="1" t="s">
        <v>5595</v>
      </c>
      <c r="C270" t="s">
        <v>1226</v>
      </c>
      <c r="D270" s="1" t="s">
        <v>2</v>
      </c>
      <c r="E270" t="b">
        <v>0</v>
      </c>
      <c r="F270">
        <v>40</v>
      </c>
      <c r="G270">
        <v>201</v>
      </c>
      <c r="H270" t="s">
        <v>11</v>
      </c>
      <c r="I270" t="b">
        <v>0</v>
      </c>
      <c r="J270" cm="1">
        <f t="array" ref="J270">sentimentCalc(B270)</f>
        <v>0</v>
      </c>
      <c r="K270" t="str" cm="1">
        <f t="array" ref="K270">sentimentCategory(J270)</f>
        <v>Neutral</v>
      </c>
    </row>
    <row r="271" spans="1:11" ht="17" x14ac:dyDescent="0.2">
      <c r="A271" t="s">
        <v>217</v>
      </c>
      <c r="B271" s="1" t="s">
        <v>218</v>
      </c>
      <c r="C271" t="s">
        <v>219</v>
      </c>
      <c r="D271" s="1" t="s">
        <v>2</v>
      </c>
      <c r="E271" t="b">
        <v>0</v>
      </c>
      <c r="F271">
        <v>20</v>
      </c>
      <c r="G271">
        <v>147</v>
      </c>
      <c r="H271" t="s">
        <v>11</v>
      </c>
      <c r="I271" t="b">
        <v>0</v>
      </c>
      <c r="J271" cm="1">
        <f t="array" ref="J271">sentimentCalc(B271)</f>
        <v>0</v>
      </c>
      <c r="K271" t="str" cm="1">
        <f t="array" ref="K271">sentimentCategory(J271)</f>
        <v>Neutral</v>
      </c>
    </row>
    <row r="272" spans="1:11" ht="17" x14ac:dyDescent="0.2">
      <c r="A272" t="s">
        <v>1224</v>
      </c>
      <c r="B272" s="1" t="s">
        <v>1225</v>
      </c>
      <c r="C272" t="s">
        <v>1226</v>
      </c>
      <c r="D272" s="1" t="s">
        <v>1227</v>
      </c>
      <c r="E272" t="b">
        <v>0</v>
      </c>
      <c r="F272">
        <v>425</v>
      </c>
      <c r="G272">
        <v>768</v>
      </c>
      <c r="H272" t="s">
        <v>11</v>
      </c>
      <c r="I272" t="b">
        <v>0</v>
      </c>
      <c r="J272" cm="1">
        <f t="array" ref="J272">sentimentCalc(B272)</f>
        <v>0</v>
      </c>
      <c r="K272" t="str" cm="1">
        <f t="array" ref="K272">sentimentCategory(J272)</f>
        <v>Neutral</v>
      </c>
    </row>
    <row r="273" spans="1:11" ht="34" x14ac:dyDescent="0.2">
      <c r="A273" t="s">
        <v>4344</v>
      </c>
      <c r="B273" s="1" t="s">
        <v>4345</v>
      </c>
      <c r="C273" t="s">
        <v>3457</v>
      </c>
      <c r="D273" s="1" t="s">
        <v>4346</v>
      </c>
      <c r="E273" t="b">
        <v>0</v>
      </c>
      <c r="F273">
        <v>3155</v>
      </c>
      <c r="G273">
        <v>372</v>
      </c>
      <c r="H273" t="s">
        <v>11</v>
      </c>
      <c r="I273" t="b">
        <v>0</v>
      </c>
      <c r="J273" cm="1">
        <f t="array" ref="J273">sentimentCalc(B273)</f>
        <v>0</v>
      </c>
      <c r="K273" t="str" cm="1">
        <f t="array" ref="K273">sentimentCategory(J273)</f>
        <v>Neutral</v>
      </c>
    </row>
    <row r="274" spans="1:11" ht="17" x14ac:dyDescent="0.2">
      <c r="A274" t="s">
        <v>2920</v>
      </c>
      <c r="B274" s="1" t="s">
        <v>2921</v>
      </c>
      <c r="C274" t="s">
        <v>2922</v>
      </c>
      <c r="D274" s="1" t="s">
        <v>2923</v>
      </c>
      <c r="E274" t="b">
        <v>0</v>
      </c>
      <c r="F274">
        <v>562</v>
      </c>
      <c r="G274">
        <v>288</v>
      </c>
      <c r="H274" t="s">
        <v>47</v>
      </c>
      <c r="I274" t="b">
        <v>0</v>
      </c>
      <c r="J274" cm="1">
        <f t="array" ref="J274">sentimentCalc(B274)</f>
        <v>0</v>
      </c>
      <c r="K274" t="str" cm="1">
        <f t="array" ref="K274">sentimentCategory(J274)</f>
        <v>Neutral</v>
      </c>
    </row>
    <row r="275" spans="1:11" ht="17" x14ac:dyDescent="0.2">
      <c r="A275" t="s">
        <v>2348</v>
      </c>
      <c r="B275" s="1" t="s">
        <v>2349</v>
      </c>
      <c r="C275" t="s">
        <v>1015</v>
      </c>
      <c r="D275" s="1" t="s">
        <v>2339</v>
      </c>
      <c r="E275" t="b">
        <v>0</v>
      </c>
      <c r="F275">
        <v>98</v>
      </c>
      <c r="G275">
        <v>134</v>
      </c>
      <c r="H275" t="s">
        <v>11</v>
      </c>
      <c r="I275" t="b">
        <v>0</v>
      </c>
      <c r="J275" cm="1">
        <f t="array" ref="J275">sentimentCalc(B275)</f>
        <v>0</v>
      </c>
      <c r="K275" t="str" cm="1">
        <f t="array" ref="K275">sentimentCategory(J275)</f>
        <v>Neutral</v>
      </c>
    </row>
    <row r="276" spans="1:11" ht="34" x14ac:dyDescent="0.2">
      <c r="A276" t="s">
        <v>7103</v>
      </c>
      <c r="B276" s="1" t="s">
        <v>7104</v>
      </c>
      <c r="C276" t="s">
        <v>7105</v>
      </c>
      <c r="D276" s="1" t="s">
        <v>2</v>
      </c>
      <c r="E276" t="b">
        <v>0</v>
      </c>
      <c r="F276">
        <v>614</v>
      </c>
      <c r="G276">
        <v>190</v>
      </c>
      <c r="H276" t="s">
        <v>11</v>
      </c>
      <c r="I276" t="b">
        <v>0</v>
      </c>
      <c r="J276" cm="1">
        <f t="array" ref="J276">sentimentCalc(B276)</f>
        <v>-2</v>
      </c>
      <c r="K276" t="str" cm="1">
        <f t="array" ref="K276">sentimentCategory(J276)</f>
        <v>Negative</v>
      </c>
    </row>
    <row r="277" spans="1:11" ht="34" x14ac:dyDescent="0.2">
      <c r="A277" t="s">
        <v>3653</v>
      </c>
      <c r="B277" s="1" t="s">
        <v>3654</v>
      </c>
      <c r="C277" t="s">
        <v>113</v>
      </c>
      <c r="D277" s="1" t="s">
        <v>114</v>
      </c>
      <c r="E277" t="b">
        <v>0</v>
      </c>
      <c r="F277">
        <v>92</v>
      </c>
      <c r="G277">
        <v>202</v>
      </c>
      <c r="H277" t="s">
        <v>11</v>
      </c>
      <c r="I277" t="b">
        <v>0</v>
      </c>
      <c r="J277" cm="1">
        <f t="array" ref="J277">sentimentCalc(B277)</f>
        <v>1</v>
      </c>
      <c r="K277" t="str" cm="1">
        <f t="array" ref="K277">sentimentCategory(J277)</f>
        <v>Positive</v>
      </c>
    </row>
    <row r="278" spans="1:11" ht="17" x14ac:dyDescent="0.2">
      <c r="A278" t="s">
        <v>2055</v>
      </c>
      <c r="B278" s="1" t="s">
        <v>2056</v>
      </c>
      <c r="C278" t="s">
        <v>113</v>
      </c>
      <c r="D278" s="1" t="s">
        <v>114</v>
      </c>
      <c r="E278" t="b">
        <v>0</v>
      </c>
      <c r="F278">
        <v>93</v>
      </c>
      <c r="G278">
        <v>202</v>
      </c>
      <c r="H278" t="s">
        <v>11</v>
      </c>
      <c r="I278" t="b">
        <v>0</v>
      </c>
      <c r="J278" cm="1">
        <f t="array" ref="J278">sentimentCalc(B278)</f>
        <v>0</v>
      </c>
      <c r="K278" t="str" cm="1">
        <f t="array" ref="K278">sentimentCategory(J278)</f>
        <v>Neutral</v>
      </c>
    </row>
    <row r="279" spans="1:11" ht="34" x14ac:dyDescent="0.2">
      <c r="A279" t="s">
        <v>4765</v>
      </c>
      <c r="B279" s="1" t="s">
        <v>4766</v>
      </c>
      <c r="C279" t="s">
        <v>113</v>
      </c>
      <c r="D279" s="1" t="s">
        <v>114</v>
      </c>
      <c r="E279" t="b">
        <v>0</v>
      </c>
      <c r="F279">
        <v>93</v>
      </c>
      <c r="G279">
        <v>202</v>
      </c>
      <c r="H279" t="s">
        <v>11</v>
      </c>
      <c r="I279" t="b">
        <v>0</v>
      </c>
      <c r="J279" cm="1">
        <f t="array" ref="J279">sentimentCalc(B279)</f>
        <v>0</v>
      </c>
      <c r="K279" t="str" cm="1">
        <f t="array" ref="K279">sentimentCategory(J279)</f>
        <v>Neutral</v>
      </c>
    </row>
    <row r="280" spans="1:11" ht="34" x14ac:dyDescent="0.2">
      <c r="A280" t="s">
        <v>111</v>
      </c>
      <c r="B280" s="1" t="s">
        <v>112</v>
      </c>
      <c r="C280" t="s">
        <v>113</v>
      </c>
      <c r="D280" s="1" t="s">
        <v>114</v>
      </c>
      <c r="E280" t="b">
        <v>0</v>
      </c>
      <c r="F280">
        <v>94</v>
      </c>
      <c r="G280">
        <v>202</v>
      </c>
      <c r="H280" t="s">
        <v>11</v>
      </c>
      <c r="I280" t="b">
        <v>0</v>
      </c>
      <c r="J280" cm="1">
        <f t="array" ref="J280">sentimentCalc(B280)</f>
        <v>0</v>
      </c>
      <c r="K280" t="str" cm="1">
        <f t="array" ref="K280">sentimentCategory(J280)</f>
        <v>Neutral</v>
      </c>
    </row>
    <row r="281" spans="1:11" ht="34" x14ac:dyDescent="0.2">
      <c r="A281" t="s">
        <v>364</v>
      </c>
      <c r="B281" s="1" t="s">
        <v>365</v>
      </c>
      <c r="C281" t="s">
        <v>113</v>
      </c>
      <c r="D281" s="1" t="s">
        <v>114</v>
      </c>
      <c r="E281" t="b">
        <v>0</v>
      </c>
      <c r="F281">
        <v>93</v>
      </c>
      <c r="G281">
        <v>202</v>
      </c>
      <c r="H281" t="s">
        <v>11</v>
      </c>
      <c r="I281" t="b">
        <v>0</v>
      </c>
      <c r="J281" cm="1">
        <f t="array" ref="J281">sentimentCalc(B281)</f>
        <v>1</v>
      </c>
      <c r="K281" t="str" cm="1">
        <f t="array" ref="K281">sentimentCategory(J281)</f>
        <v>Positive</v>
      </c>
    </row>
    <row r="282" spans="1:11" ht="34" x14ac:dyDescent="0.2">
      <c r="A282" t="s">
        <v>5121</v>
      </c>
      <c r="B282" s="1" t="s">
        <v>5122</v>
      </c>
      <c r="C282" t="s">
        <v>113</v>
      </c>
      <c r="D282" s="1" t="s">
        <v>114</v>
      </c>
      <c r="E282" t="b">
        <v>0</v>
      </c>
      <c r="F282">
        <v>94</v>
      </c>
      <c r="G282">
        <v>202</v>
      </c>
      <c r="H282" t="s">
        <v>11</v>
      </c>
      <c r="I282" t="b">
        <v>0</v>
      </c>
      <c r="J282" cm="1">
        <f t="array" ref="J282">sentimentCalc(B282)</f>
        <v>0</v>
      </c>
      <c r="K282" t="str" cm="1">
        <f t="array" ref="K282">sentimentCategory(J282)</f>
        <v>Neutral</v>
      </c>
    </row>
    <row r="283" spans="1:11" ht="34" x14ac:dyDescent="0.2">
      <c r="A283" t="s">
        <v>5770</v>
      </c>
      <c r="B283" s="1" t="s">
        <v>5771</v>
      </c>
      <c r="C283" t="s">
        <v>113</v>
      </c>
      <c r="D283" s="1" t="s">
        <v>114</v>
      </c>
      <c r="E283" t="b">
        <v>0</v>
      </c>
      <c r="F283">
        <v>95</v>
      </c>
      <c r="G283">
        <v>202</v>
      </c>
      <c r="H283" t="s">
        <v>11</v>
      </c>
      <c r="I283" t="b">
        <v>0</v>
      </c>
      <c r="J283" cm="1">
        <f t="array" ref="J283">sentimentCalc(B283)</f>
        <v>0</v>
      </c>
      <c r="K283" t="str" cm="1">
        <f t="array" ref="K283">sentimentCategory(J283)</f>
        <v>Neutral</v>
      </c>
    </row>
    <row r="284" spans="1:11" ht="17" x14ac:dyDescent="0.2">
      <c r="A284" t="s">
        <v>5776</v>
      </c>
      <c r="B284" s="1" t="s">
        <v>5777</v>
      </c>
      <c r="C284" t="s">
        <v>5778</v>
      </c>
      <c r="D284" s="1" t="s">
        <v>1736</v>
      </c>
      <c r="E284" t="b">
        <v>0</v>
      </c>
      <c r="F284">
        <v>60</v>
      </c>
      <c r="G284">
        <v>153</v>
      </c>
      <c r="H284" t="s">
        <v>11</v>
      </c>
      <c r="I284" t="b">
        <v>0</v>
      </c>
      <c r="J284" cm="1">
        <f t="array" ref="J284">sentimentCalc(B284)</f>
        <v>0</v>
      </c>
      <c r="K284" t="str" cm="1">
        <f t="array" ref="K284">sentimentCategory(J284)</f>
        <v>Neutral</v>
      </c>
    </row>
    <row r="285" spans="1:11" ht="17" x14ac:dyDescent="0.2">
      <c r="A285" t="s">
        <v>4489</v>
      </c>
      <c r="B285" s="1" t="s">
        <v>4490</v>
      </c>
      <c r="C285" t="s">
        <v>4491</v>
      </c>
      <c r="D285" s="1" t="s">
        <v>2</v>
      </c>
      <c r="E285" t="b">
        <v>0</v>
      </c>
      <c r="F285">
        <v>89</v>
      </c>
      <c r="G285">
        <v>60</v>
      </c>
      <c r="H285" t="s">
        <v>11</v>
      </c>
      <c r="I285" t="b">
        <v>0</v>
      </c>
      <c r="J285" cm="1">
        <f t="array" ref="J285">sentimentCalc(B285)</f>
        <v>0</v>
      </c>
      <c r="K285" t="str" cm="1">
        <f t="array" ref="K285">sentimentCategory(J285)</f>
        <v>Neutral</v>
      </c>
    </row>
    <row r="286" spans="1:11" ht="17" x14ac:dyDescent="0.2">
      <c r="A286" t="s">
        <v>1333</v>
      </c>
      <c r="B286" s="1" t="s">
        <v>1335</v>
      </c>
      <c r="C286" t="s">
        <v>468</v>
      </c>
      <c r="D286" s="1" t="s">
        <v>1336</v>
      </c>
      <c r="E286" t="b">
        <v>0</v>
      </c>
      <c r="F286">
        <v>3209</v>
      </c>
      <c r="G286">
        <v>461</v>
      </c>
      <c r="H286" t="s">
        <v>11</v>
      </c>
      <c r="I286" t="b">
        <v>0</v>
      </c>
      <c r="J286" cm="1">
        <f t="array" ref="J286">sentimentCalc(B286)</f>
        <v>0</v>
      </c>
      <c r="K286" t="str" cm="1">
        <f t="array" ref="K286">sentimentCategory(J286)</f>
        <v>Neutral</v>
      </c>
    </row>
    <row r="287" spans="1:11" ht="34" x14ac:dyDescent="0.2">
      <c r="A287" t="s">
        <v>4306</v>
      </c>
      <c r="B287" s="1" t="s">
        <v>4307</v>
      </c>
      <c r="C287" t="s">
        <v>4308</v>
      </c>
      <c r="D287" s="1" t="s">
        <v>2</v>
      </c>
      <c r="E287" t="b">
        <v>0</v>
      </c>
      <c r="F287">
        <v>337</v>
      </c>
      <c r="G287">
        <v>669</v>
      </c>
      <c r="H287" t="s">
        <v>11</v>
      </c>
      <c r="I287" t="b">
        <v>0</v>
      </c>
      <c r="J287" cm="1">
        <f t="array" ref="J287">sentimentCalc(B287)</f>
        <v>0</v>
      </c>
      <c r="K287" t="str" cm="1">
        <f t="array" ref="K287">sentimentCategory(J287)</f>
        <v>Neutral</v>
      </c>
    </row>
    <row r="288" spans="1:11" ht="17" x14ac:dyDescent="0.2">
      <c r="A288" t="s">
        <v>5298</v>
      </c>
      <c r="B288" s="1" t="s">
        <v>5299</v>
      </c>
      <c r="C288" t="s">
        <v>4119</v>
      </c>
      <c r="D288" s="1" t="s">
        <v>5300</v>
      </c>
      <c r="E288" t="b">
        <v>0</v>
      </c>
      <c r="F288">
        <v>198</v>
      </c>
      <c r="G288">
        <v>191</v>
      </c>
      <c r="H288" t="s">
        <v>11</v>
      </c>
      <c r="I288" t="b">
        <v>0</v>
      </c>
      <c r="J288" cm="1">
        <f t="array" ref="J288">sentimentCalc(B288)</f>
        <v>0</v>
      </c>
      <c r="K288" t="str" cm="1">
        <f t="array" ref="K288">sentimentCategory(J288)</f>
        <v>Neutral</v>
      </c>
    </row>
    <row r="289" spans="1:11" ht="34" x14ac:dyDescent="0.2">
      <c r="A289" t="s">
        <v>4373</v>
      </c>
      <c r="B289" s="1" t="s">
        <v>4374</v>
      </c>
      <c r="C289" t="s">
        <v>4375</v>
      </c>
      <c r="D289" s="1" t="s">
        <v>1768</v>
      </c>
      <c r="E289" t="b">
        <v>0</v>
      </c>
      <c r="F289">
        <v>1325</v>
      </c>
      <c r="G289">
        <v>971</v>
      </c>
      <c r="H289" t="s">
        <v>11</v>
      </c>
      <c r="I289" t="b">
        <v>0</v>
      </c>
      <c r="J289" cm="1">
        <f t="array" ref="J289">sentimentCalc(B289)</f>
        <v>0</v>
      </c>
      <c r="K289" t="str" cm="1">
        <f t="array" ref="K289">sentimentCategory(J289)</f>
        <v>Neutral</v>
      </c>
    </row>
    <row r="290" spans="1:11" ht="17" x14ac:dyDescent="0.2">
      <c r="A290" t="s">
        <v>2959</v>
      </c>
      <c r="B290" s="1" t="s">
        <v>2960</v>
      </c>
      <c r="C290" t="s">
        <v>2941</v>
      </c>
      <c r="D290" s="1" t="s">
        <v>2</v>
      </c>
      <c r="E290" t="b">
        <v>0</v>
      </c>
      <c r="F290">
        <v>7781</v>
      </c>
      <c r="G290">
        <v>1365</v>
      </c>
      <c r="H290" t="s">
        <v>11</v>
      </c>
      <c r="I290" t="b">
        <v>0</v>
      </c>
      <c r="J290" cm="1">
        <f t="array" ref="J290">sentimentCalc(B290)</f>
        <v>0</v>
      </c>
      <c r="K290" t="str" cm="1">
        <f t="array" ref="K290">sentimentCategory(J290)</f>
        <v>Neutral</v>
      </c>
    </row>
    <row r="291" spans="1:11" ht="17" x14ac:dyDescent="0.2">
      <c r="A291" t="s">
        <v>5587</v>
      </c>
      <c r="B291" s="1" t="s">
        <v>5588</v>
      </c>
      <c r="C291" t="s">
        <v>4478</v>
      </c>
      <c r="D291" s="1" t="s">
        <v>5589</v>
      </c>
      <c r="E291" t="b">
        <v>0</v>
      </c>
      <c r="F291">
        <v>1650</v>
      </c>
      <c r="G291">
        <v>1570</v>
      </c>
      <c r="H291" t="s">
        <v>11</v>
      </c>
      <c r="I291" t="b">
        <v>0</v>
      </c>
      <c r="J291" cm="1">
        <f t="array" ref="J291">sentimentCalc(B291)</f>
        <v>0</v>
      </c>
      <c r="K291" t="str" cm="1">
        <f t="array" ref="K291">sentimentCategory(J291)</f>
        <v>Neutral</v>
      </c>
    </row>
    <row r="292" spans="1:11" ht="17" x14ac:dyDescent="0.2">
      <c r="A292" t="s">
        <v>4924</v>
      </c>
      <c r="B292" s="1" t="s">
        <v>4925</v>
      </c>
      <c r="C292" t="s">
        <v>4926</v>
      </c>
      <c r="D292" s="1" t="s">
        <v>2</v>
      </c>
      <c r="E292" t="b">
        <v>0</v>
      </c>
      <c r="F292">
        <v>1565</v>
      </c>
      <c r="G292">
        <v>130</v>
      </c>
      <c r="H292" t="s">
        <v>11</v>
      </c>
      <c r="I292" t="b">
        <v>0</v>
      </c>
      <c r="J292" cm="1">
        <f t="array" ref="J292">sentimentCalc(B292)</f>
        <v>0</v>
      </c>
      <c r="K292" t="str" cm="1">
        <f t="array" ref="K292">sentimentCategory(J292)</f>
        <v>Neutral</v>
      </c>
    </row>
    <row r="293" spans="1:11" ht="34" x14ac:dyDescent="0.2">
      <c r="A293" t="s">
        <v>4528</v>
      </c>
      <c r="B293" s="1" t="s">
        <v>4531</v>
      </c>
      <c r="C293" t="s">
        <v>760</v>
      </c>
      <c r="D293" s="1" t="s">
        <v>4532</v>
      </c>
      <c r="E293" t="b">
        <v>0</v>
      </c>
      <c r="F293">
        <v>123</v>
      </c>
      <c r="G293">
        <v>0</v>
      </c>
      <c r="H293" t="s">
        <v>11</v>
      </c>
      <c r="I293" t="b">
        <v>0</v>
      </c>
      <c r="J293" cm="1">
        <f t="array" ref="J293">sentimentCalc(B293)</f>
        <v>0</v>
      </c>
      <c r="K293" t="str" cm="1">
        <f t="array" ref="K293">sentimentCategory(J293)</f>
        <v>Neutral</v>
      </c>
    </row>
    <row r="294" spans="1:11" ht="34" x14ac:dyDescent="0.2">
      <c r="A294" t="s">
        <v>3082</v>
      </c>
      <c r="B294" s="1" t="s">
        <v>3083</v>
      </c>
      <c r="C294" t="s">
        <v>3084</v>
      </c>
      <c r="D294" s="1" t="s">
        <v>2</v>
      </c>
      <c r="E294" t="b">
        <v>0</v>
      </c>
      <c r="F294">
        <v>22</v>
      </c>
      <c r="G294">
        <v>116</v>
      </c>
      <c r="H294" t="s">
        <v>11</v>
      </c>
      <c r="I294" t="b">
        <v>0</v>
      </c>
      <c r="J294" cm="1">
        <f t="array" ref="J294">sentimentCalc(B294)</f>
        <v>0</v>
      </c>
      <c r="K294" t="str" cm="1">
        <f t="array" ref="K294">sentimentCategory(J294)</f>
        <v>Neutral</v>
      </c>
    </row>
    <row r="295" spans="1:11" ht="17" x14ac:dyDescent="0.2">
      <c r="A295" t="s">
        <v>4553</v>
      </c>
      <c r="B295" s="1" t="s">
        <v>4554</v>
      </c>
      <c r="C295" t="s">
        <v>4555</v>
      </c>
      <c r="D295" s="1" t="s">
        <v>4556</v>
      </c>
      <c r="E295" t="b">
        <v>0</v>
      </c>
      <c r="F295">
        <v>2058</v>
      </c>
      <c r="G295">
        <v>503</v>
      </c>
      <c r="H295" t="s">
        <v>11</v>
      </c>
      <c r="I295" t="b">
        <v>0</v>
      </c>
      <c r="J295" cm="1">
        <f t="array" ref="J295">sentimentCalc(B295)</f>
        <v>0</v>
      </c>
      <c r="K295" t="str" cm="1">
        <f t="array" ref="K295">sentimentCategory(J295)</f>
        <v>Neutral</v>
      </c>
    </row>
    <row r="296" spans="1:11" ht="17" x14ac:dyDescent="0.2">
      <c r="A296" t="s">
        <v>1679</v>
      </c>
      <c r="B296" s="1" t="s">
        <v>1680</v>
      </c>
      <c r="C296" t="s">
        <v>1681</v>
      </c>
      <c r="D296" s="1" t="s">
        <v>2</v>
      </c>
      <c r="E296" t="b">
        <v>0</v>
      </c>
      <c r="F296">
        <v>10</v>
      </c>
      <c r="G296">
        <v>70</v>
      </c>
      <c r="H296" t="s">
        <v>11</v>
      </c>
      <c r="I296" t="b">
        <v>0</v>
      </c>
      <c r="J296" cm="1">
        <f t="array" ref="J296">sentimentCalc(B296)</f>
        <v>2</v>
      </c>
      <c r="K296" t="str" cm="1">
        <f t="array" ref="K296">sentimentCategory(J296)</f>
        <v>Positive</v>
      </c>
    </row>
    <row r="297" spans="1:11" ht="34" x14ac:dyDescent="0.2">
      <c r="A297" t="s">
        <v>656</v>
      </c>
      <c r="B297" s="1" t="s">
        <v>657</v>
      </c>
      <c r="C297" t="s">
        <v>658</v>
      </c>
      <c r="D297" s="1" t="s">
        <v>659</v>
      </c>
      <c r="E297" t="b">
        <v>0</v>
      </c>
      <c r="F297">
        <v>7064</v>
      </c>
      <c r="G297">
        <v>262</v>
      </c>
      <c r="H297" t="s">
        <v>11</v>
      </c>
      <c r="I297" t="b">
        <v>0</v>
      </c>
      <c r="J297" cm="1">
        <f t="array" ref="J297">sentimentCalc(B297)</f>
        <v>0</v>
      </c>
      <c r="K297" t="str" cm="1">
        <f t="array" ref="K297">sentimentCategory(J297)</f>
        <v>Neutral</v>
      </c>
    </row>
    <row r="298" spans="1:11" ht="34" x14ac:dyDescent="0.2">
      <c r="A298" t="s">
        <v>3407</v>
      </c>
      <c r="B298" s="1" t="s">
        <v>3408</v>
      </c>
      <c r="C298" t="s">
        <v>658</v>
      </c>
      <c r="D298" s="1" t="s">
        <v>659</v>
      </c>
      <c r="E298" t="b">
        <v>0</v>
      </c>
      <c r="F298">
        <v>7063</v>
      </c>
      <c r="G298">
        <v>262</v>
      </c>
      <c r="H298" t="s">
        <v>11</v>
      </c>
      <c r="I298" t="b">
        <v>0</v>
      </c>
      <c r="J298" cm="1">
        <f t="array" ref="J298">sentimentCalc(B298)</f>
        <v>0</v>
      </c>
      <c r="K298" t="str" cm="1">
        <f t="array" ref="K298">sentimentCategory(J298)</f>
        <v>Neutral</v>
      </c>
    </row>
    <row r="299" spans="1:11" ht="34" x14ac:dyDescent="0.2">
      <c r="A299" t="s">
        <v>1787</v>
      </c>
      <c r="B299" s="1" t="s">
        <v>1788</v>
      </c>
      <c r="C299" t="s">
        <v>658</v>
      </c>
      <c r="D299" s="1" t="s">
        <v>659</v>
      </c>
      <c r="E299" t="b">
        <v>0</v>
      </c>
      <c r="F299">
        <v>7063</v>
      </c>
      <c r="G299">
        <v>262</v>
      </c>
      <c r="H299" t="s">
        <v>11</v>
      </c>
      <c r="I299" t="b">
        <v>0</v>
      </c>
      <c r="J299" cm="1">
        <f t="array" ref="J299">sentimentCalc(B299)</f>
        <v>0</v>
      </c>
      <c r="K299" t="str" cm="1">
        <f t="array" ref="K299">sentimentCategory(J299)</f>
        <v>Neutral</v>
      </c>
    </row>
    <row r="300" spans="1:11" ht="34" x14ac:dyDescent="0.2">
      <c r="A300" t="s">
        <v>4237</v>
      </c>
      <c r="B300" s="1" t="s">
        <v>4238</v>
      </c>
      <c r="C300" t="s">
        <v>658</v>
      </c>
      <c r="D300" s="1" t="s">
        <v>659</v>
      </c>
      <c r="E300" t="b">
        <v>0</v>
      </c>
      <c r="F300">
        <v>7063</v>
      </c>
      <c r="G300">
        <v>262</v>
      </c>
      <c r="H300" t="s">
        <v>11</v>
      </c>
      <c r="I300" t="b">
        <v>0</v>
      </c>
      <c r="J300" cm="1">
        <f t="array" ref="J300">sentimentCalc(B300)</f>
        <v>0</v>
      </c>
      <c r="K300" t="str" cm="1">
        <f t="array" ref="K300">sentimentCategory(J300)</f>
        <v>Neutral</v>
      </c>
    </row>
    <row r="301" spans="1:11" ht="34" x14ac:dyDescent="0.2">
      <c r="A301" t="s">
        <v>5784</v>
      </c>
      <c r="B301" s="1" t="s">
        <v>5785</v>
      </c>
      <c r="C301" t="s">
        <v>658</v>
      </c>
      <c r="D301" s="1" t="s">
        <v>659</v>
      </c>
      <c r="E301" t="b">
        <v>0</v>
      </c>
      <c r="F301">
        <v>7063</v>
      </c>
      <c r="G301">
        <v>262</v>
      </c>
      <c r="H301" t="s">
        <v>11</v>
      </c>
      <c r="I301" t="b">
        <v>0</v>
      </c>
      <c r="J301" cm="1">
        <f t="array" ref="J301">sentimentCalc(B301)</f>
        <v>0</v>
      </c>
      <c r="K301" t="str" cm="1">
        <f t="array" ref="K301">sentimentCategory(J301)</f>
        <v>Neutral</v>
      </c>
    </row>
    <row r="302" spans="1:11" ht="17" x14ac:dyDescent="0.2">
      <c r="A302" t="s">
        <v>1832</v>
      </c>
      <c r="B302" s="1" t="s">
        <v>1833</v>
      </c>
      <c r="C302" t="s">
        <v>1834</v>
      </c>
      <c r="D302" s="1" t="s">
        <v>1835</v>
      </c>
      <c r="E302" t="b">
        <v>0</v>
      </c>
      <c r="F302">
        <v>1174</v>
      </c>
      <c r="G302">
        <v>917</v>
      </c>
      <c r="H302" t="s">
        <v>11</v>
      </c>
      <c r="I302" t="b">
        <v>0</v>
      </c>
      <c r="J302" cm="1">
        <f t="array" ref="J302">sentimentCalc(B302)</f>
        <v>0</v>
      </c>
      <c r="K302" t="str" cm="1">
        <f t="array" ref="K302">sentimentCategory(J302)</f>
        <v>Neutral</v>
      </c>
    </row>
    <row r="303" spans="1:11" ht="17" x14ac:dyDescent="0.2">
      <c r="A303" t="s">
        <v>845</v>
      </c>
      <c r="B303" s="1" t="s">
        <v>849</v>
      </c>
      <c r="C303" t="s">
        <v>483</v>
      </c>
      <c r="D303" s="1" t="s">
        <v>484</v>
      </c>
      <c r="E303" t="b">
        <v>0</v>
      </c>
      <c r="F303">
        <v>1899</v>
      </c>
      <c r="G303">
        <v>540</v>
      </c>
      <c r="H303" t="s">
        <v>11</v>
      </c>
      <c r="I303" t="b">
        <v>0</v>
      </c>
      <c r="J303" cm="1">
        <f t="array" ref="J303">sentimentCalc(B303)</f>
        <v>0</v>
      </c>
      <c r="K303" t="str" cm="1">
        <f t="array" ref="K303">sentimentCategory(J303)</f>
        <v>Neutral</v>
      </c>
    </row>
    <row r="304" spans="1:11" ht="17" x14ac:dyDescent="0.2">
      <c r="A304" t="s">
        <v>2201</v>
      </c>
      <c r="B304" s="1" t="s">
        <v>2203</v>
      </c>
      <c r="C304" t="s">
        <v>584</v>
      </c>
      <c r="D304" s="1" t="s">
        <v>2</v>
      </c>
      <c r="E304" t="b">
        <v>0</v>
      </c>
      <c r="F304">
        <v>338</v>
      </c>
      <c r="G304">
        <v>139</v>
      </c>
      <c r="H304" t="s">
        <v>11</v>
      </c>
      <c r="I304" t="b">
        <v>0</v>
      </c>
      <c r="J304" cm="1">
        <f t="array" ref="J304">sentimentCalc(B304)</f>
        <v>0</v>
      </c>
      <c r="K304" t="str" cm="1">
        <f t="array" ref="K304">sentimentCategory(J304)</f>
        <v>Neutral</v>
      </c>
    </row>
    <row r="305" spans="1:11" ht="17" x14ac:dyDescent="0.2">
      <c r="A305" t="s">
        <v>2752</v>
      </c>
      <c r="B305" s="1" t="s">
        <v>2753</v>
      </c>
      <c r="C305" t="s">
        <v>2754</v>
      </c>
      <c r="D305" s="1" t="s">
        <v>2</v>
      </c>
      <c r="E305" t="b">
        <v>0</v>
      </c>
      <c r="F305">
        <v>4</v>
      </c>
      <c r="G305">
        <v>41</v>
      </c>
      <c r="H305" t="s">
        <v>11</v>
      </c>
      <c r="I305" t="b">
        <v>0</v>
      </c>
      <c r="J305" cm="1">
        <f t="array" ref="J305">sentimentCalc(B305)</f>
        <v>0</v>
      </c>
      <c r="K305" t="str" cm="1">
        <f t="array" ref="K305">sentimentCategory(J305)</f>
        <v>Neutral</v>
      </c>
    </row>
    <row r="306" spans="1:11" ht="17" x14ac:dyDescent="0.2">
      <c r="A306" t="s">
        <v>3763</v>
      </c>
      <c r="B306" s="1" t="s">
        <v>3764</v>
      </c>
      <c r="C306" t="s">
        <v>3765</v>
      </c>
      <c r="D306" s="1" t="s">
        <v>996</v>
      </c>
      <c r="E306" t="b">
        <v>0</v>
      </c>
      <c r="F306">
        <v>2446</v>
      </c>
      <c r="G306">
        <v>208</v>
      </c>
      <c r="H306" t="s">
        <v>11</v>
      </c>
      <c r="I306" t="b">
        <v>0</v>
      </c>
      <c r="J306" cm="1">
        <f t="array" ref="J306">sentimentCalc(B306)</f>
        <v>0</v>
      </c>
      <c r="K306" t="str" cm="1">
        <f t="array" ref="K306">sentimentCategory(J306)</f>
        <v>Neutral</v>
      </c>
    </row>
    <row r="307" spans="1:11" ht="17" x14ac:dyDescent="0.2">
      <c r="A307" t="s">
        <v>4611</v>
      </c>
      <c r="B307" s="1" t="s">
        <v>4612</v>
      </c>
      <c r="C307" t="s">
        <v>4613</v>
      </c>
      <c r="D307" s="1" t="s">
        <v>1023</v>
      </c>
      <c r="E307" t="b">
        <v>0</v>
      </c>
      <c r="F307">
        <v>22</v>
      </c>
      <c r="G307">
        <v>59</v>
      </c>
      <c r="H307" t="s">
        <v>11</v>
      </c>
      <c r="I307" t="b">
        <v>0</v>
      </c>
      <c r="J307" cm="1">
        <f t="array" ref="J307">sentimentCalc(B307)</f>
        <v>0</v>
      </c>
      <c r="K307" t="str" cm="1">
        <f t="array" ref="K307">sentimentCategory(J307)</f>
        <v>Neutral</v>
      </c>
    </row>
    <row r="308" spans="1:11" ht="34" x14ac:dyDescent="0.2">
      <c r="A308" t="s">
        <v>1667</v>
      </c>
      <c r="B308" s="1" t="s">
        <v>1668</v>
      </c>
      <c r="C308" t="s">
        <v>1324</v>
      </c>
      <c r="D308" s="1" t="s">
        <v>1669</v>
      </c>
      <c r="E308" t="b">
        <v>0</v>
      </c>
      <c r="F308">
        <v>157</v>
      </c>
      <c r="G308">
        <v>114</v>
      </c>
      <c r="H308" t="s">
        <v>11</v>
      </c>
      <c r="I308" t="b">
        <v>0</v>
      </c>
      <c r="J308" cm="1">
        <f t="array" ref="J308">sentimentCalc(B308)</f>
        <v>0</v>
      </c>
      <c r="K308" t="str" cm="1">
        <f t="array" ref="K308">sentimentCategory(J308)</f>
        <v>Neutral</v>
      </c>
    </row>
    <row r="309" spans="1:11" ht="17" x14ac:dyDescent="0.2">
      <c r="A309" t="s">
        <v>3057</v>
      </c>
      <c r="B309" s="1" t="s">
        <v>3058</v>
      </c>
      <c r="C309" t="s">
        <v>3059</v>
      </c>
      <c r="D309" s="1" t="s">
        <v>3060</v>
      </c>
      <c r="E309" t="b">
        <v>0</v>
      </c>
      <c r="F309">
        <v>729</v>
      </c>
      <c r="G309">
        <v>284</v>
      </c>
      <c r="H309" t="s">
        <v>641</v>
      </c>
      <c r="I309" t="b">
        <v>0</v>
      </c>
      <c r="J309" cm="1">
        <f t="array" ref="J309">sentimentCalc(B309)</f>
        <v>0</v>
      </c>
      <c r="K309" t="str" cm="1">
        <f t="array" ref="K309">sentimentCategory(J309)</f>
        <v>Neutral</v>
      </c>
    </row>
    <row r="310" spans="1:11" ht="17" x14ac:dyDescent="0.2">
      <c r="A310" t="s">
        <v>7107</v>
      </c>
      <c r="B310" s="1" t="s">
        <v>7108</v>
      </c>
      <c r="C310" t="s">
        <v>133</v>
      </c>
      <c r="D310" s="1" t="s">
        <v>7109</v>
      </c>
      <c r="E310" t="b">
        <v>0</v>
      </c>
      <c r="F310">
        <v>15</v>
      </c>
      <c r="G310">
        <v>200</v>
      </c>
      <c r="H310" t="s">
        <v>359</v>
      </c>
      <c r="I310" t="b">
        <v>0</v>
      </c>
      <c r="J310" cm="1">
        <f t="array" ref="J310">sentimentCalc(B310)</f>
        <v>0</v>
      </c>
      <c r="K310" t="str" cm="1">
        <f t="array" ref="K310">sentimentCategory(J310)</f>
        <v>Neutral</v>
      </c>
    </row>
    <row r="311" spans="1:11" ht="17" x14ac:dyDescent="0.2">
      <c r="A311" t="s">
        <v>2644</v>
      </c>
      <c r="B311" s="1" t="s">
        <v>2645</v>
      </c>
      <c r="C311" t="s">
        <v>208</v>
      </c>
      <c r="D311" s="1" t="s">
        <v>2</v>
      </c>
      <c r="E311" t="b">
        <v>0</v>
      </c>
      <c r="F311">
        <v>12338</v>
      </c>
      <c r="G311">
        <v>138</v>
      </c>
      <c r="H311" t="s">
        <v>11</v>
      </c>
      <c r="I311" t="b">
        <v>0</v>
      </c>
      <c r="J311" cm="1">
        <f t="array" ref="J311">sentimentCalc(B311)</f>
        <v>-1</v>
      </c>
      <c r="K311" t="str" cm="1">
        <f t="array" ref="K311">sentimentCategory(J311)</f>
        <v>Negative</v>
      </c>
    </row>
    <row r="312" spans="1:11" ht="34" x14ac:dyDescent="0.2">
      <c r="A312" t="s">
        <v>7127</v>
      </c>
      <c r="B312" s="1" t="s">
        <v>7128</v>
      </c>
      <c r="C312" t="s">
        <v>5508</v>
      </c>
      <c r="D312" s="1" t="s">
        <v>2</v>
      </c>
      <c r="E312" t="b">
        <v>0</v>
      </c>
      <c r="F312">
        <v>81</v>
      </c>
      <c r="G312">
        <v>8</v>
      </c>
      <c r="H312" t="s">
        <v>11</v>
      </c>
      <c r="I312" t="b">
        <v>0</v>
      </c>
      <c r="J312" cm="1">
        <f t="array" ref="J312">sentimentCalc(B312)</f>
        <v>0</v>
      </c>
      <c r="K312" t="str" cm="1">
        <f t="array" ref="K312">sentimentCategory(J312)</f>
        <v>Neutral</v>
      </c>
    </row>
    <row r="313" spans="1:11" ht="17" x14ac:dyDescent="0.2">
      <c r="A313" t="s">
        <v>4202</v>
      </c>
      <c r="B313" s="1" t="s">
        <v>4203</v>
      </c>
      <c r="C313" t="s">
        <v>4154</v>
      </c>
      <c r="D313" s="1" t="s">
        <v>2</v>
      </c>
      <c r="E313" t="b">
        <v>0</v>
      </c>
      <c r="F313">
        <v>26</v>
      </c>
      <c r="G313">
        <v>50</v>
      </c>
      <c r="H313" t="s">
        <v>110</v>
      </c>
      <c r="I313" t="b">
        <v>0</v>
      </c>
      <c r="J313" cm="1">
        <f t="array" ref="J313">sentimentCalc(B313)</f>
        <v>0</v>
      </c>
      <c r="K313" t="str" cm="1">
        <f t="array" ref="K313">sentimentCategory(J313)</f>
        <v>Neutral</v>
      </c>
    </row>
    <row r="314" spans="1:11" ht="17" x14ac:dyDescent="0.2">
      <c r="A314" t="s">
        <v>3415</v>
      </c>
      <c r="B314" s="1" t="s">
        <v>3416</v>
      </c>
      <c r="C314" t="s">
        <v>3417</v>
      </c>
      <c r="D314" s="1" t="s">
        <v>105</v>
      </c>
      <c r="E314" t="b">
        <v>0</v>
      </c>
      <c r="F314">
        <v>308</v>
      </c>
      <c r="G314">
        <v>341</v>
      </c>
      <c r="H314" t="s">
        <v>11</v>
      </c>
      <c r="I314" t="b">
        <v>0</v>
      </c>
      <c r="J314" cm="1">
        <f t="array" ref="J314">sentimentCalc(B314)</f>
        <v>0</v>
      </c>
      <c r="K314" t="str" cm="1">
        <f t="array" ref="K314">sentimentCategory(J314)</f>
        <v>Neutral</v>
      </c>
    </row>
    <row r="315" spans="1:11" ht="17" x14ac:dyDescent="0.2">
      <c r="A315" t="s">
        <v>5891</v>
      </c>
      <c r="B315" s="1" t="s">
        <v>5892</v>
      </c>
      <c r="C315" t="s">
        <v>5893</v>
      </c>
      <c r="D315" s="1" t="s">
        <v>333</v>
      </c>
      <c r="E315" t="b">
        <v>0</v>
      </c>
      <c r="F315">
        <v>17232</v>
      </c>
      <c r="G315">
        <v>176</v>
      </c>
      <c r="H315" t="s">
        <v>47</v>
      </c>
      <c r="I315" t="b">
        <v>0</v>
      </c>
      <c r="J315" cm="1">
        <f t="array" ref="J315">sentimentCalc(B315)</f>
        <v>0</v>
      </c>
      <c r="K315" t="str" cm="1">
        <f t="array" ref="K315">sentimentCategory(J315)</f>
        <v>Neutral</v>
      </c>
    </row>
    <row r="316" spans="1:11" ht="17" x14ac:dyDescent="0.2">
      <c r="A316" t="s">
        <v>3846</v>
      </c>
      <c r="B316" s="1" t="s">
        <v>3847</v>
      </c>
      <c r="C316" t="s">
        <v>3848</v>
      </c>
      <c r="D316" s="1" t="s">
        <v>2</v>
      </c>
      <c r="E316" t="b">
        <v>0</v>
      </c>
      <c r="F316">
        <v>55</v>
      </c>
      <c r="G316">
        <v>238</v>
      </c>
      <c r="H316" t="s">
        <v>11</v>
      </c>
      <c r="I316" t="b">
        <v>0</v>
      </c>
      <c r="J316" cm="1">
        <f t="array" ref="J316">sentimentCalc(B316)</f>
        <v>-1</v>
      </c>
      <c r="K316" t="str" cm="1">
        <f t="array" ref="K316">sentimentCategory(J316)</f>
        <v>Negative</v>
      </c>
    </row>
    <row r="317" spans="1:11" ht="17" x14ac:dyDescent="0.2">
      <c r="A317" t="s">
        <v>77</v>
      </c>
      <c r="B317" s="1" t="s">
        <v>78</v>
      </c>
      <c r="C317" t="s">
        <v>79</v>
      </c>
      <c r="D317" s="1" t="s">
        <v>2</v>
      </c>
      <c r="E317" t="b">
        <v>0</v>
      </c>
      <c r="F317">
        <v>44</v>
      </c>
      <c r="G317">
        <v>321</v>
      </c>
      <c r="H317" t="s">
        <v>11</v>
      </c>
      <c r="I317" t="b">
        <v>0</v>
      </c>
      <c r="J317" cm="1">
        <f t="array" ref="J317">sentimentCalc(B317)</f>
        <v>0</v>
      </c>
      <c r="K317" t="str" cm="1">
        <f t="array" ref="K317">sentimentCategory(J317)</f>
        <v>Neutral</v>
      </c>
    </row>
    <row r="318" spans="1:11" ht="34" x14ac:dyDescent="0.2">
      <c r="A318" t="s">
        <v>2322</v>
      </c>
      <c r="B318" s="1" t="s">
        <v>2323</v>
      </c>
      <c r="C318" t="s">
        <v>2324</v>
      </c>
      <c r="D318" s="1" t="s">
        <v>2325</v>
      </c>
      <c r="E318" t="b">
        <v>0</v>
      </c>
      <c r="F318">
        <v>5933</v>
      </c>
      <c r="G318">
        <v>6027</v>
      </c>
      <c r="H318" t="s">
        <v>11</v>
      </c>
      <c r="I318" t="b">
        <v>0</v>
      </c>
      <c r="J318" cm="1">
        <f t="array" ref="J318">sentimentCalc(B318)</f>
        <v>0</v>
      </c>
      <c r="K318" t="str" cm="1">
        <f t="array" ref="K318">sentimentCategory(J318)</f>
        <v>Neutral</v>
      </c>
    </row>
    <row r="319" spans="1:11" ht="17" x14ac:dyDescent="0.2">
      <c r="A319" t="s">
        <v>6415</v>
      </c>
      <c r="B319" s="1" t="s">
        <v>6417</v>
      </c>
      <c r="C319" t="s">
        <v>1434</v>
      </c>
      <c r="D319" s="1" t="s">
        <v>6418</v>
      </c>
      <c r="E319" t="b">
        <v>0</v>
      </c>
      <c r="F319">
        <v>1233</v>
      </c>
      <c r="G319">
        <v>982</v>
      </c>
      <c r="H319" t="s">
        <v>1088</v>
      </c>
      <c r="I319" t="b">
        <v>0</v>
      </c>
      <c r="J319" cm="1">
        <f t="array" ref="J319">sentimentCalc(B319)</f>
        <v>0</v>
      </c>
      <c r="K319" t="str" cm="1">
        <f t="array" ref="K319">sentimentCategory(J319)</f>
        <v>Neutral</v>
      </c>
    </row>
    <row r="320" spans="1:11" ht="17" x14ac:dyDescent="0.2">
      <c r="A320" t="s">
        <v>5955</v>
      </c>
      <c r="B320" s="1" t="s">
        <v>5956</v>
      </c>
      <c r="C320" t="s">
        <v>4161</v>
      </c>
      <c r="D320" s="1" t="s">
        <v>5957</v>
      </c>
      <c r="E320" t="b">
        <v>0</v>
      </c>
      <c r="F320">
        <v>212</v>
      </c>
      <c r="G320">
        <v>798</v>
      </c>
      <c r="H320" t="s">
        <v>11</v>
      </c>
      <c r="I320" t="b">
        <v>0</v>
      </c>
      <c r="J320" cm="1">
        <f t="array" ref="J320">sentimentCalc(B320)</f>
        <v>1</v>
      </c>
      <c r="K320" t="str" cm="1">
        <f t="array" ref="K320">sentimentCategory(J320)</f>
        <v>Positive</v>
      </c>
    </row>
    <row r="321" spans="1:11" ht="34" x14ac:dyDescent="0.2">
      <c r="A321" t="s">
        <v>6575</v>
      </c>
      <c r="B321" s="1" t="s">
        <v>6576</v>
      </c>
      <c r="C321" t="s">
        <v>82</v>
      </c>
      <c r="D321" s="1" t="s">
        <v>6577</v>
      </c>
      <c r="E321" t="b">
        <v>0</v>
      </c>
      <c r="F321">
        <v>4286</v>
      </c>
      <c r="G321">
        <v>3819</v>
      </c>
      <c r="H321" t="s">
        <v>370</v>
      </c>
      <c r="I321" t="b">
        <v>0</v>
      </c>
      <c r="J321" cm="1">
        <f t="array" ref="J321">sentimentCalc(B321)</f>
        <v>1</v>
      </c>
      <c r="K321" t="str" cm="1">
        <f t="array" ref="K321">sentimentCategory(J321)</f>
        <v>Positive</v>
      </c>
    </row>
    <row r="322" spans="1:11" ht="17" x14ac:dyDescent="0.2">
      <c r="A322" t="s">
        <v>5732</v>
      </c>
      <c r="B322" s="1" t="s">
        <v>5733</v>
      </c>
      <c r="C322" t="s">
        <v>1245</v>
      </c>
      <c r="D322" s="1" t="s">
        <v>2</v>
      </c>
      <c r="E322" t="b">
        <v>0</v>
      </c>
      <c r="F322">
        <v>251</v>
      </c>
      <c r="G322">
        <v>9</v>
      </c>
      <c r="H322" t="s">
        <v>11</v>
      </c>
      <c r="I322" t="b">
        <v>0</v>
      </c>
      <c r="J322" cm="1">
        <f t="array" ref="J322">sentimentCalc(B322)</f>
        <v>-1</v>
      </c>
      <c r="K322" t="str" cm="1">
        <f t="array" ref="K322">sentimentCategory(J322)</f>
        <v>Negative</v>
      </c>
    </row>
    <row r="323" spans="1:11" ht="34" x14ac:dyDescent="0.2">
      <c r="A323" t="s">
        <v>3053</v>
      </c>
      <c r="B323" s="1" t="s">
        <v>3054</v>
      </c>
      <c r="C323" t="s">
        <v>1568</v>
      </c>
      <c r="D323" s="1" t="s">
        <v>2713</v>
      </c>
      <c r="E323" t="b">
        <v>0</v>
      </c>
      <c r="F323">
        <v>272</v>
      </c>
      <c r="G323">
        <v>39</v>
      </c>
      <c r="H323" t="s">
        <v>11</v>
      </c>
      <c r="I323" t="b">
        <v>0</v>
      </c>
      <c r="J323" cm="1">
        <f t="array" ref="J323">sentimentCalc(B323)</f>
        <v>0</v>
      </c>
      <c r="K323" t="str" cm="1">
        <f t="array" ref="K323">sentimentCategory(J323)</f>
        <v>Neutral</v>
      </c>
    </row>
    <row r="324" spans="1:11" ht="17" x14ac:dyDescent="0.2">
      <c r="A324" t="s">
        <v>427</v>
      </c>
      <c r="B324" s="1" t="s">
        <v>428</v>
      </c>
      <c r="C324" t="s">
        <v>429</v>
      </c>
      <c r="D324" s="1" t="s">
        <v>2</v>
      </c>
      <c r="E324" t="b">
        <v>0</v>
      </c>
      <c r="F324">
        <v>8</v>
      </c>
      <c r="G324">
        <v>3</v>
      </c>
      <c r="H324" t="s">
        <v>11</v>
      </c>
      <c r="I324" t="b">
        <v>0</v>
      </c>
      <c r="J324" cm="1">
        <f t="array" ref="J324">sentimentCalc(B324)</f>
        <v>1</v>
      </c>
      <c r="K324" t="str" cm="1">
        <f t="array" ref="K324">sentimentCategory(J324)</f>
        <v>Positive</v>
      </c>
    </row>
    <row r="325" spans="1:11" ht="17" x14ac:dyDescent="0.2">
      <c r="A325" t="s">
        <v>1460</v>
      </c>
      <c r="B325" s="1" t="s">
        <v>1461</v>
      </c>
      <c r="C325" t="s">
        <v>1409</v>
      </c>
      <c r="D325" s="1" t="s">
        <v>2</v>
      </c>
      <c r="E325" t="b">
        <v>0</v>
      </c>
      <c r="F325">
        <v>58</v>
      </c>
      <c r="G325">
        <v>778</v>
      </c>
      <c r="H325" t="s">
        <v>1462</v>
      </c>
      <c r="I325" t="b">
        <v>0</v>
      </c>
      <c r="J325" cm="1">
        <f t="array" ref="J325">sentimentCalc(B325)</f>
        <v>0</v>
      </c>
      <c r="K325" t="str" cm="1">
        <f t="array" ref="K325">sentimentCategory(J325)</f>
        <v>Neutral</v>
      </c>
    </row>
    <row r="326" spans="1:11" ht="17" x14ac:dyDescent="0.2">
      <c r="A326" t="s">
        <v>4528</v>
      </c>
      <c r="B326" s="1" t="s">
        <v>4529</v>
      </c>
      <c r="C326" t="s">
        <v>4530</v>
      </c>
      <c r="D326" s="1" t="s">
        <v>2</v>
      </c>
      <c r="E326" t="b">
        <v>0</v>
      </c>
      <c r="F326">
        <v>104</v>
      </c>
      <c r="G326">
        <v>78</v>
      </c>
      <c r="H326" t="s">
        <v>370</v>
      </c>
      <c r="I326" t="b">
        <v>0</v>
      </c>
      <c r="J326" cm="1">
        <f t="array" ref="J326">sentimentCalc(B326)</f>
        <v>0</v>
      </c>
      <c r="K326" t="str" cm="1">
        <f t="array" ref="K326">sentimentCategory(J326)</f>
        <v>Neutral</v>
      </c>
    </row>
    <row r="327" spans="1:11" ht="34" x14ac:dyDescent="0.2">
      <c r="A327" t="s">
        <v>4968</v>
      </c>
      <c r="B327" s="1" t="s">
        <v>4969</v>
      </c>
      <c r="C327" t="s">
        <v>4970</v>
      </c>
      <c r="D327" s="1" t="s">
        <v>4971</v>
      </c>
      <c r="E327" t="b">
        <v>0</v>
      </c>
      <c r="F327">
        <v>1721</v>
      </c>
      <c r="G327">
        <v>1117</v>
      </c>
      <c r="H327" t="s">
        <v>11</v>
      </c>
      <c r="I327" t="b">
        <v>0</v>
      </c>
      <c r="J327" cm="1">
        <f t="array" ref="J327">sentimentCalc(B327)</f>
        <v>0</v>
      </c>
      <c r="K327" t="str" cm="1">
        <f t="array" ref="K327">sentimentCategory(J327)</f>
        <v>Neutral</v>
      </c>
    </row>
    <row r="328" spans="1:11" ht="17" x14ac:dyDescent="0.2">
      <c r="A328" t="s">
        <v>680</v>
      </c>
      <c r="B328" s="1" t="s">
        <v>681</v>
      </c>
      <c r="C328" t="s">
        <v>682</v>
      </c>
      <c r="D328" s="1" t="s">
        <v>2</v>
      </c>
      <c r="E328" t="b">
        <v>0</v>
      </c>
      <c r="F328">
        <v>4</v>
      </c>
      <c r="G328">
        <v>19</v>
      </c>
      <c r="H328" t="s">
        <v>3</v>
      </c>
      <c r="I328" t="b">
        <v>0</v>
      </c>
      <c r="J328" cm="1">
        <f t="array" ref="J328">sentimentCalc(B328)</f>
        <v>0</v>
      </c>
      <c r="K328" t="str" cm="1">
        <f t="array" ref="K328">sentimentCategory(J328)</f>
        <v>Neutral</v>
      </c>
    </row>
    <row r="329" spans="1:11" ht="17" x14ac:dyDescent="0.2">
      <c r="A329" t="s">
        <v>3182</v>
      </c>
      <c r="B329" s="1" t="s">
        <v>3183</v>
      </c>
      <c r="C329" t="s">
        <v>985</v>
      </c>
      <c r="D329" s="1" t="s">
        <v>986</v>
      </c>
      <c r="E329" t="b">
        <v>0</v>
      </c>
      <c r="F329">
        <v>4945</v>
      </c>
      <c r="G329">
        <v>4842</v>
      </c>
      <c r="H329" t="s">
        <v>110</v>
      </c>
      <c r="I329" t="b">
        <v>0</v>
      </c>
      <c r="J329" cm="1">
        <f t="array" ref="J329">sentimentCalc(B329)</f>
        <v>0</v>
      </c>
      <c r="K329" t="str" cm="1">
        <f t="array" ref="K329">sentimentCategory(J329)</f>
        <v>Neutral</v>
      </c>
    </row>
    <row r="330" spans="1:11" ht="17" x14ac:dyDescent="0.2">
      <c r="A330" t="s">
        <v>3818</v>
      </c>
      <c r="B330" s="1" t="s">
        <v>3819</v>
      </c>
      <c r="C330" t="s">
        <v>3584</v>
      </c>
      <c r="D330" s="1" t="s">
        <v>3820</v>
      </c>
      <c r="E330" t="b">
        <v>0</v>
      </c>
      <c r="F330">
        <v>1029</v>
      </c>
      <c r="G330">
        <v>851</v>
      </c>
      <c r="H330" t="s">
        <v>47</v>
      </c>
      <c r="I330" t="b">
        <v>0</v>
      </c>
      <c r="J330" cm="1">
        <f t="array" ref="J330">sentimentCalc(B330)</f>
        <v>0</v>
      </c>
      <c r="K330" t="str" cm="1">
        <f t="array" ref="K330">sentimentCategory(J330)</f>
        <v>Neutral</v>
      </c>
    </row>
    <row r="331" spans="1:11" ht="34" x14ac:dyDescent="0.2">
      <c r="A331" t="s">
        <v>5237</v>
      </c>
      <c r="B331" s="1" t="s">
        <v>5238</v>
      </c>
      <c r="C331" t="s">
        <v>3886</v>
      </c>
      <c r="D331" s="1" t="s">
        <v>2</v>
      </c>
      <c r="E331" t="b">
        <v>0</v>
      </c>
      <c r="F331">
        <v>102</v>
      </c>
      <c r="G331">
        <v>136</v>
      </c>
      <c r="H331" t="s">
        <v>11</v>
      </c>
      <c r="I331" t="b">
        <v>0</v>
      </c>
      <c r="J331" cm="1">
        <f t="array" ref="J331">sentimentCalc(B331)</f>
        <v>-1</v>
      </c>
      <c r="K331" t="str" cm="1">
        <f t="array" ref="K331">sentimentCategory(J331)</f>
        <v>Negative</v>
      </c>
    </row>
    <row r="332" spans="1:11" ht="34" x14ac:dyDescent="0.2">
      <c r="A332" t="s">
        <v>4838</v>
      </c>
      <c r="B332" s="1" t="s">
        <v>4839</v>
      </c>
      <c r="C332" t="s">
        <v>4840</v>
      </c>
      <c r="D332" s="1" t="s">
        <v>316</v>
      </c>
      <c r="E332" t="b">
        <v>0</v>
      </c>
      <c r="F332">
        <v>15958</v>
      </c>
      <c r="G332">
        <v>14067</v>
      </c>
      <c r="H332" t="s">
        <v>11</v>
      </c>
      <c r="I332" t="b">
        <v>0</v>
      </c>
      <c r="J332" cm="1">
        <f t="array" ref="J332">sentimentCalc(B332)</f>
        <v>-1</v>
      </c>
      <c r="K332" t="str" cm="1">
        <f t="array" ref="K332">sentimentCategory(J332)</f>
        <v>Negative</v>
      </c>
    </row>
    <row r="333" spans="1:11" ht="17" x14ac:dyDescent="0.2">
      <c r="A333" t="s">
        <v>5224</v>
      </c>
      <c r="B333" s="1" t="s">
        <v>5225</v>
      </c>
      <c r="C333" t="s">
        <v>226</v>
      </c>
      <c r="D333" s="1" t="s">
        <v>5226</v>
      </c>
      <c r="E333" t="b">
        <v>0</v>
      </c>
      <c r="F333">
        <v>163</v>
      </c>
      <c r="G333">
        <v>382</v>
      </c>
      <c r="H333" t="s">
        <v>11</v>
      </c>
      <c r="I333" t="b">
        <v>0</v>
      </c>
      <c r="J333" cm="1">
        <f t="array" ref="J333">sentimentCalc(B333)</f>
        <v>0</v>
      </c>
      <c r="K333" t="str" cm="1">
        <f t="array" ref="K333">sentimentCategory(J333)</f>
        <v>Neutral</v>
      </c>
    </row>
    <row r="334" spans="1:11" ht="17" x14ac:dyDescent="0.2">
      <c r="A334" t="s">
        <v>5301</v>
      </c>
      <c r="B334" s="1" t="s">
        <v>5302</v>
      </c>
      <c r="C334" t="s">
        <v>2259</v>
      </c>
      <c r="D334" s="1" t="s">
        <v>2</v>
      </c>
      <c r="E334" t="b">
        <v>0</v>
      </c>
      <c r="F334">
        <v>12</v>
      </c>
      <c r="G334">
        <v>161</v>
      </c>
      <c r="H334" t="s">
        <v>47</v>
      </c>
      <c r="I334" t="b">
        <v>0</v>
      </c>
      <c r="J334" cm="1">
        <f t="array" ref="J334">sentimentCalc(B334)</f>
        <v>0</v>
      </c>
      <c r="K334" t="str" cm="1">
        <f t="array" ref="K334">sentimentCategory(J334)</f>
        <v>Neutral</v>
      </c>
    </row>
    <row r="335" spans="1:11" ht="17" x14ac:dyDescent="0.2">
      <c r="A335" t="s">
        <v>2181</v>
      </c>
      <c r="B335" s="1" t="s">
        <v>2182</v>
      </c>
      <c r="C335" t="s">
        <v>2183</v>
      </c>
      <c r="D335" s="1" t="s">
        <v>2184</v>
      </c>
      <c r="E335" t="b">
        <v>0</v>
      </c>
      <c r="F335">
        <v>1792</v>
      </c>
      <c r="G335">
        <v>1251</v>
      </c>
      <c r="H335" t="s">
        <v>11</v>
      </c>
      <c r="I335" t="b">
        <v>0</v>
      </c>
      <c r="J335" cm="1">
        <f t="array" ref="J335">sentimentCalc(B335)</f>
        <v>0</v>
      </c>
      <c r="K335" t="str" cm="1">
        <f t="array" ref="K335">sentimentCategory(J335)</f>
        <v>Neutral</v>
      </c>
    </row>
    <row r="336" spans="1:11" ht="17" x14ac:dyDescent="0.2">
      <c r="A336" t="s">
        <v>2816</v>
      </c>
      <c r="B336" s="1" t="s">
        <v>2817</v>
      </c>
      <c r="C336" t="s">
        <v>607</v>
      </c>
      <c r="D336" s="1" t="s">
        <v>1073</v>
      </c>
      <c r="E336" t="b">
        <v>0</v>
      </c>
      <c r="F336">
        <v>4</v>
      </c>
      <c r="G336">
        <v>107</v>
      </c>
      <c r="H336" t="s">
        <v>641</v>
      </c>
      <c r="I336" t="b">
        <v>0</v>
      </c>
      <c r="J336" cm="1">
        <f t="array" ref="J336">sentimentCalc(B336)</f>
        <v>0</v>
      </c>
      <c r="K336" t="str" cm="1">
        <f t="array" ref="K336">sentimentCategory(J336)</f>
        <v>Neutral</v>
      </c>
    </row>
    <row r="337" spans="1:11" ht="17" x14ac:dyDescent="0.2">
      <c r="A337" t="s">
        <v>660</v>
      </c>
      <c r="B337" s="1" t="s">
        <v>661</v>
      </c>
      <c r="C337" t="s">
        <v>575</v>
      </c>
      <c r="D337" s="1" t="s">
        <v>2</v>
      </c>
      <c r="E337" t="b">
        <v>0</v>
      </c>
      <c r="F337">
        <v>5570</v>
      </c>
      <c r="G337">
        <v>906</v>
      </c>
      <c r="H337" t="s">
        <v>11</v>
      </c>
      <c r="I337" t="b">
        <v>0</v>
      </c>
      <c r="J337" cm="1">
        <f t="array" ref="J337">sentimentCalc(B337)</f>
        <v>0</v>
      </c>
      <c r="K337" t="str" cm="1">
        <f t="array" ref="K337">sentimentCategory(J337)</f>
        <v>Neutral</v>
      </c>
    </row>
    <row r="338" spans="1:11" ht="34" x14ac:dyDescent="0.2">
      <c r="A338" t="s">
        <v>5172</v>
      </c>
      <c r="B338" s="1" t="s">
        <v>5173</v>
      </c>
      <c r="C338" t="s">
        <v>5174</v>
      </c>
      <c r="D338" s="1" t="s">
        <v>95</v>
      </c>
      <c r="E338" t="b">
        <v>0</v>
      </c>
      <c r="F338">
        <v>88</v>
      </c>
      <c r="G338">
        <v>9</v>
      </c>
      <c r="H338" t="s">
        <v>11</v>
      </c>
      <c r="I338" t="b">
        <v>0</v>
      </c>
      <c r="J338" cm="1">
        <f t="array" ref="J338">sentimentCalc(B338)</f>
        <v>0</v>
      </c>
      <c r="K338" t="str" cm="1">
        <f t="array" ref="K338">sentimentCategory(J338)</f>
        <v>Neutral</v>
      </c>
    </row>
    <row r="339" spans="1:11" ht="17" x14ac:dyDescent="0.2">
      <c r="A339" t="s">
        <v>1513</v>
      </c>
      <c r="B339" s="1" t="s">
        <v>1514</v>
      </c>
      <c r="C339" t="s">
        <v>1515</v>
      </c>
      <c r="D339" s="1" t="s">
        <v>2</v>
      </c>
      <c r="E339" t="b">
        <v>0</v>
      </c>
      <c r="F339">
        <v>114</v>
      </c>
      <c r="G339">
        <v>433</v>
      </c>
      <c r="H339" t="s">
        <v>11</v>
      </c>
      <c r="I339" t="b">
        <v>0</v>
      </c>
      <c r="J339" cm="1">
        <f t="array" ref="J339">sentimentCalc(B339)</f>
        <v>0</v>
      </c>
      <c r="K339" t="str" cm="1">
        <f t="array" ref="K339">sentimentCategory(J339)</f>
        <v>Neutral</v>
      </c>
    </row>
    <row r="340" spans="1:11" ht="17" x14ac:dyDescent="0.2">
      <c r="A340" t="s">
        <v>5774</v>
      </c>
      <c r="B340" s="1" t="s">
        <v>5775</v>
      </c>
      <c r="C340" t="s">
        <v>4778</v>
      </c>
      <c r="D340" s="1" t="s">
        <v>2</v>
      </c>
      <c r="E340" t="b">
        <v>0</v>
      </c>
      <c r="F340">
        <v>113</v>
      </c>
      <c r="G340">
        <v>317</v>
      </c>
      <c r="H340" t="s">
        <v>11</v>
      </c>
      <c r="I340" t="b">
        <v>0</v>
      </c>
      <c r="J340" cm="1">
        <f t="array" ref="J340">sentimentCalc(B340)</f>
        <v>-1</v>
      </c>
      <c r="K340" t="str" cm="1">
        <f t="array" ref="K340">sentimentCategory(J340)</f>
        <v>Negative</v>
      </c>
    </row>
    <row r="341" spans="1:11" ht="17" x14ac:dyDescent="0.2">
      <c r="A341" t="s">
        <v>4386</v>
      </c>
      <c r="B341" s="1" t="s">
        <v>4387</v>
      </c>
      <c r="C341" t="s">
        <v>167</v>
      </c>
      <c r="D341" s="1" t="s">
        <v>4388</v>
      </c>
      <c r="E341" t="b">
        <v>0</v>
      </c>
      <c r="F341">
        <v>980</v>
      </c>
      <c r="G341">
        <v>640</v>
      </c>
      <c r="H341" t="s">
        <v>11</v>
      </c>
      <c r="I341" t="b">
        <v>0</v>
      </c>
      <c r="J341" cm="1">
        <f t="array" ref="J341">sentimentCalc(B341)</f>
        <v>0</v>
      </c>
      <c r="K341" t="str" cm="1">
        <f t="array" ref="K341">sentimentCategory(J341)</f>
        <v>Neutral</v>
      </c>
    </row>
    <row r="342" spans="1:11" ht="34" x14ac:dyDescent="0.2">
      <c r="A342" t="s">
        <v>2233</v>
      </c>
      <c r="B342" s="1" t="s">
        <v>2234</v>
      </c>
      <c r="C342" t="s">
        <v>2235</v>
      </c>
      <c r="D342" s="1" t="s">
        <v>2236</v>
      </c>
      <c r="E342" t="b">
        <v>0</v>
      </c>
      <c r="F342">
        <v>511</v>
      </c>
      <c r="G342">
        <v>342</v>
      </c>
      <c r="H342" t="s">
        <v>11</v>
      </c>
      <c r="I342" t="b">
        <v>0</v>
      </c>
      <c r="J342" cm="1">
        <f t="array" ref="J342">sentimentCalc(B342)</f>
        <v>-1</v>
      </c>
      <c r="K342" t="str" cm="1">
        <f t="array" ref="K342">sentimentCategory(J342)</f>
        <v>Negative</v>
      </c>
    </row>
    <row r="343" spans="1:11" ht="34" x14ac:dyDescent="0.2">
      <c r="A343" t="s">
        <v>2253</v>
      </c>
      <c r="B343" s="1" t="s">
        <v>2254</v>
      </c>
      <c r="C343" t="s">
        <v>2255</v>
      </c>
      <c r="D343" s="1" t="s">
        <v>2256</v>
      </c>
      <c r="E343" t="b">
        <v>0</v>
      </c>
      <c r="F343">
        <v>397</v>
      </c>
      <c r="G343">
        <v>369</v>
      </c>
      <c r="H343" t="s">
        <v>11</v>
      </c>
      <c r="I343" t="b">
        <v>0</v>
      </c>
      <c r="J343" cm="1">
        <f t="array" ref="J343">sentimentCalc(B343)</f>
        <v>0</v>
      </c>
      <c r="K343" t="str" cm="1">
        <f t="array" ref="K343">sentimentCategory(J343)</f>
        <v>Neutral</v>
      </c>
    </row>
    <row r="344" spans="1:11" ht="17" x14ac:dyDescent="0.2">
      <c r="A344" t="s">
        <v>4</v>
      </c>
      <c r="B344" s="1" t="s">
        <v>5</v>
      </c>
      <c r="C344" t="s">
        <v>6</v>
      </c>
      <c r="D344" s="1" t="s">
        <v>7</v>
      </c>
      <c r="E344" t="b">
        <v>0</v>
      </c>
      <c r="F344">
        <v>113</v>
      </c>
      <c r="G344">
        <v>110</v>
      </c>
      <c r="H344" t="s">
        <v>3</v>
      </c>
      <c r="I344" t="b">
        <v>0</v>
      </c>
      <c r="J344" cm="1">
        <f t="array" ref="J344">sentimentCalc(B344)</f>
        <v>0</v>
      </c>
      <c r="K344" t="str" cm="1">
        <f t="array" ref="K344">sentimentCategory(J344)</f>
        <v>Neutral</v>
      </c>
    </row>
    <row r="345" spans="1:11" ht="34" x14ac:dyDescent="0.2">
      <c r="A345" t="s">
        <v>1080</v>
      </c>
      <c r="B345" s="1" t="s">
        <v>1081</v>
      </c>
      <c r="C345" t="s">
        <v>1082</v>
      </c>
      <c r="D345" s="1" t="s">
        <v>1083</v>
      </c>
      <c r="E345" t="b">
        <v>0</v>
      </c>
      <c r="F345">
        <v>0</v>
      </c>
      <c r="G345">
        <v>31</v>
      </c>
      <c r="H345" t="s">
        <v>11</v>
      </c>
      <c r="I345" t="b">
        <v>0</v>
      </c>
      <c r="J345" cm="1">
        <f t="array" ref="J345">sentimentCalc(B345)</f>
        <v>0</v>
      </c>
      <c r="K345" t="str" cm="1">
        <f t="array" ref="K345">sentimentCategory(J345)</f>
        <v>Neutral</v>
      </c>
    </row>
    <row r="346" spans="1:11" ht="17" x14ac:dyDescent="0.2">
      <c r="A346" t="s">
        <v>1985</v>
      </c>
      <c r="B346" s="1" t="s">
        <v>1986</v>
      </c>
      <c r="C346" t="s">
        <v>1987</v>
      </c>
      <c r="D346" s="1" t="s">
        <v>2</v>
      </c>
      <c r="E346" t="b">
        <v>0</v>
      </c>
      <c r="F346">
        <v>30</v>
      </c>
      <c r="G346">
        <v>11</v>
      </c>
      <c r="H346" t="s">
        <v>11</v>
      </c>
      <c r="I346" t="b">
        <v>0</v>
      </c>
      <c r="J346" cm="1">
        <f t="array" ref="J346">sentimentCalc(B346)</f>
        <v>0</v>
      </c>
      <c r="K346" t="str" cm="1">
        <f t="array" ref="K346">sentimentCategory(J346)</f>
        <v>Neutral</v>
      </c>
    </row>
    <row r="347" spans="1:11" ht="17" x14ac:dyDescent="0.2">
      <c r="A347" t="s">
        <v>5795</v>
      </c>
      <c r="B347" s="1" t="s">
        <v>5796</v>
      </c>
      <c r="C347" t="s">
        <v>1812</v>
      </c>
      <c r="D347" s="1" t="s">
        <v>2</v>
      </c>
      <c r="E347" t="b">
        <v>0</v>
      </c>
      <c r="F347">
        <v>722</v>
      </c>
      <c r="G347">
        <v>758</v>
      </c>
      <c r="H347" t="s">
        <v>11</v>
      </c>
      <c r="I347" t="b">
        <v>0</v>
      </c>
      <c r="J347" cm="1">
        <f t="array" ref="J347">sentimentCalc(B347)</f>
        <v>0</v>
      </c>
      <c r="K347" t="str" cm="1">
        <f t="array" ref="K347">sentimentCategory(J347)</f>
        <v>Neutral</v>
      </c>
    </row>
    <row r="348" spans="1:11" ht="17" x14ac:dyDescent="0.2">
      <c r="A348" t="s">
        <v>3363</v>
      </c>
      <c r="B348" s="1" t="s">
        <v>3364</v>
      </c>
      <c r="C348" t="s">
        <v>3365</v>
      </c>
      <c r="D348" s="1" t="s">
        <v>3366</v>
      </c>
      <c r="E348" t="b">
        <v>0</v>
      </c>
      <c r="F348">
        <v>43</v>
      </c>
      <c r="G348">
        <v>38</v>
      </c>
      <c r="H348" t="s">
        <v>11</v>
      </c>
      <c r="I348" t="b">
        <v>0</v>
      </c>
      <c r="J348" cm="1">
        <f t="array" ref="J348">sentimentCalc(B348)</f>
        <v>0</v>
      </c>
      <c r="K348" t="str" cm="1">
        <f t="array" ref="K348">sentimentCategory(J348)</f>
        <v>Neutral</v>
      </c>
    </row>
    <row r="349" spans="1:11" ht="34" x14ac:dyDescent="0.2">
      <c r="A349" t="s">
        <v>3719</v>
      </c>
      <c r="B349" s="1" t="s">
        <v>3720</v>
      </c>
      <c r="C349" t="s">
        <v>3721</v>
      </c>
      <c r="D349" s="1" t="s">
        <v>3722</v>
      </c>
      <c r="E349" t="b">
        <v>0</v>
      </c>
      <c r="F349">
        <v>704</v>
      </c>
      <c r="G349">
        <v>525</v>
      </c>
      <c r="H349" t="s">
        <v>110</v>
      </c>
      <c r="I349" t="b">
        <v>0</v>
      </c>
      <c r="J349" cm="1">
        <f t="array" ref="J349">sentimentCalc(B349)</f>
        <v>1</v>
      </c>
      <c r="K349" t="str" cm="1">
        <f t="array" ref="K349">sentimentCategory(J349)</f>
        <v>Positive</v>
      </c>
    </row>
    <row r="350" spans="1:11" ht="17" x14ac:dyDescent="0.2">
      <c r="A350" t="s">
        <v>1027</v>
      </c>
      <c r="B350" s="1" t="s">
        <v>1028</v>
      </c>
      <c r="C350" t="s">
        <v>1029</v>
      </c>
      <c r="D350" s="1" t="s">
        <v>2</v>
      </c>
      <c r="E350" t="b">
        <v>0</v>
      </c>
      <c r="F350">
        <v>59</v>
      </c>
      <c r="G350">
        <v>40</v>
      </c>
      <c r="H350" t="s">
        <v>11</v>
      </c>
      <c r="I350" t="b">
        <v>0</v>
      </c>
      <c r="J350" cm="1">
        <f t="array" ref="J350">sentimentCalc(B350)</f>
        <v>0</v>
      </c>
      <c r="K350" t="str" cm="1">
        <f t="array" ref="K350">sentimentCategory(J350)</f>
        <v>Neutral</v>
      </c>
    </row>
    <row r="351" spans="1:11" ht="17" x14ac:dyDescent="0.2">
      <c r="A351" t="s">
        <v>5762</v>
      </c>
      <c r="B351" s="1" t="s">
        <v>5763</v>
      </c>
      <c r="C351" t="s">
        <v>3333</v>
      </c>
      <c r="D351" s="1" t="s">
        <v>2561</v>
      </c>
      <c r="E351" t="b">
        <v>0</v>
      </c>
      <c r="F351">
        <v>2205</v>
      </c>
      <c r="G351">
        <v>1080</v>
      </c>
      <c r="H351" t="s">
        <v>11</v>
      </c>
      <c r="I351" t="b">
        <v>0</v>
      </c>
      <c r="J351" cm="1">
        <f t="array" ref="J351">sentimentCalc(B351)</f>
        <v>0</v>
      </c>
      <c r="K351" t="str" cm="1">
        <f t="array" ref="K351">sentimentCategory(J351)</f>
        <v>Neutral</v>
      </c>
    </row>
    <row r="352" spans="1:11" ht="34" x14ac:dyDescent="0.2">
      <c r="A352" t="s">
        <v>1472</v>
      </c>
      <c r="B352" s="1" t="s">
        <v>1473</v>
      </c>
      <c r="C352" t="s">
        <v>1474</v>
      </c>
      <c r="D352" s="1" t="s">
        <v>2</v>
      </c>
      <c r="E352" t="b">
        <v>0</v>
      </c>
      <c r="F352">
        <v>14</v>
      </c>
      <c r="G352">
        <v>175</v>
      </c>
      <c r="H352" t="s">
        <v>11</v>
      </c>
      <c r="I352" t="b">
        <v>0</v>
      </c>
      <c r="J352" cm="1">
        <f t="array" ref="J352">sentimentCalc(B352)</f>
        <v>-1</v>
      </c>
      <c r="K352" t="str" cm="1">
        <f t="array" ref="K352">sentimentCategory(J352)</f>
        <v>Negative</v>
      </c>
    </row>
    <row r="353" spans="1:11" ht="34" x14ac:dyDescent="0.2">
      <c r="A353" t="s">
        <v>4862</v>
      </c>
      <c r="B353" s="1" t="s">
        <v>4863</v>
      </c>
      <c r="C353" t="s">
        <v>3160</v>
      </c>
      <c r="D353" s="1" t="s">
        <v>2</v>
      </c>
      <c r="E353" t="b">
        <v>0</v>
      </c>
      <c r="F353">
        <v>39</v>
      </c>
      <c r="G353">
        <v>256</v>
      </c>
      <c r="H353" t="s">
        <v>11</v>
      </c>
      <c r="I353" t="b">
        <v>0</v>
      </c>
      <c r="J353" cm="1">
        <f t="array" ref="J353">sentimentCalc(B353)</f>
        <v>0</v>
      </c>
      <c r="K353" t="str" cm="1">
        <f t="array" ref="K353">sentimentCategory(J353)</f>
        <v>Neutral</v>
      </c>
    </row>
    <row r="354" spans="1:11" ht="34" x14ac:dyDescent="0.2">
      <c r="A354" t="s">
        <v>5099</v>
      </c>
      <c r="B354" s="1" t="s">
        <v>5100</v>
      </c>
      <c r="C354" t="s">
        <v>5101</v>
      </c>
      <c r="D354" s="1" t="s">
        <v>5102</v>
      </c>
      <c r="E354" t="b">
        <v>0</v>
      </c>
      <c r="F354">
        <v>40</v>
      </c>
      <c r="G354">
        <v>101</v>
      </c>
      <c r="H354" t="s">
        <v>11</v>
      </c>
      <c r="I354" t="b">
        <v>0</v>
      </c>
      <c r="J354" cm="1">
        <f t="array" ref="J354">sentimentCalc(B354)</f>
        <v>1</v>
      </c>
      <c r="K354" t="str" cm="1">
        <f t="array" ref="K354">sentimentCategory(J354)</f>
        <v>Positive</v>
      </c>
    </row>
    <row r="355" spans="1:11" ht="17" x14ac:dyDescent="0.2">
      <c r="A355" t="s">
        <v>507</v>
      </c>
      <c r="B355" s="1" t="s">
        <v>508</v>
      </c>
      <c r="C355" t="s">
        <v>509</v>
      </c>
      <c r="D355" s="1" t="s">
        <v>510</v>
      </c>
      <c r="E355" t="b">
        <v>0</v>
      </c>
      <c r="F355">
        <v>586</v>
      </c>
      <c r="G355">
        <v>483</v>
      </c>
      <c r="H355" t="s">
        <v>11</v>
      </c>
      <c r="I355" t="b">
        <v>0</v>
      </c>
      <c r="J355" cm="1">
        <f t="array" ref="J355">sentimentCalc(B355)</f>
        <v>1</v>
      </c>
      <c r="K355" t="str" cm="1">
        <f t="array" ref="K355">sentimentCategory(J355)</f>
        <v>Positive</v>
      </c>
    </row>
    <row r="356" spans="1:11" ht="34" x14ac:dyDescent="0.2">
      <c r="A356" t="s">
        <v>2894</v>
      </c>
      <c r="B356" s="1" t="s">
        <v>2895</v>
      </c>
      <c r="C356" t="s">
        <v>2896</v>
      </c>
      <c r="D356" s="1" t="s">
        <v>2897</v>
      </c>
      <c r="E356" t="b">
        <v>0</v>
      </c>
      <c r="F356">
        <v>218</v>
      </c>
      <c r="G356">
        <v>551</v>
      </c>
      <c r="H356" t="s">
        <v>11</v>
      </c>
      <c r="I356" t="b">
        <v>0</v>
      </c>
      <c r="J356" cm="1">
        <f t="array" ref="J356">sentimentCalc(B356)</f>
        <v>0</v>
      </c>
      <c r="K356" t="str" cm="1">
        <f t="array" ref="K356">sentimentCategory(J356)</f>
        <v>Neutral</v>
      </c>
    </row>
    <row r="357" spans="1:11" ht="34" x14ac:dyDescent="0.2">
      <c r="A357" t="s">
        <v>5598</v>
      </c>
      <c r="B357" s="1" t="s">
        <v>5599</v>
      </c>
      <c r="C357" t="s">
        <v>181</v>
      </c>
      <c r="D357" s="1" t="s">
        <v>664</v>
      </c>
      <c r="E357" t="b">
        <v>1</v>
      </c>
      <c r="F357">
        <v>46484</v>
      </c>
      <c r="G357">
        <v>2125</v>
      </c>
      <c r="H357" t="s">
        <v>11</v>
      </c>
      <c r="I357" t="b">
        <v>0</v>
      </c>
      <c r="J357" cm="1">
        <f t="array" ref="J357">sentimentCalc(B357)</f>
        <v>0</v>
      </c>
      <c r="K357" t="str" cm="1">
        <f t="array" ref="K357">sentimentCategory(J357)</f>
        <v>Neutral</v>
      </c>
    </row>
    <row r="358" spans="1:11" ht="17" x14ac:dyDescent="0.2">
      <c r="A358" t="s">
        <v>1733</v>
      </c>
      <c r="B358" s="1" t="s">
        <v>1734</v>
      </c>
      <c r="C358" t="s">
        <v>1735</v>
      </c>
      <c r="D358" s="1" t="s">
        <v>1736</v>
      </c>
      <c r="E358" t="b">
        <v>0</v>
      </c>
      <c r="F358">
        <v>74</v>
      </c>
      <c r="G358">
        <v>398</v>
      </c>
      <c r="H358" t="s">
        <v>11</v>
      </c>
      <c r="I358" t="b">
        <v>0</v>
      </c>
      <c r="J358" cm="1">
        <f t="array" ref="J358">sentimentCalc(B358)</f>
        <v>0</v>
      </c>
      <c r="K358" t="str" cm="1">
        <f t="array" ref="K358">sentimentCategory(J358)</f>
        <v>Neutral</v>
      </c>
    </row>
    <row r="359" spans="1:11" ht="34" x14ac:dyDescent="0.2">
      <c r="A359" t="s">
        <v>4502</v>
      </c>
      <c r="B359" s="1" t="s">
        <v>4503</v>
      </c>
      <c r="C359" t="s">
        <v>4504</v>
      </c>
      <c r="D359" s="1" t="s">
        <v>829</v>
      </c>
      <c r="E359" t="b">
        <v>0</v>
      </c>
      <c r="F359">
        <v>579</v>
      </c>
      <c r="G359">
        <v>940</v>
      </c>
      <c r="H359" t="s">
        <v>11</v>
      </c>
      <c r="I359" t="b">
        <v>0</v>
      </c>
      <c r="J359" cm="1">
        <f t="array" ref="J359">sentimentCalc(B359)</f>
        <v>0</v>
      </c>
      <c r="K359" t="str" cm="1">
        <f t="array" ref="K359">sentimentCategory(J359)</f>
        <v>Neutral</v>
      </c>
    </row>
    <row r="360" spans="1:11" ht="34" x14ac:dyDescent="0.2">
      <c r="A360" t="s">
        <v>752</v>
      </c>
      <c r="B360" s="1" t="s">
        <v>753</v>
      </c>
      <c r="C360" t="s">
        <v>754</v>
      </c>
      <c r="D360" s="1" t="s">
        <v>755</v>
      </c>
      <c r="E360" t="b">
        <v>0</v>
      </c>
      <c r="F360">
        <v>87</v>
      </c>
      <c r="G360">
        <v>51</v>
      </c>
      <c r="H360" t="s">
        <v>11</v>
      </c>
      <c r="I360" t="b">
        <v>0</v>
      </c>
      <c r="J360" cm="1">
        <f t="array" ref="J360">sentimentCalc(B360)</f>
        <v>-1</v>
      </c>
      <c r="K360" t="str" cm="1">
        <f t="array" ref="K360">sentimentCategory(J360)</f>
        <v>Negative</v>
      </c>
    </row>
    <row r="361" spans="1:11" ht="17" x14ac:dyDescent="0.2">
      <c r="A361" t="s">
        <v>1660</v>
      </c>
      <c r="B361" s="1" t="s">
        <v>1661</v>
      </c>
      <c r="C361" t="s">
        <v>1065</v>
      </c>
      <c r="D361" s="1" t="s">
        <v>1662</v>
      </c>
      <c r="E361" t="b">
        <v>0</v>
      </c>
      <c r="F361">
        <v>1224</v>
      </c>
      <c r="G361">
        <v>99</v>
      </c>
      <c r="H361" t="s">
        <v>11</v>
      </c>
      <c r="I361" t="b">
        <v>0</v>
      </c>
      <c r="J361" cm="1">
        <f t="array" ref="J361">sentimentCalc(B361)</f>
        <v>0</v>
      </c>
      <c r="K361" t="str" cm="1">
        <f t="array" ref="K361">sentimentCategory(J361)</f>
        <v>Neutral</v>
      </c>
    </row>
    <row r="362" spans="1:11" ht="17" x14ac:dyDescent="0.2">
      <c r="A362" t="s">
        <v>5337</v>
      </c>
      <c r="B362" s="1" t="s">
        <v>5338</v>
      </c>
      <c r="C362" t="s">
        <v>3671</v>
      </c>
      <c r="D362" s="1" t="s">
        <v>5339</v>
      </c>
      <c r="E362" t="b">
        <v>0</v>
      </c>
      <c r="F362">
        <v>8530</v>
      </c>
      <c r="G362">
        <v>3284</v>
      </c>
      <c r="H362" t="s">
        <v>11</v>
      </c>
      <c r="I362" t="b">
        <v>0</v>
      </c>
      <c r="J362" cm="1">
        <f t="array" ref="J362">sentimentCalc(B362)</f>
        <v>0</v>
      </c>
      <c r="K362" t="str" cm="1">
        <f t="array" ref="K362">sentimentCategory(J362)</f>
        <v>Neutral</v>
      </c>
    </row>
    <row r="363" spans="1:11" ht="17" x14ac:dyDescent="0.2">
      <c r="A363" t="s">
        <v>5192</v>
      </c>
      <c r="B363" s="1" t="s">
        <v>5193</v>
      </c>
      <c r="C363" t="s">
        <v>3244</v>
      </c>
      <c r="D363" s="1" t="s">
        <v>4101</v>
      </c>
      <c r="E363" t="b">
        <v>0</v>
      </c>
      <c r="F363">
        <v>555</v>
      </c>
      <c r="G363">
        <v>327</v>
      </c>
      <c r="H363" t="s">
        <v>11</v>
      </c>
      <c r="I363" t="b">
        <v>0</v>
      </c>
      <c r="J363" cm="1">
        <f t="array" ref="J363">sentimentCalc(B363)</f>
        <v>0</v>
      </c>
      <c r="K363" t="str" cm="1">
        <f t="array" ref="K363">sentimentCategory(J363)</f>
        <v>Neutral</v>
      </c>
    </row>
    <row r="364" spans="1:11" ht="34" x14ac:dyDescent="0.2">
      <c r="A364" t="s">
        <v>6895</v>
      </c>
      <c r="B364" s="1" t="s">
        <v>6896</v>
      </c>
      <c r="C364" t="s">
        <v>6404</v>
      </c>
      <c r="D364" s="1" t="s">
        <v>2</v>
      </c>
      <c r="E364" t="b">
        <v>0</v>
      </c>
      <c r="F364">
        <v>11</v>
      </c>
      <c r="G364">
        <v>425</v>
      </c>
      <c r="H364" t="s">
        <v>11</v>
      </c>
      <c r="I364" t="b">
        <v>0</v>
      </c>
      <c r="J364" cm="1">
        <f t="array" ref="J364">sentimentCalc(B364)</f>
        <v>0</v>
      </c>
      <c r="K364" t="str" cm="1">
        <f t="array" ref="K364">sentimentCategory(J364)</f>
        <v>Neutral</v>
      </c>
    </row>
    <row r="365" spans="1:11" ht="17" x14ac:dyDescent="0.2">
      <c r="A365" t="s">
        <v>6636</v>
      </c>
      <c r="B365" s="1" t="s">
        <v>6637</v>
      </c>
      <c r="C365" t="s">
        <v>45</v>
      </c>
      <c r="D365" s="1" t="s">
        <v>2</v>
      </c>
      <c r="E365" t="b">
        <v>0</v>
      </c>
      <c r="F365">
        <v>23</v>
      </c>
      <c r="G365">
        <v>47</v>
      </c>
      <c r="H365" t="s">
        <v>11</v>
      </c>
      <c r="I365" t="b">
        <v>0</v>
      </c>
      <c r="J365" cm="1">
        <f t="array" ref="J365">sentimentCalc(B365)</f>
        <v>0</v>
      </c>
      <c r="K365" t="str" cm="1">
        <f t="array" ref="K365">sentimentCategory(J365)</f>
        <v>Neutral</v>
      </c>
    </row>
    <row r="366" spans="1:11" ht="34" x14ac:dyDescent="0.2">
      <c r="A366" t="s">
        <v>4222</v>
      </c>
      <c r="B366" s="1" t="s">
        <v>4223</v>
      </c>
      <c r="C366" t="s">
        <v>1687</v>
      </c>
      <c r="D366" s="1" t="s">
        <v>2</v>
      </c>
      <c r="E366" t="b">
        <v>0</v>
      </c>
      <c r="F366">
        <v>201</v>
      </c>
      <c r="G366">
        <v>687</v>
      </c>
      <c r="H366" t="s">
        <v>31</v>
      </c>
      <c r="I366" t="b">
        <v>0</v>
      </c>
      <c r="J366" cm="1">
        <f t="array" ref="J366">sentimentCalc(B366)</f>
        <v>0</v>
      </c>
      <c r="K366" t="str" cm="1">
        <f t="array" ref="K366">sentimentCategory(J366)</f>
        <v>Neutral</v>
      </c>
    </row>
    <row r="367" spans="1:11" ht="17" x14ac:dyDescent="0.2">
      <c r="A367" t="s">
        <v>1516</v>
      </c>
      <c r="B367" s="1" t="s">
        <v>1517</v>
      </c>
      <c r="C367" t="s">
        <v>1518</v>
      </c>
      <c r="D367" s="1" t="s">
        <v>2</v>
      </c>
      <c r="E367" t="b">
        <v>0</v>
      </c>
      <c r="F367">
        <v>763</v>
      </c>
      <c r="G367">
        <v>30</v>
      </c>
      <c r="H367" t="s">
        <v>11</v>
      </c>
      <c r="I367" t="b">
        <v>0</v>
      </c>
      <c r="J367" cm="1">
        <f t="array" ref="J367">sentimentCalc(B367)</f>
        <v>0</v>
      </c>
      <c r="K367" t="str" cm="1">
        <f t="array" ref="K367">sentimentCategory(J367)</f>
        <v>Neutral</v>
      </c>
    </row>
    <row r="368" spans="1:11" ht="17" x14ac:dyDescent="0.2">
      <c r="A368" t="s">
        <v>2868</v>
      </c>
      <c r="B368" s="1" t="s">
        <v>2869</v>
      </c>
      <c r="C368" t="s">
        <v>319</v>
      </c>
      <c r="D368" s="1" t="s">
        <v>2870</v>
      </c>
      <c r="E368" t="b">
        <v>0</v>
      </c>
      <c r="F368">
        <v>248</v>
      </c>
      <c r="G368">
        <v>689</v>
      </c>
      <c r="H368" t="s">
        <v>11</v>
      </c>
      <c r="I368" t="b">
        <v>0</v>
      </c>
      <c r="J368" cm="1">
        <f t="array" ref="J368">sentimentCalc(B368)</f>
        <v>-1</v>
      </c>
      <c r="K368" t="str" cm="1">
        <f t="array" ref="K368">sentimentCategory(J368)</f>
        <v>Negative</v>
      </c>
    </row>
    <row r="369" spans="1:11" ht="17" x14ac:dyDescent="0.2">
      <c r="A369" t="s">
        <v>5712</v>
      </c>
      <c r="B369" s="1" t="s">
        <v>5713</v>
      </c>
      <c r="C369" t="s">
        <v>649</v>
      </c>
      <c r="D369" s="1" t="s">
        <v>2</v>
      </c>
      <c r="E369" t="b">
        <v>0</v>
      </c>
      <c r="F369">
        <v>38</v>
      </c>
      <c r="G369">
        <v>14</v>
      </c>
      <c r="H369" t="s">
        <v>31</v>
      </c>
      <c r="I369" t="b">
        <v>0</v>
      </c>
      <c r="J369" cm="1">
        <f t="array" ref="J369">sentimentCalc(B369)</f>
        <v>0</v>
      </c>
      <c r="K369" t="str" cm="1">
        <f t="array" ref="K369">sentimentCategory(J369)</f>
        <v>Neutral</v>
      </c>
    </row>
    <row r="370" spans="1:11" ht="34" x14ac:dyDescent="0.2">
      <c r="A370" t="s">
        <v>4878</v>
      </c>
      <c r="B370" s="1" t="s">
        <v>4879</v>
      </c>
      <c r="C370" t="s">
        <v>3160</v>
      </c>
      <c r="D370" s="1" t="s">
        <v>3161</v>
      </c>
      <c r="E370" t="b">
        <v>0</v>
      </c>
      <c r="F370">
        <v>67</v>
      </c>
      <c r="G370">
        <v>96</v>
      </c>
      <c r="H370" t="s">
        <v>11</v>
      </c>
      <c r="I370" t="b">
        <v>0</v>
      </c>
      <c r="J370" cm="1">
        <f t="array" ref="J370">sentimentCalc(B370)</f>
        <v>0</v>
      </c>
      <c r="K370" t="str" cm="1">
        <f t="array" ref="K370">sentimentCategory(J370)</f>
        <v>Neutral</v>
      </c>
    </row>
    <row r="371" spans="1:11" ht="17" x14ac:dyDescent="0.2">
      <c r="A371" t="s">
        <v>6807</v>
      </c>
      <c r="B371" s="1" t="s">
        <v>6808</v>
      </c>
      <c r="C371" t="s">
        <v>995</v>
      </c>
      <c r="D371" s="1" t="s">
        <v>2</v>
      </c>
      <c r="E371" t="b">
        <v>0</v>
      </c>
      <c r="F371">
        <v>162</v>
      </c>
      <c r="G371">
        <v>516</v>
      </c>
      <c r="H371" t="s">
        <v>11</v>
      </c>
      <c r="I371" t="b">
        <v>0</v>
      </c>
      <c r="J371" cm="1">
        <f t="array" ref="J371">sentimentCalc(B371)</f>
        <v>0</v>
      </c>
      <c r="K371" t="str" cm="1">
        <f t="array" ref="K371">sentimentCategory(J371)</f>
        <v>Neutral</v>
      </c>
    </row>
    <row r="372" spans="1:11" ht="34" x14ac:dyDescent="0.2">
      <c r="A372" t="s">
        <v>758</v>
      </c>
      <c r="B372" s="1" t="s">
        <v>759</v>
      </c>
      <c r="C372" t="s">
        <v>760</v>
      </c>
      <c r="D372" s="1" t="s">
        <v>2</v>
      </c>
      <c r="E372" t="b">
        <v>0</v>
      </c>
      <c r="F372">
        <v>142</v>
      </c>
      <c r="G372">
        <v>133</v>
      </c>
      <c r="H372" t="s">
        <v>641</v>
      </c>
      <c r="I372" t="b">
        <v>0</v>
      </c>
      <c r="J372" cm="1">
        <f t="array" ref="J372">sentimentCalc(B372)</f>
        <v>2</v>
      </c>
      <c r="K372" t="str" cm="1">
        <f t="array" ref="K372">sentimentCategory(J372)</f>
        <v>Positive</v>
      </c>
    </row>
    <row r="373" spans="1:11" ht="17" x14ac:dyDescent="0.2">
      <c r="A373" t="s">
        <v>2490</v>
      </c>
      <c r="B373" s="1" t="s">
        <v>2491</v>
      </c>
      <c r="C373" t="s">
        <v>584</v>
      </c>
      <c r="D373" s="1" t="s">
        <v>2483</v>
      </c>
      <c r="E373" t="b">
        <v>0</v>
      </c>
      <c r="F373">
        <v>894</v>
      </c>
      <c r="G373">
        <v>1968</v>
      </c>
      <c r="H373" t="s">
        <v>11</v>
      </c>
      <c r="I373" t="b">
        <v>0</v>
      </c>
      <c r="J373" cm="1">
        <f t="array" ref="J373">sentimentCalc(B373)</f>
        <v>0</v>
      </c>
      <c r="K373" t="str" cm="1">
        <f t="array" ref="K373">sentimentCategory(J373)</f>
        <v>Neutral</v>
      </c>
    </row>
    <row r="374" spans="1:11" ht="17" x14ac:dyDescent="0.2">
      <c r="A374" t="s">
        <v>6625</v>
      </c>
      <c r="B374" s="1" t="s">
        <v>6626</v>
      </c>
      <c r="C374" t="s">
        <v>587</v>
      </c>
      <c r="D374" s="1" t="s">
        <v>6627</v>
      </c>
      <c r="E374" t="b">
        <v>0</v>
      </c>
      <c r="F374">
        <v>492</v>
      </c>
      <c r="G374">
        <v>153</v>
      </c>
      <c r="H374" t="s">
        <v>11</v>
      </c>
      <c r="I374" t="b">
        <v>0</v>
      </c>
      <c r="J374" cm="1">
        <f t="array" ref="J374">sentimentCalc(B374)</f>
        <v>0</v>
      </c>
      <c r="K374" t="str" cm="1">
        <f t="array" ref="K374">sentimentCategory(J374)</f>
        <v>Neutral</v>
      </c>
    </row>
    <row r="375" spans="1:11" ht="17" x14ac:dyDescent="0.2">
      <c r="A375" t="s">
        <v>123</v>
      </c>
      <c r="B375" s="1" t="s">
        <v>124</v>
      </c>
      <c r="C375" t="s">
        <v>125</v>
      </c>
      <c r="D375" s="1" t="s">
        <v>126</v>
      </c>
      <c r="E375" t="b">
        <v>0</v>
      </c>
      <c r="F375">
        <v>40</v>
      </c>
      <c r="G375">
        <v>145</v>
      </c>
      <c r="H375" t="s">
        <v>11</v>
      </c>
      <c r="I375" t="b">
        <v>0</v>
      </c>
      <c r="J375" cm="1">
        <f t="array" ref="J375">sentimentCalc(B375)</f>
        <v>-2</v>
      </c>
      <c r="K375" t="str" cm="1">
        <f t="array" ref="K375">sentimentCategory(J375)</f>
        <v>Negative</v>
      </c>
    </row>
    <row r="376" spans="1:11" ht="34" x14ac:dyDescent="0.2">
      <c r="A376" t="s">
        <v>1051</v>
      </c>
      <c r="B376" s="1" t="s">
        <v>1052</v>
      </c>
      <c r="C376" t="s">
        <v>1053</v>
      </c>
      <c r="D376" s="1" t="s">
        <v>2</v>
      </c>
      <c r="E376" t="b">
        <v>0</v>
      </c>
      <c r="F376">
        <v>2</v>
      </c>
      <c r="G376">
        <v>23</v>
      </c>
      <c r="H376" t="s">
        <v>11</v>
      </c>
      <c r="I376" t="b">
        <v>0</v>
      </c>
      <c r="J376" cm="1">
        <f t="array" ref="J376">sentimentCalc(B376)</f>
        <v>0</v>
      </c>
      <c r="K376" t="str" cm="1">
        <f t="array" ref="K376">sentimentCategory(J376)</f>
        <v>Neutral</v>
      </c>
    </row>
    <row r="377" spans="1:11" ht="34" x14ac:dyDescent="0.2">
      <c r="A377" t="s">
        <v>6177</v>
      </c>
      <c r="B377" s="1" t="s">
        <v>6178</v>
      </c>
      <c r="C377" t="s">
        <v>2533</v>
      </c>
      <c r="D377" s="1" t="s">
        <v>2276</v>
      </c>
      <c r="E377" t="b">
        <v>0</v>
      </c>
      <c r="F377">
        <v>272</v>
      </c>
      <c r="G377">
        <v>475</v>
      </c>
      <c r="H377" t="s">
        <v>11</v>
      </c>
      <c r="I377" t="b">
        <v>0</v>
      </c>
      <c r="J377" cm="1">
        <f t="array" ref="J377">sentimentCalc(B377)</f>
        <v>0</v>
      </c>
      <c r="K377" t="str" cm="1">
        <f t="array" ref="K377">sentimentCategory(J377)</f>
        <v>Neutral</v>
      </c>
    </row>
    <row r="378" spans="1:11" ht="17" x14ac:dyDescent="0.2">
      <c r="A378" t="s">
        <v>5745</v>
      </c>
      <c r="B378" s="1" t="s">
        <v>5746</v>
      </c>
      <c r="C378" t="s">
        <v>894</v>
      </c>
      <c r="D378" s="1" t="s">
        <v>2</v>
      </c>
      <c r="E378" t="b">
        <v>0</v>
      </c>
      <c r="F378">
        <v>81108</v>
      </c>
      <c r="G378">
        <v>872</v>
      </c>
      <c r="H378" t="s">
        <v>11</v>
      </c>
      <c r="I378" t="b">
        <v>0</v>
      </c>
      <c r="J378" cm="1">
        <f t="array" ref="J378">sentimentCalc(B378)</f>
        <v>0</v>
      </c>
      <c r="K378" t="str" cm="1">
        <f t="array" ref="K378">sentimentCategory(J378)</f>
        <v>Neutral</v>
      </c>
    </row>
    <row r="379" spans="1:11" ht="17" x14ac:dyDescent="0.2">
      <c r="A379" t="s">
        <v>997</v>
      </c>
      <c r="B379" s="1" t="s">
        <v>998</v>
      </c>
      <c r="C379" t="s">
        <v>406</v>
      </c>
      <c r="D379" s="1" t="s">
        <v>999</v>
      </c>
      <c r="E379" t="b">
        <v>0</v>
      </c>
      <c r="F379">
        <v>489</v>
      </c>
      <c r="G379">
        <v>528</v>
      </c>
      <c r="H379" t="s">
        <v>11</v>
      </c>
      <c r="I379" t="b">
        <v>0</v>
      </c>
      <c r="J379" cm="1">
        <f t="array" ref="J379">sentimentCalc(B379)</f>
        <v>0</v>
      </c>
      <c r="K379" t="str" cm="1">
        <f t="array" ref="K379">sentimentCategory(J379)</f>
        <v>Neutral</v>
      </c>
    </row>
    <row r="380" spans="1:11" ht="34" x14ac:dyDescent="0.2">
      <c r="A380" t="s">
        <v>5259</v>
      </c>
      <c r="B380" s="1" t="s">
        <v>5260</v>
      </c>
      <c r="C380" t="s">
        <v>5261</v>
      </c>
      <c r="D380" s="1" t="s">
        <v>562</v>
      </c>
      <c r="E380" t="b">
        <v>0</v>
      </c>
      <c r="F380">
        <v>6</v>
      </c>
      <c r="G380">
        <v>172</v>
      </c>
      <c r="H380" t="s">
        <v>11</v>
      </c>
      <c r="I380" t="b">
        <v>0</v>
      </c>
      <c r="J380" cm="1">
        <f t="array" ref="J380">sentimentCalc(B380)</f>
        <v>0</v>
      </c>
      <c r="K380" t="str" cm="1">
        <f t="array" ref="K380">sentimentCategory(J380)</f>
        <v>Neutral</v>
      </c>
    </row>
    <row r="381" spans="1:11" ht="17" x14ac:dyDescent="0.2">
      <c r="A381" t="s">
        <v>5545</v>
      </c>
      <c r="B381" s="1" t="s">
        <v>5546</v>
      </c>
      <c r="C381" t="s">
        <v>908</v>
      </c>
      <c r="D381" s="1" t="s">
        <v>5547</v>
      </c>
      <c r="E381" t="b">
        <v>0</v>
      </c>
      <c r="F381">
        <v>177</v>
      </c>
      <c r="G381">
        <v>284</v>
      </c>
      <c r="H381" t="s">
        <v>11</v>
      </c>
      <c r="I381" t="b">
        <v>0</v>
      </c>
      <c r="J381" cm="1">
        <f t="array" ref="J381">sentimentCalc(B381)</f>
        <v>0</v>
      </c>
      <c r="K381" t="str" cm="1">
        <f t="array" ref="K381">sentimentCategory(J381)</f>
        <v>Neutral</v>
      </c>
    </row>
    <row r="382" spans="1:11" ht="34" x14ac:dyDescent="0.2">
      <c r="A382" t="s">
        <v>6900</v>
      </c>
      <c r="B382" s="1" t="s">
        <v>6901</v>
      </c>
      <c r="C382" t="s">
        <v>4963</v>
      </c>
      <c r="D382" s="1" t="s">
        <v>6902</v>
      </c>
      <c r="E382" t="b">
        <v>0</v>
      </c>
      <c r="F382">
        <v>2835</v>
      </c>
      <c r="G382">
        <v>3547</v>
      </c>
      <c r="H382" t="s">
        <v>11</v>
      </c>
      <c r="I382" t="b">
        <v>0</v>
      </c>
      <c r="J382" cm="1">
        <f t="array" ref="J382">sentimentCalc(B382)</f>
        <v>0</v>
      </c>
      <c r="K382" t="str" cm="1">
        <f t="array" ref="K382">sentimentCategory(J382)</f>
        <v>Neutral</v>
      </c>
    </row>
    <row r="383" spans="1:11" ht="17" x14ac:dyDescent="0.2">
      <c r="A383" t="s">
        <v>647</v>
      </c>
      <c r="B383" s="1" t="s">
        <v>648</v>
      </c>
      <c r="C383" t="s">
        <v>649</v>
      </c>
      <c r="D383" s="1" t="s">
        <v>2</v>
      </c>
      <c r="E383" t="b">
        <v>0</v>
      </c>
      <c r="F383">
        <v>37</v>
      </c>
      <c r="G383">
        <v>14</v>
      </c>
      <c r="H383" t="s">
        <v>31</v>
      </c>
      <c r="I383" t="b">
        <v>0</v>
      </c>
      <c r="J383" cm="1">
        <f t="array" ref="J383">sentimentCalc(B383)</f>
        <v>0</v>
      </c>
      <c r="K383" t="str" cm="1">
        <f t="array" ref="K383">sentimentCategory(J383)</f>
        <v>Neutral</v>
      </c>
    </row>
    <row r="384" spans="1:11" ht="17" x14ac:dyDescent="0.2">
      <c r="A384" t="s">
        <v>6100</v>
      </c>
      <c r="B384" s="1" t="s">
        <v>6101</v>
      </c>
      <c r="C384" t="s">
        <v>3345</v>
      </c>
      <c r="D384" s="1" t="s">
        <v>6102</v>
      </c>
      <c r="E384" t="b">
        <v>0</v>
      </c>
      <c r="F384">
        <v>20</v>
      </c>
      <c r="G384">
        <v>63</v>
      </c>
      <c r="H384" t="s">
        <v>11</v>
      </c>
      <c r="I384" t="b">
        <v>0</v>
      </c>
      <c r="J384" cm="1">
        <f t="array" ref="J384">sentimentCalc(B384)</f>
        <v>0</v>
      </c>
      <c r="K384" t="str" cm="1">
        <f t="array" ref="K384">sentimentCategory(J384)</f>
        <v>Neutral</v>
      </c>
    </row>
    <row r="385" spans="1:11" ht="34" x14ac:dyDescent="0.2">
      <c r="A385" t="s">
        <v>6307</v>
      </c>
      <c r="B385" s="1" t="s">
        <v>6308</v>
      </c>
      <c r="C385" t="s">
        <v>82</v>
      </c>
      <c r="D385" s="1" t="s">
        <v>2</v>
      </c>
      <c r="E385" t="b">
        <v>0</v>
      </c>
      <c r="F385">
        <v>766</v>
      </c>
      <c r="G385">
        <v>823</v>
      </c>
      <c r="H385" t="s">
        <v>11</v>
      </c>
      <c r="I385" t="b">
        <v>0</v>
      </c>
      <c r="J385" cm="1">
        <f t="array" ref="J385">sentimentCalc(B385)</f>
        <v>0</v>
      </c>
      <c r="K385" t="str" cm="1">
        <f t="array" ref="K385">sentimentCategory(J385)</f>
        <v>Neutral</v>
      </c>
    </row>
    <row r="386" spans="1:11" ht="17" x14ac:dyDescent="0.2">
      <c r="A386" t="s">
        <v>163</v>
      </c>
      <c r="B386" s="1" t="s">
        <v>164</v>
      </c>
      <c r="C386" t="s">
        <v>157</v>
      </c>
      <c r="D386" s="1" t="s">
        <v>158</v>
      </c>
      <c r="E386" t="b">
        <v>0</v>
      </c>
      <c r="F386">
        <v>134</v>
      </c>
      <c r="G386">
        <v>57</v>
      </c>
      <c r="H386" t="s">
        <v>11</v>
      </c>
      <c r="I386" t="b">
        <v>0</v>
      </c>
      <c r="J386" cm="1">
        <f t="array" ref="J386">sentimentCalc(B386)</f>
        <v>0</v>
      </c>
      <c r="K386" t="str" cm="1">
        <f t="array" ref="K386">sentimentCategory(J386)</f>
        <v>Neutral</v>
      </c>
    </row>
    <row r="387" spans="1:11" ht="17" x14ac:dyDescent="0.2">
      <c r="A387" t="s">
        <v>1493</v>
      </c>
      <c r="B387" s="1" t="s">
        <v>1494</v>
      </c>
      <c r="C387" t="s">
        <v>1495</v>
      </c>
      <c r="D387" s="1" t="s">
        <v>1496</v>
      </c>
      <c r="E387" t="b">
        <v>0</v>
      </c>
      <c r="F387">
        <v>654</v>
      </c>
      <c r="G387">
        <v>162</v>
      </c>
      <c r="H387" t="s">
        <v>11</v>
      </c>
      <c r="I387" t="b">
        <v>0</v>
      </c>
      <c r="J387" cm="1">
        <f t="array" ref="J387">sentimentCalc(B387)</f>
        <v>0</v>
      </c>
      <c r="K387" t="str" cm="1">
        <f t="array" ref="K387">sentimentCategory(J387)</f>
        <v>Neutral</v>
      </c>
    </row>
    <row r="388" spans="1:11" ht="17" x14ac:dyDescent="0.2">
      <c r="A388" t="s">
        <v>2204</v>
      </c>
      <c r="B388" s="1" t="s">
        <v>2205</v>
      </c>
      <c r="C388" t="s">
        <v>935</v>
      </c>
      <c r="D388" s="1" t="s">
        <v>168</v>
      </c>
      <c r="E388" t="b">
        <v>0</v>
      </c>
      <c r="F388">
        <v>596</v>
      </c>
      <c r="G388">
        <v>1244</v>
      </c>
      <c r="H388" t="s">
        <v>11</v>
      </c>
      <c r="I388" t="b">
        <v>0</v>
      </c>
      <c r="J388" cm="1">
        <f t="array" ref="J388">sentimentCalc(B388)</f>
        <v>0</v>
      </c>
      <c r="K388" t="str" cm="1">
        <f t="array" ref="K388">sentimentCategory(J388)</f>
        <v>Neutral</v>
      </c>
    </row>
    <row r="389" spans="1:11" ht="17" x14ac:dyDescent="0.2">
      <c r="A389" t="s">
        <v>6538</v>
      </c>
      <c r="B389" s="1" t="s">
        <v>6539</v>
      </c>
      <c r="C389" t="s">
        <v>1866</v>
      </c>
      <c r="D389" s="1" t="s">
        <v>6540</v>
      </c>
      <c r="E389" t="b">
        <v>0</v>
      </c>
      <c r="F389">
        <v>23</v>
      </c>
      <c r="G389">
        <v>18</v>
      </c>
      <c r="H389" t="s">
        <v>110</v>
      </c>
      <c r="I389" t="b">
        <v>0</v>
      </c>
      <c r="J389" cm="1">
        <f t="array" ref="J389">sentimentCalc(B389)</f>
        <v>0</v>
      </c>
      <c r="K389" t="str" cm="1">
        <f t="array" ref="K389">sentimentCategory(J389)</f>
        <v>Neutral</v>
      </c>
    </row>
    <row r="390" spans="1:11" ht="17" x14ac:dyDescent="0.2">
      <c r="A390" t="s">
        <v>277</v>
      </c>
      <c r="B390" s="1" t="s">
        <v>278</v>
      </c>
      <c r="C390" t="s">
        <v>279</v>
      </c>
      <c r="D390" s="1" t="s">
        <v>2</v>
      </c>
      <c r="E390" t="b">
        <v>0</v>
      </c>
      <c r="F390">
        <v>189</v>
      </c>
      <c r="G390">
        <v>91</v>
      </c>
      <c r="H390" t="s">
        <v>11</v>
      </c>
      <c r="I390" t="b">
        <v>0</v>
      </c>
      <c r="J390" cm="1">
        <f t="array" ref="J390">sentimentCalc(B390)</f>
        <v>0</v>
      </c>
      <c r="K390" t="str" cm="1">
        <f t="array" ref="K390">sentimentCategory(J390)</f>
        <v>Neutral</v>
      </c>
    </row>
    <row r="391" spans="1:11" ht="17" x14ac:dyDescent="0.2">
      <c r="A391" t="s">
        <v>4769</v>
      </c>
      <c r="B391" s="1" t="s">
        <v>4770</v>
      </c>
      <c r="C391" t="s">
        <v>2749</v>
      </c>
      <c r="D391" s="1" t="s">
        <v>1264</v>
      </c>
      <c r="E391" t="b">
        <v>0</v>
      </c>
      <c r="F391">
        <v>0</v>
      </c>
      <c r="G391">
        <v>33</v>
      </c>
      <c r="H391" t="s">
        <v>359</v>
      </c>
      <c r="I391" t="b">
        <v>0</v>
      </c>
      <c r="J391" cm="1">
        <f t="array" ref="J391">sentimentCalc(B391)</f>
        <v>0</v>
      </c>
      <c r="K391" t="str" cm="1">
        <f t="array" ref="K391">sentimentCategory(J391)</f>
        <v>Neutral</v>
      </c>
    </row>
    <row r="392" spans="1:11" ht="34" x14ac:dyDescent="0.2">
      <c r="A392" t="s">
        <v>43</v>
      </c>
      <c r="B392" s="1" t="s">
        <v>44</v>
      </c>
      <c r="C392" t="s">
        <v>45</v>
      </c>
      <c r="D392" s="1" t="s">
        <v>46</v>
      </c>
      <c r="E392" t="b">
        <v>0</v>
      </c>
      <c r="F392">
        <v>1373</v>
      </c>
      <c r="G392">
        <v>312</v>
      </c>
      <c r="H392" t="s">
        <v>47</v>
      </c>
      <c r="I392" t="b">
        <v>0</v>
      </c>
      <c r="J392" cm="1">
        <f t="array" ref="J392">sentimentCalc(B392)</f>
        <v>0</v>
      </c>
      <c r="K392" t="str" cm="1">
        <f t="array" ref="K392">sentimentCategory(J392)</f>
        <v>Neutral</v>
      </c>
    </row>
    <row r="393" spans="1:11" ht="17" x14ac:dyDescent="0.2">
      <c r="A393" t="s">
        <v>5127</v>
      </c>
      <c r="B393" s="1" t="s">
        <v>5128</v>
      </c>
      <c r="C393" t="s">
        <v>219</v>
      </c>
      <c r="D393" s="1" t="s">
        <v>2</v>
      </c>
      <c r="E393" t="b">
        <v>0</v>
      </c>
      <c r="F393">
        <v>9</v>
      </c>
      <c r="G393">
        <v>41</v>
      </c>
      <c r="H393" t="s">
        <v>11</v>
      </c>
      <c r="I393" t="b">
        <v>0</v>
      </c>
      <c r="J393" cm="1">
        <f t="array" ref="J393">sentimentCalc(B393)</f>
        <v>0</v>
      </c>
      <c r="K393" t="str" cm="1">
        <f t="array" ref="K393">sentimentCategory(J393)</f>
        <v>Neutral</v>
      </c>
    </row>
    <row r="394" spans="1:11" ht="34" x14ac:dyDescent="0.2">
      <c r="A394" t="s">
        <v>7129</v>
      </c>
      <c r="B394" s="1" t="s">
        <v>7130</v>
      </c>
      <c r="C394" t="s">
        <v>7131</v>
      </c>
      <c r="D394" s="1" t="s">
        <v>7132</v>
      </c>
      <c r="E394" t="b">
        <v>0</v>
      </c>
      <c r="F394">
        <v>726</v>
      </c>
      <c r="G394">
        <v>715</v>
      </c>
      <c r="H394" t="s">
        <v>11</v>
      </c>
      <c r="I394" t="b">
        <v>0</v>
      </c>
      <c r="J394" cm="1">
        <f t="array" ref="J394">sentimentCalc(B394)</f>
        <v>0</v>
      </c>
      <c r="K394" t="str" cm="1">
        <f t="array" ref="K394">sentimentCategory(J394)</f>
        <v>Neutral</v>
      </c>
    </row>
    <row r="395" spans="1:11" ht="17" x14ac:dyDescent="0.2">
      <c r="A395" t="s">
        <v>1633</v>
      </c>
      <c r="B395" s="1" t="s">
        <v>1634</v>
      </c>
      <c r="C395" t="s">
        <v>1635</v>
      </c>
      <c r="D395" s="1" t="s">
        <v>1636</v>
      </c>
      <c r="E395" t="b">
        <v>0</v>
      </c>
      <c r="F395">
        <v>85</v>
      </c>
      <c r="G395">
        <v>113</v>
      </c>
      <c r="H395" t="s">
        <v>11</v>
      </c>
      <c r="I395" t="b">
        <v>0</v>
      </c>
      <c r="J395" cm="1">
        <f t="array" ref="J395">sentimentCalc(B395)</f>
        <v>0</v>
      </c>
      <c r="K395" t="str" cm="1">
        <f t="array" ref="K395">sentimentCategory(J395)</f>
        <v>Neutral</v>
      </c>
    </row>
    <row r="396" spans="1:11" ht="17" x14ac:dyDescent="0.2">
      <c r="A396" t="s">
        <v>69</v>
      </c>
      <c r="B396" s="1" t="s">
        <v>70</v>
      </c>
      <c r="C396" t="s">
        <v>71</v>
      </c>
      <c r="D396" s="1" t="s">
        <v>72</v>
      </c>
      <c r="E396" t="b">
        <v>0</v>
      </c>
      <c r="F396">
        <v>24</v>
      </c>
      <c r="G396">
        <v>118</v>
      </c>
      <c r="H396" t="s">
        <v>73</v>
      </c>
      <c r="I396" t="b">
        <v>0</v>
      </c>
      <c r="J396" cm="1">
        <f t="array" ref="J396">sentimentCalc(B396)</f>
        <v>0</v>
      </c>
      <c r="K396" t="str" cm="1">
        <f t="array" ref="K396">sentimentCategory(J396)</f>
        <v>Neutral</v>
      </c>
    </row>
    <row r="397" spans="1:11" ht="34" x14ac:dyDescent="0.2">
      <c r="A397" t="s">
        <v>5709</v>
      </c>
      <c r="B397" s="1" t="s">
        <v>5710</v>
      </c>
      <c r="C397" t="s">
        <v>1324</v>
      </c>
      <c r="D397" s="1" t="s">
        <v>5711</v>
      </c>
      <c r="E397" t="b">
        <v>0</v>
      </c>
      <c r="F397">
        <v>48</v>
      </c>
      <c r="G397">
        <v>122</v>
      </c>
      <c r="H397" t="s">
        <v>11</v>
      </c>
      <c r="I397" t="b">
        <v>0</v>
      </c>
      <c r="J397" cm="1">
        <f t="array" ref="J397">sentimentCalc(B397)</f>
        <v>0</v>
      </c>
      <c r="K397" t="str" cm="1">
        <f t="array" ref="K397">sentimentCategory(J397)</f>
        <v>Neutral</v>
      </c>
    </row>
    <row r="398" spans="1:11" ht="17" x14ac:dyDescent="0.2">
      <c r="A398" t="s">
        <v>2198</v>
      </c>
      <c r="B398" s="1" t="s">
        <v>2199</v>
      </c>
      <c r="C398" t="s">
        <v>2200</v>
      </c>
      <c r="D398" s="1" t="s">
        <v>2</v>
      </c>
      <c r="E398" t="b">
        <v>0</v>
      </c>
      <c r="F398">
        <v>2620</v>
      </c>
      <c r="G398">
        <v>3041</v>
      </c>
      <c r="H398" t="s">
        <v>3</v>
      </c>
      <c r="I398" t="b">
        <v>0</v>
      </c>
      <c r="J398" cm="1">
        <f t="array" ref="J398">sentimentCalc(B398)</f>
        <v>0</v>
      </c>
      <c r="K398" t="str" cm="1">
        <f t="array" ref="K398">sentimentCategory(J398)</f>
        <v>Neutral</v>
      </c>
    </row>
    <row r="399" spans="1:11" ht="17" x14ac:dyDescent="0.2">
      <c r="A399" t="s">
        <v>1318</v>
      </c>
      <c r="B399" s="1" t="s">
        <v>1319</v>
      </c>
      <c r="C399" t="s">
        <v>1320</v>
      </c>
      <c r="D399" s="1" t="s">
        <v>1321</v>
      </c>
      <c r="E399" t="b">
        <v>0</v>
      </c>
      <c r="F399">
        <v>25</v>
      </c>
      <c r="G399">
        <v>191</v>
      </c>
      <c r="H399" t="s">
        <v>73</v>
      </c>
      <c r="I399" t="b">
        <v>0</v>
      </c>
      <c r="J399" cm="1">
        <f t="array" ref="J399">sentimentCalc(B399)</f>
        <v>1</v>
      </c>
      <c r="K399" t="str" cm="1">
        <f t="array" ref="K399">sentimentCategory(J399)</f>
        <v>Positive</v>
      </c>
    </row>
    <row r="400" spans="1:11" ht="34" x14ac:dyDescent="0.2">
      <c r="A400" t="s">
        <v>3010</v>
      </c>
      <c r="B400" s="1" t="s">
        <v>3011</v>
      </c>
      <c r="C400" t="s">
        <v>1095</v>
      </c>
      <c r="D400" s="1" t="s">
        <v>3012</v>
      </c>
      <c r="E400" t="b">
        <v>0</v>
      </c>
      <c r="F400">
        <v>2766</v>
      </c>
      <c r="G400">
        <v>3889</v>
      </c>
      <c r="H400" t="s">
        <v>11</v>
      </c>
      <c r="I400" t="b">
        <v>0</v>
      </c>
      <c r="J400" cm="1">
        <f t="array" ref="J400">sentimentCalc(B400)</f>
        <v>0</v>
      </c>
      <c r="K400" t="str" cm="1">
        <f t="array" ref="K400">sentimentCategory(J400)</f>
        <v>Neutral</v>
      </c>
    </row>
    <row r="401" spans="1:11" ht="17" x14ac:dyDescent="0.2">
      <c r="A401" t="s">
        <v>6748</v>
      </c>
      <c r="B401" s="1" t="s">
        <v>6749</v>
      </c>
      <c r="C401" t="s">
        <v>3365</v>
      </c>
      <c r="D401" s="1" t="s">
        <v>3366</v>
      </c>
      <c r="E401" t="b">
        <v>0</v>
      </c>
      <c r="F401">
        <v>43</v>
      </c>
      <c r="G401">
        <v>38</v>
      </c>
      <c r="H401" t="s">
        <v>11</v>
      </c>
      <c r="I401" t="b">
        <v>0</v>
      </c>
      <c r="J401" cm="1">
        <f t="array" ref="J401">sentimentCalc(B401)</f>
        <v>0</v>
      </c>
      <c r="K401" t="str" cm="1">
        <f t="array" ref="K401">sentimentCategory(J401)</f>
        <v>Neutral</v>
      </c>
    </row>
    <row r="402" spans="1:11" ht="34" x14ac:dyDescent="0.2">
      <c r="A402" t="s">
        <v>4520</v>
      </c>
      <c r="B402" s="1" t="s">
        <v>4521</v>
      </c>
      <c r="C402" t="s">
        <v>992</v>
      </c>
      <c r="D402" s="1" t="s">
        <v>2</v>
      </c>
      <c r="E402" t="b">
        <v>0</v>
      </c>
      <c r="F402">
        <v>73</v>
      </c>
      <c r="G402">
        <v>419</v>
      </c>
      <c r="H402" t="s">
        <v>11</v>
      </c>
      <c r="I402" t="b">
        <v>0</v>
      </c>
      <c r="J402" cm="1">
        <f t="array" ref="J402">sentimentCalc(B402)</f>
        <v>0</v>
      </c>
      <c r="K402" t="str" cm="1">
        <f t="array" ref="K402">sentimentCategory(J402)</f>
        <v>Neutral</v>
      </c>
    </row>
    <row r="403" spans="1:11" ht="17" x14ac:dyDescent="0.2">
      <c r="A403" t="s">
        <v>5555</v>
      </c>
      <c r="B403" s="1" t="s">
        <v>5556</v>
      </c>
      <c r="C403" t="s">
        <v>5557</v>
      </c>
      <c r="D403" s="1" t="s">
        <v>2</v>
      </c>
      <c r="E403" t="b">
        <v>0</v>
      </c>
      <c r="F403">
        <v>49</v>
      </c>
      <c r="G403">
        <v>161</v>
      </c>
      <c r="H403" t="s">
        <v>11</v>
      </c>
      <c r="I403" t="b">
        <v>0</v>
      </c>
      <c r="J403" cm="1">
        <f t="array" ref="J403">sentimentCalc(B403)</f>
        <v>0</v>
      </c>
      <c r="K403" t="str" cm="1">
        <f t="array" ref="K403">sentimentCategory(J403)</f>
        <v>Neutral</v>
      </c>
    </row>
    <row r="404" spans="1:11" ht="34" x14ac:dyDescent="0.2">
      <c r="A404" t="s">
        <v>4638</v>
      </c>
      <c r="B404" s="1" t="s">
        <v>4639</v>
      </c>
      <c r="C404" t="s">
        <v>136</v>
      </c>
      <c r="D404" s="1" t="s">
        <v>4640</v>
      </c>
      <c r="E404" t="b">
        <v>0</v>
      </c>
      <c r="F404">
        <v>1256</v>
      </c>
      <c r="G404">
        <v>376</v>
      </c>
      <c r="H404" t="s">
        <v>11</v>
      </c>
      <c r="I404" t="b">
        <v>0</v>
      </c>
      <c r="J404" cm="1">
        <f t="array" ref="J404">sentimentCalc(B404)</f>
        <v>0</v>
      </c>
      <c r="K404" t="str" cm="1">
        <f t="array" ref="K404">sentimentCategory(J404)</f>
        <v>Neutral</v>
      </c>
    </row>
    <row r="405" spans="1:11" ht="17" x14ac:dyDescent="0.2">
      <c r="A405" t="s">
        <v>4140</v>
      </c>
      <c r="B405" s="1" t="s">
        <v>4141</v>
      </c>
      <c r="C405" t="s">
        <v>4142</v>
      </c>
      <c r="D405" s="1" t="s">
        <v>4143</v>
      </c>
      <c r="E405" t="b">
        <v>0</v>
      </c>
      <c r="F405">
        <v>106</v>
      </c>
      <c r="G405">
        <v>330</v>
      </c>
      <c r="H405" t="s">
        <v>11</v>
      </c>
      <c r="I405" t="b">
        <v>0</v>
      </c>
      <c r="J405" cm="1">
        <f t="array" ref="J405">sentimentCalc(B405)</f>
        <v>0</v>
      </c>
      <c r="K405" t="str" cm="1">
        <f t="array" ref="K405">sentimentCategory(J405)</f>
        <v>Neutral</v>
      </c>
    </row>
    <row r="406" spans="1:11" ht="17" x14ac:dyDescent="0.2">
      <c r="A406" t="s">
        <v>6670</v>
      </c>
      <c r="B406" s="1" t="s">
        <v>6671</v>
      </c>
      <c r="C406" t="s">
        <v>189</v>
      </c>
      <c r="D406" s="1" t="s">
        <v>190</v>
      </c>
      <c r="E406" t="b">
        <v>0</v>
      </c>
      <c r="F406">
        <v>1181</v>
      </c>
      <c r="G406">
        <v>767</v>
      </c>
      <c r="H406" t="s">
        <v>11</v>
      </c>
      <c r="I406" t="b">
        <v>0</v>
      </c>
      <c r="J406" cm="1">
        <f t="array" ref="J406">sentimentCalc(B406)</f>
        <v>0</v>
      </c>
      <c r="K406" t="str" cm="1">
        <f t="array" ref="K406">sentimentCategory(J406)</f>
        <v>Neutral</v>
      </c>
    </row>
    <row r="407" spans="1:11" ht="17" x14ac:dyDescent="0.2">
      <c r="A407" t="s">
        <v>5042</v>
      </c>
      <c r="B407" s="1" t="s">
        <v>5043</v>
      </c>
      <c r="C407" t="s">
        <v>726</v>
      </c>
      <c r="D407" s="1" t="s">
        <v>5044</v>
      </c>
      <c r="E407" t="b">
        <v>0</v>
      </c>
      <c r="F407">
        <v>590</v>
      </c>
      <c r="G407">
        <v>1051</v>
      </c>
      <c r="H407" t="s">
        <v>11</v>
      </c>
      <c r="I407" t="b">
        <v>0</v>
      </c>
      <c r="J407" cm="1">
        <f t="array" ref="J407">sentimentCalc(B407)</f>
        <v>0</v>
      </c>
      <c r="K407" t="str" cm="1">
        <f t="array" ref="K407">sentimentCategory(J407)</f>
        <v>Neutral</v>
      </c>
    </row>
    <row r="408" spans="1:11" ht="34" x14ac:dyDescent="0.2">
      <c r="A408" t="s">
        <v>5506</v>
      </c>
      <c r="B408" s="1" t="s">
        <v>5507</v>
      </c>
      <c r="C408" t="s">
        <v>5508</v>
      </c>
      <c r="D408" s="1" t="s">
        <v>2</v>
      </c>
      <c r="E408" t="b">
        <v>0</v>
      </c>
      <c r="F408">
        <v>7</v>
      </c>
      <c r="G408">
        <v>56</v>
      </c>
      <c r="H408" t="s">
        <v>11</v>
      </c>
      <c r="I408" t="b">
        <v>0</v>
      </c>
      <c r="J408" cm="1">
        <f t="array" ref="J408">sentimentCalc(B408)</f>
        <v>0</v>
      </c>
      <c r="K408" t="str" cm="1">
        <f t="array" ref="K408">sentimentCategory(J408)</f>
        <v>Neutral</v>
      </c>
    </row>
    <row r="409" spans="1:11" ht="17" x14ac:dyDescent="0.2">
      <c r="A409" t="s">
        <v>2585</v>
      </c>
      <c r="B409" s="1" t="s">
        <v>2586</v>
      </c>
      <c r="C409" t="s">
        <v>1086</v>
      </c>
      <c r="D409" s="1" t="s">
        <v>2272</v>
      </c>
      <c r="E409" t="b">
        <v>0</v>
      </c>
      <c r="F409">
        <v>54</v>
      </c>
      <c r="G409">
        <v>150</v>
      </c>
      <c r="H409" t="s">
        <v>11</v>
      </c>
      <c r="I409" t="b">
        <v>0</v>
      </c>
      <c r="J409" cm="1">
        <f t="array" ref="J409">sentimentCalc(B409)</f>
        <v>-1</v>
      </c>
      <c r="K409" t="str" cm="1">
        <f t="array" ref="K409">sentimentCategory(J409)</f>
        <v>Negative</v>
      </c>
    </row>
    <row r="410" spans="1:11" ht="17" x14ac:dyDescent="0.2">
      <c r="A410" t="s">
        <v>3647</v>
      </c>
      <c r="B410" s="1" t="s">
        <v>3648</v>
      </c>
      <c r="C410" t="s">
        <v>880</v>
      </c>
      <c r="D410" s="1" t="s">
        <v>105</v>
      </c>
      <c r="E410" t="b">
        <v>0</v>
      </c>
      <c r="F410">
        <v>774</v>
      </c>
      <c r="G410">
        <v>626</v>
      </c>
      <c r="H410" t="s">
        <v>11</v>
      </c>
      <c r="I410" t="b">
        <v>0</v>
      </c>
      <c r="J410" cm="1">
        <f t="array" ref="J410">sentimentCalc(B410)</f>
        <v>0</v>
      </c>
      <c r="K410" t="str" cm="1">
        <f t="array" ref="K410">sentimentCategory(J410)</f>
        <v>Neutral</v>
      </c>
    </row>
    <row r="411" spans="1:11" ht="17" x14ac:dyDescent="0.2">
      <c r="A411" t="s">
        <v>6250</v>
      </c>
      <c r="B411" s="1" t="s">
        <v>6251</v>
      </c>
      <c r="C411" t="s">
        <v>5808</v>
      </c>
      <c r="D411" s="1" t="s">
        <v>2</v>
      </c>
      <c r="E411" t="b">
        <v>0</v>
      </c>
      <c r="F411">
        <v>19</v>
      </c>
      <c r="G411">
        <v>60</v>
      </c>
      <c r="H411" t="s">
        <v>11</v>
      </c>
      <c r="I411" t="b">
        <v>0</v>
      </c>
      <c r="J411" cm="1">
        <f t="array" ref="J411">sentimentCalc(B411)</f>
        <v>0</v>
      </c>
      <c r="K411" t="str" cm="1">
        <f t="array" ref="K411">sentimentCategory(J411)</f>
        <v>Neutral</v>
      </c>
    </row>
    <row r="412" spans="1:11" ht="34" x14ac:dyDescent="0.2">
      <c r="A412" t="s">
        <v>2709</v>
      </c>
      <c r="B412" s="1" t="s">
        <v>2710</v>
      </c>
      <c r="C412" t="s">
        <v>319</v>
      </c>
      <c r="D412" s="1" t="s">
        <v>2</v>
      </c>
      <c r="E412" t="b">
        <v>0</v>
      </c>
      <c r="F412">
        <v>160</v>
      </c>
      <c r="G412">
        <v>980</v>
      </c>
      <c r="H412" t="s">
        <v>11</v>
      </c>
      <c r="I412" t="b">
        <v>0</v>
      </c>
      <c r="J412" cm="1">
        <f t="array" ref="J412">sentimentCalc(B412)</f>
        <v>0</v>
      </c>
      <c r="K412" t="str" cm="1">
        <f t="array" ref="K412">sentimentCategory(J412)</f>
        <v>Neutral</v>
      </c>
    </row>
    <row r="413" spans="1:11" ht="17" x14ac:dyDescent="0.2">
      <c r="A413" t="s">
        <v>5630</v>
      </c>
      <c r="B413" s="1" t="s">
        <v>5631</v>
      </c>
      <c r="C413" t="s">
        <v>5632</v>
      </c>
      <c r="D413" s="1" t="s">
        <v>5633</v>
      </c>
      <c r="E413" t="b">
        <v>0</v>
      </c>
      <c r="F413">
        <v>110</v>
      </c>
      <c r="G413">
        <v>170</v>
      </c>
      <c r="H413" t="s">
        <v>11</v>
      </c>
      <c r="I413" t="b">
        <v>0</v>
      </c>
      <c r="J413" cm="1">
        <f t="array" ref="J413">sentimentCalc(B413)</f>
        <v>0</v>
      </c>
      <c r="K413" t="str" cm="1">
        <f t="array" ref="K413">sentimentCategory(J413)</f>
        <v>Neutral</v>
      </c>
    </row>
    <row r="414" spans="1:11" ht="34" x14ac:dyDescent="0.2">
      <c r="A414" t="s">
        <v>5382</v>
      </c>
      <c r="B414" s="1" t="s">
        <v>5383</v>
      </c>
      <c r="C414" t="s">
        <v>1987</v>
      </c>
      <c r="D414" s="1" t="s">
        <v>2</v>
      </c>
      <c r="E414" t="b">
        <v>0</v>
      </c>
      <c r="F414">
        <v>474</v>
      </c>
      <c r="G414">
        <v>913</v>
      </c>
      <c r="H414" t="s">
        <v>11</v>
      </c>
      <c r="I414" t="b">
        <v>0</v>
      </c>
      <c r="J414" cm="1">
        <f t="array" ref="J414">sentimentCalc(B414)</f>
        <v>0</v>
      </c>
      <c r="K414" t="str" cm="1">
        <f t="array" ref="K414">sentimentCategory(J414)</f>
        <v>Neutral</v>
      </c>
    </row>
    <row r="415" spans="1:11" ht="34" x14ac:dyDescent="0.2">
      <c r="A415" t="s">
        <v>1828</v>
      </c>
      <c r="B415" s="1" t="s">
        <v>1829</v>
      </c>
      <c r="C415" t="s">
        <v>1031</v>
      </c>
      <c r="D415" s="1" t="s">
        <v>2</v>
      </c>
      <c r="E415" t="b">
        <v>0</v>
      </c>
      <c r="F415">
        <v>24</v>
      </c>
      <c r="G415">
        <v>41</v>
      </c>
      <c r="H415" t="s">
        <v>11</v>
      </c>
      <c r="I415" t="b">
        <v>0</v>
      </c>
      <c r="J415" cm="1">
        <f t="array" ref="J415">sentimentCalc(B415)</f>
        <v>1</v>
      </c>
      <c r="K415" t="str" cm="1">
        <f t="array" ref="K415">sentimentCategory(J415)</f>
        <v>Positive</v>
      </c>
    </row>
    <row r="416" spans="1:11" ht="34" x14ac:dyDescent="0.2">
      <c r="A416" t="s">
        <v>3660</v>
      </c>
      <c r="B416" s="1" t="s">
        <v>3661</v>
      </c>
      <c r="C416" t="s">
        <v>1005</v>
      </c>
      <c r="D416" s="1" t="s">
        <v>2</v>
      </c>
      <c r="E416" t="b">
        <v>0</v>
      </c>
      <c r="F416">
        <v>594</v>
      </c>
      <c r="G416">
        <v>236</v>
      </c>
      <c r="H416" t="s">
        <v>11</v>
      </c>
      <c r="I416" t="b">
        <v>0</v>
      </c>
      <c r="J416" cm="1">
        <f t="array" ref="J416">sentimentCalc(B416)</f>
        <v>1</v>
      </c>
      <c r="K416" t="str" cm="1">
        <f t="array" ref="K416">sentimentCategory(J416)</f>
        <v>Positive</v>
      </c>
    </row>
    <row r="417" spans="1:11" ht="34" x14ac:dyDescent="0.2">
      <c r="A417" t="s">
        <v>2773</v>
      </c>
      <c r="B417" s="1" t="s">
        <v>2774</v>
      </c>
      <c r="C417" t="s">
        <v>938</v>
      </c>
      <c r="D417" s="1" t="s">
        <v>2775</v>
      </c>
      <c r="E417" t="b">
        <v>0</v>
      </c>
      <c r="F417">
        <v>1210</v>
      </c>
      <c r="G417">
        <v>2424</v>
      </c>
      <c r="H417" t="s">
        <v>11</v>
      </c>
      <c r="I417" t="b">
        <v>0</v>
      </c>
      <c r="J417" cm="1">
        <f t="array" ref="J417">sentimentCalc(B417)</f>
        <v>2</v>
      </c>
      <c r="K417" t="str" cm="1">
        <f t="array" ref="K417">sentimentCategory(J417)</f>
        <v>Positive</v>
      </c>
    </row>
    <row r="418" spans="1:11" ht="17" x14ac:dyDescent="0.2">
      <c r="A418" t="s">
        <v>3486</v>
      </c>
      <c r="B418" s="1" t="s">
        <v>3487</v>
      </c>
      <c r="C418" t="s">
        <v>490</v>
      </c>
      <c r="D418" s="1" t="s">
        <v>2</v>
      </c>
      <c r="E418" t="b">
        <v>0</v>
      </c>
      <c r="F418">
        <v>10901</v>
      </c>
      <c r="G418">
        <v>566</v>
      </c>
      <c r="H418" t="s">
        <v>11</v>
      </c>
      <c r="I418" t="b">
        <v>0</v>
      </c>
      <c r="J418" cm="1">
        <f t="array" ref="J418">sentimentCalc(B418)</f>
        <v>0</v>
      </c>
      <c r="K418" t="str" cm="1">
        <f t="array" ref="K418">sentimentCategory(J418)</f>
        <v>Neutral</v>
      </c>
    </row>
    <row r="419" spans="1:11" ht="34" x14ac:dyDescent="0.2">
      <c r="A419" t="s">
        <v>4457</v>
      </c>
      <c r="B419" s="1" t="s">
        <v>4458</v>
      </c>
      <c r="C419" t="s">
        <v>4459</v>
      </c>
      <c r="D419" s="1" t="s">
        <v>4460</v>
      </c>
      <c r="E419" t="b">
        <v>0</v>
      </c>
      <c r="F419">
        <v>17</v>
      </c>
      <c r="G419">
        <v>109</v>
      </c>
      <c r="H419" t="s">
        <v>11</v>
      </c>
      <c r="I419" t="b">
        <v>0</v>
      </c>
      <c r="J419" cm="1">
        <f t="array" ref="J419">sentimentCalc(B419)</f>
        <v>-1</v>
      </c>
      <c r="K419" t="str" cm="1">
        <f t="array" ref="K419">sentimentCategory(J419)</f>
        <v>Negative</v>
      </c>
    </row>
    <row r="420" spans="1:11" ht="17" x14ac:dyDescent="0.2">
      <c r="A420" t="s">
        <v>1601</v>
      </c>
      <c r="B420" s="1" t="s">
        <v>1602</v>
      </c>
      <c r="C420" t="s">
        <v>234</v>
      </c>
      <c r="D420" s="1" t="s">
        <v>2</v>
      </c>
      <c r="E420" t="b">
        <v>0</v>
      </c>
      <c r="F420">
        <v>4336</v>
      </c>
      <c r="G420">
        <v>3251</v>
      </c>
      <c r="H420" t="s">
        <v>3</v>
      </c>
      <c r="I420" t="b">
        <v>0</v>
      </c>
      <c r="J420" cm="1">
        <f t="array" ref="J420">sentimentCalc(B420)</f>
        <v>0</v>
      </c>
      <c r="K420" t="str" cm="1">
        <f t="array" ref="K420">sentimentCategory(J420)</f>
        <v>Neutral</v>
      </c>
    </row>
    <row r="421" spans="1:11" ht="17" x14ac:dyDescent="0.2">
      <c r="A421" t="s">
        <v>1224</v>
      </c>
      <c r="B421" s="1" t="s">
        <v>1228</v>
      </c>
      <c r="C421" t="s">
        <v>1226</v>
      </c>
      <c r="D421" s="1" t="s">
        <v>1227</v>
      </c>
      <c r="E421" t="b">
        <v>0</v>
      </c>
      <c r="F421">
        <v>425</v>
      </c>
      <c r="G421">
        <v>768</v>
      </c>
      <c r="H421" t="s">
        <v>11</v>
      </c>
      <c r="I421" t="b">
        <v>0</v>
      </c>
      <c r="J421" cm="1">
        <f t="array" ref="J421">sentimentCalc(B421)</f>
        <v>0</v>
      </c>
      <c r="K421" t="str" cm="1">
        <f t="array" ref="K421">sentimentCategory(J421)</f>
        <v>Neutral</v>
      </c>
    </row>
    <row r="422" spans="1:11" ht="17" x14ac:dyDescent="0.2">
      <c r="A422" t="s">
        <v>5950</v>
      </c>
      <c r="B422" s="1" t="s">
        <v>5951</v>
      </c>
      <c r="C422" t="s">
        <v>5952</v>
      </c>
      <c r="D422" s="1" t="s">
        <v>562</v>
      </c>
      <c r="E422" t="b">
        <v>0</v>
      </c>
      <c r="F422">
        <v>38</v>
      </c>
      <c r="G422">
        <v>23</v>
      </c>
      <c r="H422" t="s">
        <v>11</v>
      </c>
      <c r="I422" t="b">
        <v>0</v>
      </c>
      <c r="J422" cm="1">
        <f t="array" ref="J422">sentimentCalc(B422)</f>
        <v>0</v>
      </c>
      <c r="K422" t="str" cm="1">
        <f t="array" ref="K422">sentimentCategory(J422)</f>
        <v>Neutral</v>
      </c>
    </row>
    <row r="423" spans="1:11" ht="34" x14ac:dyDescent="0.2">
      <c r="A423" t="s">
        <v>3378</v>
      </c>
      <c r="B423" s="1" t="s">
        <v>3379</v>
      </c>
      <c r="C423" t="s">
        <v>3380</v>
      </c>
      <c r="D423" s="1" t="s">
        <v>3381</v>
      </c>
      <c r="E423" t="b">
        <v>0</v>
      </c>
      <c r="F423">
        <v>22</v>
      </c>
      <c r="G423">
        <v>35</v>
      </c>
      <c r="H423" t="s">
        <v>11</v>
      </c>
      <c r="I423" t="b">
        <v>0</v>
      </c>
      <c r="J423" cm="1">
        <f t="array" ref="J423">sentimentCalc(B423)</f>
        <v>0</v>
      </c>
      <c r="K423" t="str" cm="1">
        <f t="array" ref="K423">sentimentCategory(J423)</f>
        <v>Neutral</v>
      </c>
    </row>
    <row r="424" spans="1:11" ht="17" x14ac:dyDescent="0.2">
      <c r="A424" t="s">
        <v>6364</v>
      </c>
      <c r="B424" s="1" t="s">
        <v>6365</v>
      </c>
      <c r="C424" t="s">
        <v>2112</v>
      </c>
      <c r="D424" s="1" t="s">
        <v>2</v>
      </c>
      <c r="E424" t="b">
        <v>0</v>
      </c>
      <c r="F424">
        <v>11</v>
      </c>
      <c r="G424">
        <v>144</v>
      </c>
      <c r="H424" t="s">
        <v>11</v>
      </c>
      <c r="I424" t="b">
        <v>0</v>
      </c>
      <c r="J424" cm="1">
        <f t="array" ref="J424">sentimentCalc(B424)</f>
        <v>0</v>
      </c>
      <c r="K424" t="str" cm="1">
        <f t="array" ref="K424">sentimentCategory(J424)</f>
        <v>Neutral</v>
      </c>
    </row>
    <row r="425" spans="1:11" ht="34" x14ac:dyDescent="0.2">
      <c r="A425" t="s">
        <v>3894</v>
      </c>
      <c r="B425" s="1" t="s">
        <v>3895</v>
      </c>
      <c r="C425" t="s">
        <v>3457</v>
      </c>
      <c r="D425" s="1" t="s">
        <v>3896</v>
      </c>
      <c r="E425" t="b">
        <v>0</v>
      </c>
      <c r="F425">
        <v>32</v>
      </c>
      <c r="G425">
        <v>174</v>
      </c>
      <c r="H425" t="s">
        <v>641</v>
      </c>
      <c r="I425" t="b">
        <v>0</v>
      </c>
      <c r="J425" cm="1">
        <f t="array" ref="J425">sentimentCalc(B425)</f>
        <v>0</v>
      </c>
      <c r="K425" t="str" cm="1">
        <f t="array" ref="K425">sentimentCategory(J425)</f>
        <v>Neutral</v>
      </c>
    </row>
    <row r="426" spans="1:11" ht="17" x14ac:dyDescent="0.2">
      <c r="A426" t="s">
        <v>6885</v>
      </c>
      <c r="B426" s="1" t="s">
        <v>6886</v>
      </c>
      <c r="C426" t="s">
        <v>1434</v>
      </c>
      <c r="D426" s="1" t="s">
        <v>1978</v>
      </c>
      <c r="E426" t="b">
        <v>0</v>
      </c>
      <c r="F426">
        <v>635</v>
      </c>
      <c r="G426">
        <v>3924</v>
      </c>
      <c r="H426" t="s">
        <v>641</v>
      </c>
      <c r="I426" t="b">
        <v>0</v>
      </c>
      <c r="J426" cm="1">
        <f t="array" ref="J426">sentimentCalc(B426)</f>
        <v>0</v>
      </c>
      <c r="K426" t="str" cm="1">
        <f t="array" ref="K426">sentimentCategory(J426)</f>
        <v>Neutral</v>
      </c>
    </row>
    <row r="427" spans="1:11" ht="34" x14ac:dyDescent="0.2">
      <c r="A427" t="s">
        <v>3128</v>
      </c>
      <c r="B427" s="1" t="s">
        <v>3129</v>
      </c>
      <c r="C427" t="s">
        <v>94</v>
      </c>
      <c r="D427" s="1" t="s">
        <v>3130</v>
      </c>
      <c r="E427" t="b">
        <v>0</v>
      </c>
      <c r="F427">
        <v>107</v>
      </c>
      <c r="G427">
        <v>218</v>
      </c>
      <c r="H427" t="s">
        <v>11</v>
      </c>
      <c r="I427" t="b">
        <v>0</v>
      </c>
      <c r="J427" cm="1">
        <f t="array" ref="J427">sentimentCalc(B427)</f>
        <v>0</v>
      </c>
      <c r="K427" t="str" cm="1">
        <f t="array" ref="K427">sentimentCategory(J427)</f>
        <v>Neutral</v>
      </c>
    </row>
    <row r="428" spans="1:11" ht="34" x14ac:dyDescent="0.2">
      <c r="A428" t="s">
        <v>2103</v>
      </c>
      <c r="B428" s="1" t="s">
        <v>2104</v>
      </c>
      <c r="C428" t="s">
        <v>2105</v>
      </c>
      <c r="D428" s="1" t="s">
        <v>2106</v>
      </c>
      <c r="E428" t="b">
        <v>0</v>
      </c>
      <c r="F428">
        <v>3</v>
      </c>
      <c r="G428">
        <v>17</v>
      </c>
      <c r="H428" t="s">
        <v>11</v>
      </c>
      <c r="I428" t="b">
        <v>0</v>
      </c>
      <c r="J428" cm="1">
        <f t="array" ref="J428">sentimentCalc(B428)</f>
        <v>0</v>
      </c>
      <c r="K428" t="str" cm="1">
        <f t="array" ref="K428">sentimentCategory(J428)</f>
        <v>Neutral</v>
      </c>
    </row>
    <row r="429" spans="1:11" ht="17" x14ac:dyDescent="0.2">
      <c r="A429" t="s">
        <v>2243</v>
      </c>
      <c r="B429" s="1" t="s">
        <v>2244</v>
      </c>
      <c r="C429" t="s">
        <v>2245</v>
      </c>
      <c r="D429" s="1" t="s">
        <v>2</v>
      </c>
      <c r="E429" t="b">
        <v>0</v>
      </c>
      <c r="F429">
        <v>37</v>
      </c>
      <c r="G429">
        <v>78</v>
      </c>
      <c r="H429" t="s">
        <v>11</v>
      </c>
      <c r="I429" t="b">
        <v>0</v>
      </c>
      <c r="J429" cm="1">
        <f t="array" ref="J429">sentimentCalc(B429)</f>
        <v>1</v>
      </c>
      <c r="K429" t="str" cm="1">
        <f t="array" ref="K429">sentimentCategory(J429)</f>
        <v>Positive</v>
      </c>
    </row>
    <row r="430" spans="1:11" ht="17" x14ac:dyDescent="0.2">
      <c r="A430" t="s">
        <v>6823</v>
      </c>
      <c r="B430" s="1" t="s">
        <v>6824</v>
      </c>
      <c r="C430" t="s">
        <v>3659</v>
      </c>
      <c r="D430" s="1" t="s">
        <v>61</v>
      </c>
      <c r="E430" t="b">
        <v>0</v>
      </c>
      <c r="F430">
        <v>13712</v>
      </c>
      <c r="G430">
        <v>1730</v>
      </c>
      <c r="H430" t="s">
        <v>11</v>
      </c>
      <c r="I430" t="b">
        <v>0</v>
      </c>
      <c r="J430" cm="1">
        <f t="array" ref="J430">sentimentCalc(B430)</f>
        <v>0</v>
      </c>
      <c r="K430" t="str" cm="1">
        <f t="array" ref="K430">sentimentCategory(J430)</f>
        <v>Neutral</v>
      </c>
    </row>
    <row r="431" spans="1:11" ht="17" x14ac:dyDescent="0.2">
      <c r="A431" t="s">
        <v>5896</v>
      </c>
      <c r="B431" s="1" t="s">
        <v>5897</v>
      </c>
      <c r="C431" t="s">
        <v>2090</v>
      </c>
      <c r="D431" s="1" t="s">
        <v>5898</v>
      </c>
      <c r="E431" t="b">
        <v>0</v>
      </c>
      <c r="F431">
        <v>107</v>
      </c>
      <c r="G431">
        <v>54</v>
      </c>
      <c r="H431" t="s">
        <v>11</v>
      </c>
      <c r="I431" t="b">
        <v>0</v>
      </c>
      <c r="J431" cm="1">
        <f t="array" ref="J431">sentimentCalc(B431)</f>
        <v>1</v>
      </c>
      <c r="K431" t="str" cm="1">
        <f t="array" ref="K431">sentimentCategory(J431)</f>
        <v>Positive</v>
      </c>
    </row>
    <row r="432" spans="1:11" ht="17" x14ac:dyDescent="0.2">
      <c r="A432" t="s">
        <v>415</v>
      </c>
      <c r="B432" s="1" t="s">
        <v>416</v>
      </c>
      <c r="C432" t="s">
        <v>417</v>
      </c>
      <c r="D432" s="1" t="s">
        <v>418</v>
      </c>
      <c r="E432" t="b">
        <v>0</v>
      </c>
      <c r="F432">
        <v>663</v>
      </c>
      <c r="G432">
        <v>879</v>
      </c>
      <c r="H432" t="s">
        <v>11</v>
      </c>
      <c r="I432" t="b">
        <v>0</v>
      </c>
      <c r="J432" cm="1">
        <f t="array" ref="J432">sentimentCalc(B432)</f>
        <v>0</v>
      </c>
      <c r="K432" t="str" cm="1">
        <f t="array" ref="K432">sentimentCategory(J432)</f>
        <v>Neutral</v>
      </c>
    </row>
    <row r="433" spans="1:11" ht="17" x14ac:dyDescent="0.2">
      <c r="A433" t="s">
        <v>3884</v>
      </c>
      <c r="B433" s="1" t="s">
        <v>3885</v>
      </c>
      <c r="C433" t="s">
        <v>3886</v>
      </c>
      <c r="D433" s="1" t="s">
        <v>3887</v>
      </c>
      <c r="E433" t="b">
        <v>0</v>
      </c>
      <c r="F433">
        <v>4001</v>
      </c>
      <c r="G433">
        <v>755</v>
      </c>
      <c r="H433" t="s">
        <v>11</v>
      </c>
      <c r="I433" t="b">
        <v>0</v>
      </c>
      <c r="J433" cm="1">
        <f t="array" ref="J433">sentimentCalc(B433)</f>
        <v>0</v>
      </c>
      <c r="K433" t="str" cm="1">
        <f t="array" ref="K433">sentimentCategory(J433)</f>
        <v>Neutral</v>
      </c>
    </row>
    <row r="434" spans="1:11" ht="34" x14ac:dyDescent="0.2">
      <c r="A434" t="s">
        <v>4078</v>
      </c>
      <c r="B434" s="1" t="s">
        <v>4079</v>
      </c>
      <c r="C434" t="s">
        <v>802</v>
      </c>
      <c r="D434" s="1" t="s">
        <v>2</v>
      </c>
      <c r="E434" t="b">
        <v>0</v>
      </c>
      <c r="F434">
        <v>7</v>
      </c>
      <c r="G434">
        <v>25</v>
      </c>
      <c r="H434" t="s">
        <v>11</v>
      </c>
      <c r="I434" t="b">
        <v>0</v>
      </c>
      <c r="J434" cm="1">
        <f t="array" ref="J434">sentimentCalc(B434)</f>
        <v>-1</v>
      </c>
      <c r="K434" t="str" cm="1">
        <f t="array" ref="K434">sentimentCategory(J434)</f>
        <v>Negative</v>
      </c>
    </row>
    <row r="435" spans="1:11" ht="17" x14ac:dyDescent="0.2">
      <c r="A435" t="s">
        <v>4181</v>
      </c>
      <c r="B435" s="1" t="s">
        <v>4182</v>
      </c>
      <c r="C435" t="s">
        <v>4183</v>
      </c>
      <c r="D435" s="1" t="s">
        <v>4184</v>
      </c>
      <c r="E435" t="b">
        <v>1</v>
      </c>
      <c r="F435">
        <v>26870</v>
      </c>
      <c r="G435">
        <v>2617</v>
      </c>
      <c r="H435" t="s">
        <v>11</v>
      </c>
      <c r="I435" t="b">
        <v>0</v>
      </c>
      <c r="J435" cm="1">
        <f t="array" ref="J435">sentimentCalc(B435)</f>
        <v>0</v>
      </c>
      <c r="K435" t="str" cm="1">
        <f t="array" ref="K435">sentimentCategory(J435)</f>
        <v>Neutral</v>
      </c>
    </row>
    <row r="436" spans="1:11" ht="34" x14ac:dyDescent="0.2">
      <c r="A436" t="s">
        <v>3134</v>
      </c>
      <c r="B436" s="1" t="s">
        <v>3135</v>
      </c>
      <c r="C436" t="s">
        <v>3136</v>
      </c>
      <c r="D436" s="1" t="s">
        <v>3137</v>
      </c>
      <c r="E436" t="b">
        <v>0</v>
      </c>
      <c r="F436">
        <v>230</v>
      </c>
      <c r="G436">
        <v>518</v>
      </c>
      <c r="H436" t="s">
        <v>11</v>
      </c>
      <c r="I436" t="b">
        <v>0</v>
      </c>
      <c r="J436" cm="1">
        <f t="array" ref="J436">sentimentCalc(B436)</f>
        <v>0</v>
      </c>
      <c r="K436" t="str" cm="1">
        <f t="array" ref="K436">sentimentCategory(J436)</f>
        <v>Neutral</v>
      </c>
    </row>
    <row r="437" spans="1:11" ht="17" x14ac:dyDescent="0.2">
      <c r="A437" t="s">
        <v>909</v>
      </c>
      <c r="B437" s="1" t="s">
        <v>910</v>
      </c>
      <c r="C437" t="s">
        <v>911</v>
      </c>
      <c r="D437" s="1" t="s">
        <v>2</v>
      </c>
      <c r="E437" t="b">
        <v>0</v>
      </c>
      <c r="F437">
        <v>30</v>
      </c>
      <c r="G437">
        <v>23</v>
      </c>
      <c r="H437" t="s">
        <v>11</v>
      </c>
      <c r="I437" t="b">
        <v>0</v>
      </c>
      <c r="J437" cm="1">
        <f t="array" ref="J437">sentimentCalc(B437)</f>
        <v>1</v>
      </c>
      <c r="K437" t="str" cm="1">
        <f t="array" ref="K437">sentimentCategory(J437)</f>
        <v>Positive</v>
      </c>
    </row>
    <row r="438" spans="1:11" ht="17" x14ac:dyDescent="0.2">
      <c r="A438" t="s">
        <v>2741</v>
      </c>
      <c r="B438" s="1" t="s">
        <v>2742</v>
      </c>
      <c r="C438" t="s">
        <v>2743</v>
      </c>
      <c r="D438" s="1" t="s">
        <v>2</v>
      </c>
      <c r="E438" t="b">
        <v>0</v>
      </c>
      <c r="F438">
        <v>344</v>
      </c>
      <c r="G438">
        <v>232</v>
      </c>
      <c r="H438" t="s">
        <v>11</v>
      </c>
      <c r="I438" t="b">
        <v>0</v>
      </c>
      <c r="J438" cm="1">
        <f t="array" ref="J438">sentimentCalc(B438)</f>
        <v>0</v>
      </c>
      <c r="K438" t="str" cm="1">
        <f t="array" ref="K438">sentimentCategory(J438)</f>
        <v>Neutral</v>
      </c>
    </row>
    <row r="439" spans="1:11" ht="17" x14ac:dyDescent="0.2">
      <c r="A439" t="s">
        <v>2017</v>
      </c>
      <c r="B439" s="1" t="s">
        <v>2018</v>
      </c>
      <c r="C439" t="s">
        <v>319</v>
      </c>
      <c r="D439" s="1" t="s">
        <v>2019</v>
      </c>
      <c r="E439" t="b">
        <v>0</v>
      </c>
      <c r="F439">
        <v>1003</v>
      </c>
      <c r="G439">
        <v>147</v>
      </c>
      <c r="H439" t="s">
        <v>11</v>
      </c>
      <c r="I439" t="b">
        <v>0</v>
      </c>
      <c r="J439" cm="1">
        <f t="array" ref="J439">sentimentCalc(B439)</f>
        <v>0</v>
      </c>
      <c r="K439" t="str" cm="1">
        <f t="array" ref="K439">sentimentCategory(J439)</f>
        <v>Neutral</v>
      </c>
    </row>
    <row r="440" spans="1:11" ht="17" x14ac:dyDescent="0.2">
      <c r="A440" t="s">
        <v>2264</v>
      </c>
      <c r="B440" s="1" t="s">
        <v>2265</v>
      </c>
      <c r="C440" t="s">
        <v>1313</v>
      </c>
      <c r="D440" s="1" t="s">
        <v>2</v>
      </c>
      <c r="E440" t="b">
        <v>0</v>
      </c>
      <c r="F440">
        <v>24</v>
      </c>
      <c r="G440">
        <v>16</v>
      </c>
      <c r="H440" t="s">
        <v>11</v>
      </c>
      <c r="I440" t="b">
        <v>0</v>
      </c>
      <c r="J440" cm="1">
        <f t="array" ref="J440">sentimentCalc(B440)</f>
        <v>2</v>
      </c>
      <c r="K440" t="str" cm="1">
        <f t="array" ref="K440">sentimentCategory(J440)</f>
        <v>Positive</v>
      </c>
    </row>
    <row r="441" spans="1:11" ht="34" x14ac:dyDescent="0.2">
      <c r="A441" t="s">
        <v>5867</v>
      </c>
      <c r="B441" s="1" t="s">
        <v>5868</v>
      </c>
      <c r="C441" t="s">
        <v>1943</v>
      </c>
      <c r="D441" s="1" t="s">
        <v>5869</v>
      </c>
      <c r="E441" t="b">
        <v>0</v>
      </c>
      <c r="F441">
        <v>393</v>
      </c>
      <c r="G441">
        <v>401</v>
      </c>
      <c r="H441" t="s">
        <v>11</v>
      </c>
      <c r="I441" t="b">
        <v>0</v>
      </c>
      <c r="J441" cm="1">
        <f t="array" ref="J441">sentimentCalc(B441)</f>
        <v>0</v>
      </c>
      <c r="K441" t="str" cm="1">
        <f t="array" ref="K441">sentimentCategory(J441)</f>
        <v>Neutral</v>
      </c>
    </row>
    <row r="442" spans="1:11" ht="17" x14ac:dyDescent="0.2">
      <c r="A442" t="s">
        <v>2862</v>
      </c>
      <c r="B442" s="1" t="s">
        <v>2863</v>
      </c>
      <c r="C442" t="s">
        <v>671</v>
      </c>
      <c r="D442" s="1" t="s">
        <v>2864</v>
      </c>
      <c r="E442" t="b">
        <v>0</v>
      </c>
      <c r="F442">
        <v>327</v>
      </c>
      <c r="G442">
        <v>594</v>
      </c>
      <c r="H442" t="s">
        <v>11</v>
      </c>
      <c r="I442" t="b">
        <v>0</v>
      </c>
      <c r="J442" cm="1">
        <f t="array" ref="J442">sentimentCalc(B442)</f>
        <v>0</v>
      </c>
      <c r="K442" t="str" cm="1">
        <f t="array" ref="K442">sentimentCategory(J442)</f>
        <v>Neutral</v>
      </c>
    </row>
    <row r="443" spans="1:11" ht="34" x14ac:dyDescent="0.2">
      <c r="A443" t="s">
        <v>901</v>
      </c>
      <c r="B443" s="1" t="s">
        <v>902</v>
      </c>
      <c r="C443" t="s">
        <v>903</v>
      </c>
      <c r="D443" s="1" t="s">
        <v>2</v>
      </c>
      <c r="E443" t="b">
        <v>0</v>
      </c>
      <c r="F443">
        <v>4071</v>
      </c>
      <c r="G443">
        <v>423</v>
      </c>
      <c r="H443" t="s">
        <v>11</v>
      </c>
      <c r="I443" t="b">
        <v>0</v>
      </c>
      <c r="J443" cm="1">
        <f t="array" ref="J443">sentimentCalc(B443)</f>
        <v>0</v>
      </c>
      <c r="K443" t="str" cm="1">
        <f t="array" ref="K443">sentimentCategory(J443)</f>
        <v>Neutral</v>
      </c>
    </row>
    <row r="444" spans="1:11" ht="34" x14ac:dyDescent="0.2">
      <c r="A444" t="s">
        <v>5359</v>
      </c>
      <c r="B444" s="1" t="s">
        <v>5360</v>
      </c>
      <c r="C444" t="s">
        <v>944</v>
      </c>
      <c r="D444" s="1" t="s">
        <v>2</v>
      </c>
      <c r="E444" t="b">
        <v>0</v>
      </c>
      <c r="F444">
        <v>42</v>
      </c>
      <c r="G444">
        <v>82</v>
      </c>
      <c r="H444" t="s">
        <v>73</v>
      </c>
      <c r="I444" t="b">
        <v>0</v>
      </c>
      <c r="J444" cm="1">
        <f t="array" ref="J444">sentimentCalc(B444)</f>
        <v>-1</v>
      </c>
      <c r="K444" t="str" cm="1">
        <f t="array" ref="K444">sentimentCategory(J444)</f>
        <v>Negative</v>
      </c>
    </row>
    <row r="445" spans="1:11" ht="17" x14ac:dyDescent="0.2">
      <c r="A445" t="s">
        <v>4693</v>
      </c>
      <c r="B445" s="1" t="s">
        <v>4694</v>
      </c>
      <c r="C445" t="s">
        <v>4695</v>
      </c>
      <c r="D445" s="1" t="s">
        <v>4696</v>
      </c>
      <c r="E445" t="b">
        <v>0</v>
      </c>
      <c r="F445">
        <v>25</v>
      </c>
      <c r="G445">
        <v>73</v>
      </c>
      <c r="H445" t="s">
        <v>11</v>
      </c>
      <c r="I445" t="b">
        <v>0</v>
      </c>
      <c r="J445" cm="1">
        <f t="array" ref="J445">sentimentCalc(B445)</f>
        <v>0</v>
      </c>
      <c r="K445" t="str" cm="1">
        <f t="array" ref="K445">sentimentCategory(J445)</f>
        <v>Neutral</v>
      </c>
    </row>
    <row r="446" spans="1:11" ht="17" x14ac:dyDescent="0.2">
      <c r="A446" t="s">
        <v>1871</v>
      </c>
      <c r="B446" s="1" t="s">
        <v>1872</v>
      </c>
      <c r="C446" t="s">
        <v>1873</v>
      </c>
      <c r="D446" s="1" t="s">
        <v>2</v>
      </c>
      <c r="E446" t="b">
        <v>0</v>
      </c>
      <c r="F446">
        <v>664</v>
      </c>
      <c r="G446">
        <v>897</v>
      </c>
      <c r="H446" t="s">
        <v>11</v>
      </c>
      <c r="I446" t="b">
        <v>0</v>
      </c>
      <c r="J446" cm="1">
        <f t="array" ref="J446">sentimentCalc(B446)</f>
        <v>0</v>
      </c>
      <c r="K446" t="str" cm="1">
        <f t="array" ref="K446">sentimentCategory(J446)</f>
        <v>Neutral</v>
      </c>
    </row>
    <row r="447" spans="1:11" ht="17" x14ac:dyDescent="0.2">
      <c r="A447" t="s">
        <v>3897</v>
      </c>
      <c r="B447" s="1" t="s">
        <v>3898</v>
      </c>
      <c r="C447" t="s">
        <v>2098</v>
      </c>
      <c r="D447" s="1" t="s">
        <v>980</v>
      </c>
      <c r="E447" t="b">
        <v>0</v>
      </c>
      <c r="F447">
        <v>266</v>
      </c>
      <c r="G447">
        <v>621</v>
      </c>
      <c r="H447" t="s">
        <v>11</v>
      </c>
      <c r="I447" t="b">
        <v>0</v>
      </c>
      <c r="J447" cm="1">
        <f t="array" ref="J447">sentimentCalc(B447)</f>
        <v>1</v>
      </c>
      <c r="K447" t="str" cm="1">
        <f t="array" ref="K447">sentimentCategory(J447)</f>
        <v>Positive</v>
      </c>
    </row>
    <row r="448" spans="1:11" ht="17" x14ac:dyDescent="0.2">
      <c r="A448" t="s">
        <v>3184</v>
      </c>
      <c r="B448" s="1" t="s">
        <v>3185</v>
      </c>
      <c r="C448" t="s">
        <v>3186</v>
      </c>
      <c r="D448" s="1" t="s">
        <v>2</v>
      </c>
      <c r="E448" t="b">
        <v>0</v>
      </c>
      <c r="F448">
        <v>307</v>
      </c>
      <c r="G448">
        <v>849</v>
      </c>
      <c r="H448" t="s">
        <v>11</v>
      </c>
      <c r="I448" t="b">
        <v>0</v>
      </c>
      <c r="J448" cm="1">
        <f t="array" ref="J448">sentimentCalc(B448)</f>
        <v>0</v>
      </c>
      <c r="K448" t="str" cm="1">
        <f t="array" ref="K448">sentimentCategory(J448)</f>
        <v>Neutral</v>
      </c>
    </row>
    <row r="449" spans="1:11" ht="17" x14ac:dyDescent="0.2">
      <c r="A449" t="s">
        <v>1046</v>
      </c>
      <c r="B449" s="1" t="s">
        <v>1047</v>
      </c>
      <c r="C449" t="s">
        <v>1048</v>
      </c>
      <c r="D449" s="1" t="s">
        <v>2</v>
      </c>
      <c r="E449" t="b">
        <v>0</v>
      </c>
      <c r="F449">
        <v>38</v>
      </c>
      <c r="G449">
        <v>106</v>
      </c>
      <c r="H449" t="s">
        <v>11</v>
      </c>
      <c r="I449" t="b">
        <v>0</v>
      </c>
      <c r="J449" cm="1">
        <f t="array" ref="J449">sentimentCalc(B449)</f>
        <v>1</v>
      </c>
      <c r="K449" t="str" cm="1">
        <f t="array" ref="K449">sentimentCategory(J449)</f>
        <v>Positive</v>
      </c>
    </row>
    <row r="450" spans="1:11" ht="34" x14ac:dyDescent="0.2">
      <c r="A450" t="s">
        <v>5012</v>
      </c>
      <c r="B450" s="1" t="s">
        <v>5013</v>
      </c>
      <c r="C450" t="s">
        <v>1808</v>
      </c>
      <c r="D450" s="1" t="s">
        <v>5014</v>
      </c>
      <c r="E450" t="b">
        <v>0</v>
      </c>
      <c r="F450">
        <v>498</v>
      </c>
      <c r="G450">
        <v>2922</v>
      </c>
      <c r="H450" t="s">
        <v>11</v>
      </c>
      <c r="I450" t="b">
        <v>0</v>
      </c>
      <c r="J450" cm="1">
        <f t="array" ref="J450">sentimentCalc(B450)</f>
        <v>0</v>
      </c>
      <c r="K450" t="str" cm="1">
        <f t="array" ref="K450">sentimentCategory(J450)</f>
        <v>Neutral</v>
      </c>
    </row>
    <row r="451" spans="1:11" ht="34" x14ac:dyDescent="0.2">
      <c r="A451" t="s">
        <v>2423</v>
      </c>
      <c r="B451" s="1" t="s">
        <v>2424</v>
      </c>
      <c r="C451" t="s">
        <v>2425</v>
      </c>
      <c r="D451" s="1" t="s">
        <v>2426</v>
      </c>
      <c r="E451" t="b">
        <v>0</v>
      </c>
      <c r="F451">
        <v>16</v>
      </c>
      <c r="G451">
        <v>57</v>
      </c>
      <c r="H451" t="s">
        <v>11</v>
      </c>
      <c r="I451" t="b">
        <v>0</v>
      </c>
      <c r="J451" cm="1">
        <f t="array" ref="J451">sentimentCalc(B451)</f>
        <v>-1</v>
      </c>
      <c r="K451" t="str" cm="1">
        <f t="array" ref="K451">sentimentCategory(J451)</f>
        <v>Negative</v>
      </c>
    </row>
    <row r="452" spans="1:11" ht="34" x14ac:dyDescent="0.2">
      <c r="A452" t="s">
        <v>4568</v>
      </c>
      <c r="B452" s="1" t="s">
        <v>4569</v>
      </c>
      <c r="C452" t="s">
        <v>726</v>
      </c>
      <c r="D452" s="1" t="s">
        <v>2</v>
      </c>
      <c r="E452" t="b">
        <v>0</v>
      </c>
      <c r="F452">
        <v>49</v>
      </c>
      <c r="G452">
        <v>146</v>
      </c>
      <c r="H452" t="s">
        <v>11</v>
      </c>
      <c r="I452" t="b">
        <v>0</v>
      </c>
      <c r="J452" cm="1">
        <f t="array" ref="J452">sentimentCalc(B452)</f>
        <v>0</v>
      </c>
      <c r="K452" t="str" cm="1">
        <f t="array" ref="K452">sentimentCategory(J452)</f>
        <v>Neutral</v>
      </c>
    </row>
    <row r="453" spans="1:11" ht="34" x14ac:dyDescent="0.2">
      <c r="A453" t="s">
        <v>4905</v>
      </c>
      <c r="B453" s="1" t="s">
        <v>4906</v>
      </c>
      <c r="C453" t="s">
        <v>4907</v>
      </c>
      <c r="D453" s="1" t="s">
        <v>4908</v>
      </c>
      <c r="E453" t="b">
        <v>0</v>
      </c>
      <c r="F453">
        <v>1000</v>
      </c>
      <c r="G453">
        <v>1394</v>
      </c>
      <c r="H453" t="s">
        <v>11</v>
      </c>
      <c r="I453" t="b">
        <v>0</v>
      </c>
      <c r="J453" cm="1">
        <f t="array" ref="J453">sentimentCalc(B453)</f>
        <v>0</v>
      </c>
      <c r="K453" t="str" cm="1">
        <f t="array" ref="K453">sentimentCategory(J453)</f>
        <v>Neutral</v>
      </c>
    </row>
    <row r="454" spans="1:11" ht="17" x14ac:dyDescent="0.2">
      <c r="A454" t="s">
        <v>171</v>
      </c>
      <c r="B454" s="1" t="s">
        <v>172</v>
      </c>
      <c r="C454" t="s">
        <v>173</v>
      </c>
      <c r="D454" s="1" t="s">
        <v>174</v>
      </c>
      <c r="E454" t="b">
        <v>0</v>
      </c>
      <c r="F454">
        <v>44</v>
      </c>
      <c r="G454">
        <v>163</v>
      </c>
      <c r="H454" t="s">
        <v>11</v>
      </c>
      <c r="I454" t="b">
        <v>0</v>
      </c>
      <c r="J454" cm="1">
        <f t="array" ref="J454">sentimentCalc(B454)</f>
        <v>0</v>
      </c>
      <c r="K454" t="str" cm="1">
        <f t="array" ref="K454">sentimentCategory(J454)</f>
        <v>Neutral</v>
      </c>
    </row>
    <row r="455" spans="1:11" ht="17" x14ac:dyDescent="0.2">
      <c r="A455" t="s">
        <v>3801</v>
      </c>
      <c r="B455" s="1" t="s">
        <v>3802</v>
      </c>
      <c r="C455" t="s">
        <v>1091</v>
      </c>
      <c r="D455" s="1" t="s">
        <v>1343</v>
      </c>
      <c r="E455" t="b">
        <v>0</v>
      </c>
      <c r="F455">
        <v>148</v>
      </c>
      <c r="G455">
        <v>814</v>
      </c>
      <c r="H455" t="s">
        <v>11</v>
      </c>
      <c r="I455" t="b">
        <v>0</v>
      </c>
      <c r="J455" cm="1">
        <f t="array" ref="J455">sentimentCalc(B455)</f>
        <v>0</v>
      </c>
      <c r="K455" t="str" cm="1">
        <f t="array" ref="K455">sentimentCategory(J455)</f>
        <v>Neutral</v>
      </c>
    </row>
    <row r="456" spans="1:11" ht="17" x14ac:dyDescent="0.2">
      <c r="A456" t="s">
        <v>326</v>
      </c>
      <c r="B456" s="1" t="s">
        <v>327</v>
      </c>
      <c r="C456" t="s">
        <v>328</v>
      </c>
      <c r="D456" s="1" t="s">
        <v>329</v>
      </c>
      <c r="E456" t="b">
        <v>0</v>
      </c>
      <c r="F456">
        <v>5053</v>
      </c>
      <c r="G456">
        <v>958</v>
      </c>
      <c r="H456" t="s">
        <v>47</v>
      </c>
      <c r="I456" t="b">
        <v>0</v>
      </c>
      <c r="J456" cm="1">
        <f t="array" ref="J456">sentimentCalc(B456)</f>
        <v>0</v>
      </c>
      <c r="K456" t="str" cm="1">
        <f t="array" ref="K456">sentimentCategory(J456)</f>
        <v>Neutral</v>
      </c>
    </row>
    <row r="457" spans="1:11" ht="17" x14ac:dyDescent="0.2">
      <c r="A457" t="s">
        <v>809</v>
      </c>
      <c r="B457" s="1" t="s">
        <v>810</v>
      </c>
      <c r="C457" t="s">
        <v>811</v>
      </c>
      <c r="D457" s="1" t="s">
        <v>2</v>
      </c>
      <c r="E457" t="b">
        <v>0</v>
      </c>
      <c r="F457">
        <v>919</v>
      </c>
      <c r="G457">
        <v>354</v>
      </c>
      <c r="H457" t="s">
        <v>11</v>
      </c>
      <c r="I457" t="b">
        <v>0</v>
      </c>
      <c r="J457" cm="1">
        <f t="array" ref="J457">sentimentCalc(B457)</f>
        <v>0</v>
      </c>
      <c r="K457" t="str" cm="1">
        <f t="array" ref="K457">sentimentCategory(J457)</f>
        <v>Neutral</v>
      </c>
    </row>
    <row r="458" spans="1:11" ht="34" x14ac:dyDescent="0.2">
      <c r="A458" t="s">
        <v>3743</v>
      </c>
      <c r="B458" s="1" t="s">
        <v>3744</v>
      </c>
      <c r="C458" t="s">
        <v>3711</v>
      </c>
      <c r="D458" s="1" t="s">
        <v>2</v>
      </c>
      <c r="E458" t="b">
        <v>0</v>
      </c>
      <c r="F458">
        <v>25</v>
      </c>
      <c r="G458">
        <v>20</v>
      </c>
      <c r="H458" t="s">
        <v>11</v>
      </c>
      <c r="I458" t="b">
        <v>0</v>
      </c>
      <c r="J458" cm="1">
        <f t="array" ref="J458">sentimentCalc(B458)</f>
        <v>2</v>
      </c>
      <c r="K458" t="str" cm="1">
        <f t="array" ref="K458">sentimentCategory(J458)</f>
        <v>Positive</v>
      </c>
    </row>
    <row r="459" spans="1:11" ht="17" x14ac:dyDescent="0.2">
      <c r="A459" t="s">
        <v>6489</v>
      </c>
      <c r="B459" s="1" t="s">
        <v>6490</v>
      </c>
      <c r="C459" t="s">
        <v>6491</v>
      </c>
      <c r="D459" s="1" t="s">
        <v>2</v>
      </c>
      <c r="E459" t="b">
        <v>0</v>
      </c>
      <c r="F459">
        <v>1</v>
      </c>
      <c r="G459">
        <v>21</v>
      </c>
      <c r="H459" t="s">
        <v>11</v>
      </c>
      <c r="I459" t="b">
        <v>0</v>
      </c>
      <c r="J459" cm="1">
        <f t="array" ref="J459">sentimentCalc(B459)</f>
        <v>0</v>
      </c>
      <c r="K459" t="str" cm="1">
        <f t="array" ref="K459">sentimentCategory(J459)</f>
        <v>Neutral</v>
      </c>
    </row>
    <row r="460" spans="1:11" ht="17" x14ac:dyDescent="0.2">
      <c r="A460" t="s">
        <v>5607</v>
      </c>
      <c r="B460" s="1" t="s">
        <v>5609</v>
      </c>
      <c r="C460" t="s">
        <v>557</v>
      </c>
      <c r="D460" s="1" t="s">
        <v>558</v>
      </c>
      <c r="E460" t="b">
        <v>0</v>
      </c>
      <c r="F460">
        <v>385</v>
      </c>
      <c r="G460">
        <v>72</v>
      </c>
      <c r="H460" t="s">
        <v>11</v>
      </c>
      <c r="I460" t="b">
        <v>0</v>
      </c>
      <c r="J460" cm="1">
        <f t="array" ref="J460">sentimentCalc(B460)</f>
        <v>0</v>
      </c>
      <c r="K460" t="str" cm="1">
        <f t="array" ref="K460">sentimentCategory(J460)</f>
        <v>Neutral</v>
      </c>
    </row>
    <row r="461" spans="1:11" ht="34" x14ac:dyDescent="0.2">
      <c r="A461" t="s">
        <v>776</v>
      </c>
      <c r="B461" s="1" t="s">
        <v>777</v>
      </c>
      <c r="C461" t="s">
        <v>708</v>
      </c>
      <c r="D461" s="1" t="s">
        <v>2</v>
      </c>
      <c r="E461" t="b">
        <v>0</v>
      </c>
      <c r="F461">
        <v>316</v>
      </c>
      <c r="G461">
        <v>201</v>
      </c>
      <c r="H461" t="s">
        <v>11</v>
      </c>
      <c r="I461" t="b">
        <v>0</v>
      </c>
      <c r="J461" cm="1">
        <f t="array" ref="J461">sentimentCalc(B461)</f>
        <v>0</v>
      </c>
      <c r="K461" t="str" cm="1">
        <f t="array" ref="K461">sentimentCategory(J461)</f>
        <v>Neutral</v>
      </c>
    </row>
    <row r="462" spans="1:11" ht="17" x14ac:dyDescent="0.2">
      <c r="A462" t="s">
        <v>2965</v>
      </c>
      <c r="B462" s="1" t="s">
        <v>2966</v>
      </c>
      <c r="C462" t="s">
        <v>1838</v>
      </c>
      <c r="D462" s="1" t="s">
        <v>2967</v>
      </c>
      <c r="E462" t="b">
        <v>0</v>
      </c>
      <c r="F462">
        <v>554</v>
      </c>
      <c r="G462">
        <v>445</v>
      </c>
      <c r="H462" t="s">
        <v>11</v>
      </c>
      <c r="I462" t="b">
        <v>0</v>
      </c>
      <c r="J462" cm="1">
        <f t="array" ref="J462">sentimentCalc(B462)</f>
        <v>-1</v>
      </c>
      <c r="K462" t="str" cm="1">
        <f t="array" ref="K462">sentimentCategory(J462)</f>
        <v>Negative</v>
      </c>
    </row>
    <row r="463" spans="1:11" ht="34" x14ac:dyDescent="0.2">
      <c r="A463" t="s">
        <v>5103</v>
      </c>
      <c r="B463" s="1" t="s">
        <v>5104</v>
      </c>
      <c r="C463" t="s">
        <v>5105</v>
      </c>
      <c r="D463" s="1" t="s">
        <v>2</v>
      </c>
      <c r="E463" t="b">
        <v>0</v>
      </c>
      <c r="F463">
        <v>2544</v>
      </c>
      <c r="G463">
        <v>150</v>
      </c>
      <c r="H463" t="s">
        <v>11</v>
      </c>
      <c r="I463" t="b">
        <v>0</v>
      </c>
      <c r="J463" cm="1">
        <f t="array" ref="J463">sentimentCalc(B463)</f>
        <v>0</v>
      </c>
      <c r="K463" t="str" cm="1">
        <f t="array" ref="K463">sentimentCategory(J463)</f>
        <v>Neutral</v>
      </c>
    </row>
    <row r="464" spans="1:11" ht="17" x14ac:dyDescent="0.2">
      <c r="A464" t="s">
        <v>6877</v>
      </c>
      <c r="B464" s="1" t="s">
        <v>6878</v>
      </c>
      <c r="C464" t="s">
        <v>446</v>
      </c>
      <c r="D464" s="1" t="s">
        <v>3422</v>
      </c>
      <c r="E464" t="b">
        <v>0</v>
      </c>
      <c r="F464">
        <v>160</v>
      </c>
      <c r="G464">
        <v>171</v>
      </c>
      <c r="H464" t="s">
        <v>11</v>
      </c>
      <c r="I464" t="b">
        <v>0</v>
      </c>
      <c r="J464" cm="1">
        <f t="array" ref="J464">sentimentCalc(B464)</f>
        <v>0</v>
      </c>
      <c r="K464" t="str" cm="1">
        <f t="array" ref="K464">sentimentCategory(J464)</f>
        <v>Neutral</v>
      </c>
    </row>
    <row r="465" spans="1:11" ht="17" x14ac:dyDescent="0.2">
      <c r="A465" t="s">
        <v>6685</v>
      </c>
      <c r="B465" s="1" t="s">
        <v>6686</v>
      </c>
      <c r="C465" t="s">
        <v>1355</v>
      </c>
      <c r="D465" s="1" t="s">
        <v>1336</v>
      </c>
      <c r="E465" t="b">
        <v>0</v>
      </c>
      <c r="F465">
        <v>17</v>
      </c>
      <c r="G465">
        <v>112</v>
      </c>
      <c r="H465" t="s">
        <v>11</v>
      </c>
      <c r="I465" t="b">
        <v>0</v>
      </c>
      <c r="J465" cm="1">
        <f t="array" ref="J465">sentimentCalc(B465)</f>
        <v>0</v>
      </c>
      <c r="K465" t="str" cm="1">
        <f t="array" ref="K465">sentimentCategory(J465)</f>
        <v>Neutral</v>
      </c>
    </row>
    <row r="466" spans="1:11" ht="34" x14ac:dyDescent="0.2">
      <c r="A466" t="s">
        <v>5889</v>
      </c>
      <c r="B466" s="1" t="s">
        <v>5890</v>
      </c>
      <c r="C466" t="s">
        <v>193</v>
      </c>
      <c r="D466" s="1" t="s">
        <v>1736</v>
      </c>
      <c r="E466" t="b">
        <v>0</v>
      </c>
      <c r="F466">
        <v>66</v>
      </c>
      <c r="G466">
        <v>149</v>
      </c>
      <c r="H466" t="s">
        <v>11</v>
      </c>
      <c r="I466" t="b">
        <v>0</v>
      </c>
      <c r="J466" cm="1">
        <f t="array" ref="J466">sentimentCalc(B466)</f>
        <v>0</v>
      </c>
      <c r="K466" t="str" cm="1">
        <f t="array" ref="K466">sentimentCategory(J466)</f>
        <v>Neutral</v>
      </c>
    </row>
    <row r="467" spans="1:11" ht="17" x14ac:dyDescent="0.2">
      <c r="A467" t="s">
        <v>4235</v>
      </c>
      <c r="B467" s="1" t="s">
        <v>4236</v>
      </c>
      <c r="C467" t="s">
        <v>3072</v>
      </c>
      <c r="D467" s="1" t="s">
        <v>2</v>
      </c>
      <c r="E467" t="b">
        <v>0</v>
      </c>
      <c r="F467">
        <v>5</v>
      </c>
      <c r="G467">
        <v>45</v>
      </c>
      <c r="H467" t="s">
        <v>641</v>
      </c>
      <c r="I467" t="b">
        <v>0</v>
      </c>
      <c r="J467" cm="1">
        <f t="array" ref="J467">sentimentCalc(B467)</f>
        <v>0</v>
      </c>
      <c r="K467" t="str" cm="1">
        <f t="array" ref="K467">sentimentCategory(J467)</f>
        <v>Neutral</v>
      </c>
    </row>
    <row r="468" spans="1:11" ht="17" x14ac:dyDescent="0.2">
      <c r="A468" t="s">
        <v>6715</v>
      </c>
      <c r="B468" s="1" t="s">
        <v>6716</v>
      </c>
      <c r="C468" t="s">
        <v>6697</v>
      </c>
      <c r="D468" s="1" t="s">
        <v>534</v>
      </c>
      <c r="E468" t="b">
        <v>0</v>
      </c>
      <c r="F468">
        <v>86</v>
      </c>
      <c r="G468">
        <v>93</v>
      </c>
      <c r="H468" t="s">
        <v>11</v>
      </c>
      <c r="I468" t="b">
        <v>0</v>
      </c>
      <c r="J468" cm="1">
        <f t="array" ref="J468">sentimentCalc(B468)</f>
        <v>0</v>
      </c>
      <c r="K468" t="str" cm="1">
        <f t="array" ref="K468">sentimentCategory(J468)</f>
        <v>Neutral</v>
      </c>
    </row>
    <row r="469" spans="1:11" ht="17" x14ac:dyDescent="0.2">
      <c r="A469" t="s">
        <v>6016</v>
      </c>
      <c r="B469" s="1" t="s">
        <v>6017</v>
      </c>
      <c r="C469" t="s">
        <v>6018</v>
      </c>
      <c r="D469" s="1" t="s">
        <v>2</v>
      </c>
      <c r="E469" t="b">
        <v>0</v>
      </c>
      <c r="F469">
        <v>2</v>
      </c>
      <c r="G469">
        <v>20</v>
      </c>
      <c r="H469" t="s">
        <v>11</v>
      </c>
      <c r="I469" t="b">
        <v>0</v>
      </c>
      <c r="J469" cm="1">
        <f t="array" ref="J469">sentimentCalc(B469)</f>
        <v>0</v>
      </c>
      <c r="K469" t="str" cm="1">
        <f t="array" ref="K469">sentimentCategory(J469)</f>
        <v>Neutral</v>
      </c>
    </row>
    <row r="470" spans="1:11" ht="34" x14ac:dyDescent="0.2">
      <c r="A470" t="s">
        <v>497</v>
      </c>
      <c r="B470" s="1" t="s">
        <v>498</v>
      </c>
      <c r="C470" t="s">
        <v>336</v>
      </c>
      <c r="D470" s="1" t="s">
        <v>337</v>
      </c>
      <c r="E470" t="b">
        <v>0</v>
      </c>
      <c r="F470">
        <v>127</v>
      </c>
      <c r="G470">
        <v>452</v>
      </c>
      <c r="H470" t="s">
        <v>338</v>
      </c>
      <c r="I470" t="b">
        <v>0</v>
      </c>
      <c r="J470" cm="1">
        <f t="array" ref="J470">sentimentCalc(B470)</f>
        <v>0</v>
      </c>
      <c r="K470" t="str" cm="1">
        <f t="array" ref="K470">sentimentCategory(J470)</f>
        <v>Neutral</v>
      </c>
    </row>
    <row r="471" spans="1:11" ht="34" x14ac:dyDescent="0.2">
      <c r="A471" t="s">
        <v>4514</v>
      </c>
      <c r="B471" s="1" t="s">
        <v>4515</v>
      </c>
      <c r="C471" t="s">
        <v>4516</v>
      </c>
      <c r="D471" s="1" t="s">
        <v>4517</v>
      </c>
      <c r="E471" t="b">
        <v>0</v>
      </c>
      <c r="F471">
        <v>4041</v>
      </c>
      <c r="G471">
        <v>155</v>
      </c>
      <c r="H471" t="s">
        <v>11</v>
      </c>
      <c r="I471" t="b">
        <v>0</v>
      </c>
      <c r="J471" cm="1">
        <f t="array" ref="J471">sentimentCalc(B471)</f>
        <v>0</v>
      </c>
      <c r="K471" t="str" cm="1">
        <f t="array" ref="K471">sentimentCategory(J471)</f>
        <v>Neutral</v>
      </c>
    </row>
    <row r="472" spans="1:11" ht="34" x14ac:dyDescent="0.2">
      <c r="A472" t="s">
        <v>334</v>
      </c>
      <c r="B472" s="1" t="s">
        <v>335</v>
      </c>
      <c r="C472" t="s">
        <v>336</v>
      </c>
      <c r="D472" s="1" t="s">
        <v>337</v>
      </c>
      <c r="E472" t="b">
        <v>0</v>
      </c>
      <c r="F472">
        <v>125</v>
      </c>
      <c r="G472">
        <v>438</v>
      </c>
      <c r="H472" t="s">
        <v>338</v>
      </c>
      <c r="I472" t="b">
        <v>0</v>
      </c>
      <c r="J472" cm="1">
        <f t="array" ref="J472">sentimentCalc(B472)</f>
        <v>0</v>
      </c>
      <c r="K472" t="str" cm="1">
        <f t="array" ref="K472">sentimentCategory(J472)</f>
        <v>Neutral</v>
      </c>
    </row>
    <row r="473" spans="1:11" ht="17" x14ac:dyDescent="0.2">
      <c r="A473" t="s">
        <v>4117</v>
      </c>
      <c r="B473" s="1" t="s">
        <v>4118</v>
      </c>
      <c r="C473" t="s">
        <v>4119</v>
      </c>
      <c r="D473" s="1" t="s">
        <v>4120</v>
      </c>
      <c r="E473" t="b">
        <v>0</v>
      </c>
      <c r="F473">
        <v>10306</v>
      </c>
      <c r="G473">
        <v>1088</v>
      </c>
      <c r="H473" t="s">
        <v>11</v>
      </c>
      <c r="I473" t="b">
        <v>0</v>
      </c>
      <c r="J473" cm="1">
        <f t="array" ref="J473">sentimentCalc(B473)</f>
        <v>1</v>
      </c>
      <c r="K473" t="str" cm="1">
        <f t="array" ref="K473">sentimentCategory(J473)</f>
        <v>Positive</v>
      </c>
    </row>
    <row r="474" spans="1:11" ht="17" x14ac:dyDescent="0.2">
      <c r="A474" t="s">
        <v>6103</v>
      </c>
      <c r="B474" s="1" t="s">
        <v>6104</v>
      </c>
      <c r="C474" t="s">
        <v>6105</v>
      </c>
      <c r="D474" s="1" t="s">
        <v>6106</v>
      </c>
      <c r="E474" t="b">
        <v>0</v>
      </c>
      <c r="F474">
        <v>168</v>
      </c>
      <c r="G474">
        <v>174</v>
      </c>
      <c r="H474" t="s">
        <v>47</v>
      </c>
      <c r="I474" t="b">
        <v>0</v>
      </c>
      <c r="J474" cm="1">
        <f t="array" ref="J474">sentimentCalc(B474)</f>
        <v>0</v>
      </c>
      <c r="K474" t="str" cm="1">
        <f t="array" ref="K474">sentimentCategory(J474)</f>
        <v>Neutral</v>
      </c>
    </row>
    <row r="475" spans="1:11" ht="17" x14ac:dyDescent="0.2">
      <c r="A475" t="s">
        <v>4418</v>
      </c>
      <c r="B475" s="1" t="s">
        <v>4419</v>
      </c>
      <c r="C475" t="s">
        <v>748</v>
      </c>
      <c r="D475" s="1" t="s">
        <v>749</v>
      </c>
      <c r="E475" t="b">
        <v>0</v>
      </c>
      <c r="F475">
        <v>3059</v>
      </c>
      <c r="G475">
        <v>983</v>
      </c>
      <c r="H475" t="s">
        <v>11</v>
      </c>
      <c r="I475" t="b">
        <v>0</v>
      </c>
      <c r="J475" cm="1">
        <f t="array" ref="J475">sentimentCalc(B475)</f>
        <v>0</v>
      </c>
      <c r="K475" t="str" cm="1">
        <f t="array" ref="K475">sentimentCategory(J475)</f>
        <v>Neutral</v>
      </c>
    </row>
    <row r="476" spans="1:11" ht="17" x14ac:dyDescent="0.2">
      <c r="A476" t="s">
        <v>1122</v>
      </c>
      <c r="B476" s="1" t="s">
        <v>1123</v>
      </c>
      <c r="C476" t="s">
        <v>748</v>
      </c>
      <c r="D476" s="1" t="s">
        <v>749</v>
      </c>
      <c r="E476" t="b">
        <v>0</v>
      </c>
      <c r="F476">
        <v>3058</v>
      </c>
      <c r="G476">
        <v>983</v>
      </c>
      <c r="H476" t="s">
        <v>11</v>
      </c>
      <c r="I476" t="b">
        <v>0</v>
      </c>
      <c r="J476" cm="1">
        <f t="array" ref="J476">sentimentCalc(B476)</f>
        <v>0</v>
      </c>
      <c r="K476" t="str" cm="1">
        <f t="array" ref="K476">sentimentCategory(J476)</f>
        <v>Neutral</v>
      </c>
    </row>
    <row r="477" spans="1:11" ht="34" x14ac:dyDescent="0.2">
      <c r="A477" t="s">
        <v>3990</v>
      </c>
      <c r="B477" s="1" t="s">
        <v>3991</v>
      </c>
      <c r="C477" t="s">
        <v>1892</v>
      </c>
      <c r="D477" s="1" t="s">
        <v>3992</v>
      </c>
      <c r="E477" t="b">
        <v>0</v>
      </c>
      <c r="F477">
        <v>4</v>
      </c>
      <c r="G477">
        <v>20</v>
      </c>
      <c r="H477" t="s">
        <v>11</v>
      </c>
      <c r="I477" t="b">
        <v>0</v>
      </c>
      <c r="J477" cm="1">
        <f t="array" ref="J477">sentimentCalc(B477)</f>
        <v>0</v>
      </c>
      <c r="K477" t="str" cm="1">
        <f t="array" ref="K477">sentimentCategory(J477)</f>
        <v>Neutral</v>
      </c>
    </row>
    <row r="478" spans="1:11" ht="34" x14ac:dyDescent="0.2">
      <c r="A478" t="s">
        <v>2801</v>
      </c>
      <c r="B478" s="1" t="s">
        <v>2802</v>
      </c>
      <c r="C478" t="s">
        <v>2803</v>
      </c>
      <c r="D478" s="1" t="s">
        <v>2804</v>
      </c>
      <c r="E478" t="b">
        <v>0</v>
      </c>
      <c r="F478">
        <v>50913</v>
      </c>
      <c r="G478">
        <v>308</v>
      </c>
      <c r="H478" t="s">
        <v>11</v>
      </c>
      <c r="I478" t="b">
        <v>0</v>
      </c>
      <c r="J478" cm="1">
        <f t="array" ref="J478">sentimentCalc(B478)</f>
        <v>-1</v>
      </c>
      <c r="K478" t="str" cm="1">
        <f t="array" ref="K478">sentimentCategory(J478)</f>
        <v>Negative</v>
      </c>
    </row>
    <row r="479" spans="1:11" ht="17" x14ac:dyDescent="0.2">
      <c r="A479" t="s">
        <v>867</v>
      </c>
      <c r="B479" s="1" t="s">
        <v>868</v>
      </c>
      <c r="C479" t="s">
        <v>748</v>
      </c>
      <c r="D479" s="1" t="s">
        <v>749</v>
      </c>
      <c r="E479" t="b">
        <v>0</v>
      </c>
      <c r="F479">
        <v>3058</v>
      </c>
      <c r="G479">
        <v>983</v>
      </c>
      <c r="H479" t="s">
        <v>11</v>
      </c>
      <c r="I479" t="b">
        <v>0</v>
      </c>
      <c r="J479" cm="1">
        <f t="array" ref="J479">sentimentCalc(B479)</f>
        <v>0</v>
      </c>
      <c r="K479" t="str" cm="1">
        <f t="array" ref="K479">sentimentCategory(J479)</f>
        <v>Neutral</v>
      </c>
    </row>
    <row r="480" spans="1:11" ht="34" x14ac:dyDescent="0.2">
      <c r="A480" t="s">
        <v>5530</v>
      </c>
      <c r="B480" s="1" t="s">
        <v>5531</v>
      </c>
      <c r="C480" t="s">
        <v>726</v>
      </c>
      <c r="D480" s="1" t="s">
        <v>5532</v>
      </c>
      <c r="E480" t="b">
        <v>0</v>
      </c>
      <c r="F480">
        <v>109</v>
      </c>
      <c r="G480">
        <v>584</v>
      </c>
      <c r="H480" t="s">
        <v>11</v>
      </c>
      <c r="I480" t="b">
        <v>0</v>
      </c>
      <c r="J480" cm="1">
        <f t="array" ref="J480">sentimentCalc(B480)</f>
        <v>0</v>
      </c>
      <c r="K480" t="str" cm="1">
        <f t="array" ref="K480">sentimentCategory(J480)</f>
        <v>Neutral</v>
      </c>
    </row>
    <row r="481" spans="1:11" ht="17" x14ac:dyDescent="0.2">
      <c r="A481" t="s">
        <v>6815</v>
      </c>
      <c r="B481" s="1" t="s">
        <v>6816</v>
      </c>
      <c r="C481" t="s">
        <v>6817</v>
      </c>
      <c r="D481" s="1" t="s">
        <v>2</v>
      </c>
      <c r="E481" t="b">
        <v>0</v>
      </c>
      <c r="F481">
        <v>17</v>
      </c>
      <c r="G481">
        <v>146</v>
      </c>
      <c r="H481" t="s">
        <v>11</v>
      </c>
      <c r="I481" t="b">
        <v>0</v>
      </c>
      <c r="J481" cm="1">
        <f t="array" ref="J481">sentimentCalc(B481)</f>
        <v>-1</v>
      </c>
      <c r="K481" t="str" cm="1">
        <f t="array" ref="K481">sentimentCategory(J481)</f>
        <v>Negative</v>
      </c>
    </row>
    <row r="482" spans="1:11" ht="17" x14ac:dyDescent="0.2">
      <c r="A482" t="s">
        <v>7244</v>
      </c>
      <c r="B482" s="1" t="s">
        <v>7245</v>
      </c>
      <c r="C482" t="s">
        <v>5994</v>
      </c>
      <c r="D482" s="1" t="s">
        <v>5995</v>
      </c>
      <c r="E482" t="b">
        <v>0</v>
      </c>
      <c r="F482">
        <v>839</v>
      </c>
      <c r="G482">
        <v>744</v>
      </c>
      <c r="H482" t="s">
        <v>11</v>
      </c>
      <c r="I482" t="b">
        <v>0</v>
      </c>
      <c r="J482" cm="1">
        <f t="array" ref="J482">sentimentCalc(B482)</f>
        <v>0</v>
      </c>
      <c r="K482" t="str" cm="1">
        <f t="array" ref="K482">sentimentCategory(J482)</f>
        <v>Neutral</v>
      </c>
    </row>
    <row r="483" spans="1:11" ht="34" x14ac:dyDescent="0.2">
      <c r="A483" t="s">
        <v>5815</v>
      </c>
      <c r="B483" s="1" t="s">
        <v>5816</v>
      </c>
      <c r="C483" t="s">
        <v>3566</v>
      </c>
      <c r="D483" s="1" t="s">
        <v>3567</v>
      </c>
      <c r="E483" t="b">
        <v>0</v>
      </c>
      <c r="F483">
        <v>639</v>
      </c>
      <c r="G483">
        <v>181</v>
      </c>
      <c r="H483" t="s">
        <v>11</v>
      </c>
      <c r="I483" t="b">
        <v>0</v>
      </c>
      <c r="J483" cm="1">
        <f t="array" ref="J483">sentimentCalc(B483)</f>
        <v>0</v>
      </c>
      <c r="K483" t="str" cm="1">
        <f t="array" ref="K483">sentimentCategory(J483)</f>
        <v>Neutral</v>
      </c>
    </row>
    <row r="484" spans="1:11" ht="34" x14ac:dyDescent="0.2">
      <c r="A484" t="s">
        <v>5718</v>
      </c>
      <c r="B484" s="1" t="s">
        <v>5719</v>
      </c>
      <c r="C484" t="s">
        <v>5720</v>
      </c>
      <c r="D484" s="1" t="s">
        <v>5721</v>
      </c>
      <c r="E484" t="b">
        <v>0</v>
      </c>
      <c r="F484">
        <v>15348</v>
      </c>
      <c r="G484">
        <v>70</v>
      </c>
      <c r="H484" t="s">
        <v>11</v>
      </c>
      <c r="I484" t="b">
        <v>0</v>
      </c>
      <c r="J484" cm="1">
        <f t="array" ref="J484">sentimentCalc(B484)</f>
        <v>0</v>
      </c>
      <c r="K484" t="str" cm="1">
        <f t="array" ref="K484">sentimentCategory(J484)</f>
        <v>Neutral</v>
      </c>
    </row>
    <row r="485" spans="1:11" ht="17" x14ac:dyDescent="0.2">
      <c r="A485" t="s">
        <v>6190</v>
      </c>
      <c r="B485" s="1" t="s">
        <v>6191</v>
      </c>
      <c r="C485" t="s">
        <v>6192</v>
      </c>
      <c r="D485" s="1" t="s">
        <v>6193</v>
      </c>
      <c r="E485" t="b">
        <v>0</v>
      </c>
      <c r="F485">
        <v>88</v>
      </c>
      <c r="G485">
        <v>578</v>
      </c>
      <c r="H485" t="s">
        <v>11</v>
      </c>
      <c r="I485" t="b">
        <v>0</v>
      </c>
      <c r="J485" cm="1">
        <f t="array" ref="J485">sentimentCalc(B485)</f>
        <v>0</v>
      </c>
      <c r="K485" t="str" cm="1">
        <f t="array" ref="K485">sentimentCategory(J485)</f>
        <v>Neutral</v>
      </c>
    </row>
    <row r="486" spans="1:11" ht="34" x14ac:dyDescent="0.2">
      <c r="A486" t="s">
        <v>5764</v>
      </c>
      <c r="B486" s="1" t="s">
        <v>5765</v>
      </c>
      <c r="C486" t="s">
        <v>2226</v>
      </c>
      <c r="D486" s="1" t="s">
        <v>4469</v>
      </c>
      <c r="E486" t="b">
        <v>0</v>
      </c>
      <c r="F486">
        <v>9528</v>
      </c>
      <c r="G486">
        <v>304</v>
      </c>
      <c r="H486" t="s">
        <v>11</v>
      </c>
      <c r="I486" t="b">
        <v>0</v>
      </c>
      <c r="J486" cm="1">
        <f t="array" ref="J486">sentimentCalc(B486)</f>
        <v>0</v>
      </c>
      <c r="K486" t="str" cm="1">
        <f t="array" ref="K486">sentimentCategory(J486)</f>
        <v>Neutral</v>
      </c>
    </row>
    <row r="487" spans="1:11" ht="17" x14ac:dyDescent="0.2">
      <c r="A487" t="s">
        <v>382</v>
      </c>
      <c r="B487" s="1" t="s">
        <v>383</v>
      </c>
      <c r="C487" t="s">
        <v>211</v>
      </c>
      <c r="D487" s="1" t="s">
        <v>384</v>
      </c>
      <c r="E487" t="b">
        <v>0</v>
      </c>
      <c r="F487">
        <v>1449</v>
      </c>
      <c r="G487">
        <v>4998</v>
      </c>
      <c r="H487" t="s">
        <v>11</v>
      </c>
      <c r="I487" t="b">
        <v>0</v>
      </c>
      <c r="J487" cm="1">
        <f t="array" ref="J487">sentimentCalc(B487)</f>
        <v>0</v>
      </c>
      <c r="K487" t="str" cm="1">
        <f t="array" ref="K487">sentimentCategory(J487)</f>
        <v>Neutral</v>
      </c>
    </row>
    <row r="488" spans="1:11" ht="34" x14ac:dyDescent="0.2">
      <c r="A488" t="s">
        <v>1726</v>
      </c>
      <c r="B488" s="1" t="s">
        <v>1727</v>
      </c>
      <c r="C488" t="s">
        <v>1687</v>
      </c>
      <c r="D488" s="1" t="s">
        <v>1728</v>
      </c>
      <c r="E488" t="b">
        <v>1</v>
      </c>
      <c r="F488">
        <v>72038</v>
      </c>
      <c r="G488">
        <v>420</v>
      </c>
      <c r="H488" t="s">
        <v>11</v>
      </c>
      <c r="I488" t="b">
        <v>0</v>
      </c>
      <c r="J488" cm="1">
        <f t="array" ref="J488">sentimentCalc(B488)</f>
        <v>0</v>
      </c>
      <c r="K488" t="str" cm="1">
        <f t="array" ref="K488">sentimentCategory(J488)</f>
        <v>Neutral</v>
      </c>
    </row>
    <row r="489" spans="1:11" ht="34" x14ac:dyDescent="0.2">
      <c r="A489" t="s">
        <v>1363</v>
      </c>
      <c r="B489" s="1" t="s">
        <v>1364</v>
      </c>
      <c r="C489" t="s">
        <v>577</v>
      </c>
      <c r="D489" s="1" t="s">
        <v>1365</v>
      </c>
      <c r="E489" t="b">
        <v>0</v>
      </c>
      <c r="F489">
        <v>327</v>
      </c>
      <c r="G489">
        <v>59</v>
      </c>
      <c r="H489" t="s">
        <v>11</v>
      </c>
      <c r="I489" t="b">
        <v>0</v>
      </c>
      <c r="J489" cm="1">
        <f t="array" ref="J489">sentimentCalc(B489)</f>
        <v>0</v>
      </c>
      <c r="K489" t="str" cm="1">
        <f t="array" ref="K489">sentimentCategory(J489)</f>
        <v>Neutral</v>
      </c>
    </row>
    <row r="490" spans="1:11" ht="17" x14ac:dyDescent="0.2">
      <c r="A490" t="s">
        <v>987</v>
      </c>
      <c r="B490" s="1" t="s">
        <v>988</v>
      </c>
      <c r="C490" t="s">
        <v>989</v>
      </c>
      <c r="D490" s="1" t="s">
        <v>2</v>
      </c>
      <c r="E490" t="b">
        <v>0</v>
      </c>
      <c r="F490">
        <v>32</v>
      </c>
      <c r="G490">
        <v>133</v>
      </c>
      <c r="H490" t="s">
        <v>11</v>
      </c>
      <c r="I490" t="b">
        <v>0</v>
      </c>
      <c r="J490" cm="1">
        <f t="array" ref="J490">sentimentCalc(B490)</f>
        <v>0</v>
      </c>
      <c r="K490" t="str" cm="1">
        <f t="array" ref="K490">sentimentCategory(J490)</f>
        <v>Neutral</v>
      </c>
    </row>
    <row r="491" spans="1:11" ht="17" x14ac:dyDescent="0.2">
      <c r="A491" t="s">
        <v>4782</v>
      </c>
      <c r="B491" s="1" t="s">
        <v>4783</v>
      </c>
      <c r="C491" t="s">
        <v>4784</v>
      </c>
      <c r="D491" s="1" t="s">
        <v>1653</v>
      </c>
      <c r="E491" t="b">
        <v>0</v>
      </c>
      <c r="F491">
        <v>10364</v>
      </c>
      <c r="G491">
        <v>10928</v>
      </c>
      <c r="H491" t="s">
        <v>11</v>
      </c>
      <c r="I491" t="b">
        <v>0</v>
      </c>
      <c r="J491" cm="1">
        <f t="array" ref="J491">sentimentCalc(B491)</f>
        <v>0</v>
      </c>
      <c r="K491" t="str" cm="1">
        <f t="array" ref="K491">sentimentCategory(J491)</f>
        <v>Neutral</v>
      </c>
    </row>
    <row r="492" spans="1:11" ht="17" x14ac:dyDescent="0.2">
      <c r="A492" t="s">
        <v>864</v>
      </c>
      <c r="B492" s="1" t="s">
        <v>865</v>
      </c>
      <c r="C492" t="s">
        <v>866</v>
      </c>
      <c r="D492" s="1" t="s">
        <v>168</v>
      </c>
      <c r="E492" t="b">
        <v>0</v>
      </c>
      <c r="F492">
        <v>211</v>
      </c>
      <c r="G492">
        <v>988</v>
      </c>
      <c r="H492" t="s">
        <v>11</v>
      </c>
      <c r="I492" t="b">
        <v>0</v>
      </c>
      <c r="J492" cm="1">
        <f t="array" ref="J492">sentimentCalc(B492)</f>
        <v>0</v>
      </c>
      <c r="K492" t="str" cm="1">
        <f t="array" ref="K492">sentimentCategory(J492)</f>
        <v>Neutral</v>
      </c>
    </row>
    <row r="493" spans="1:11" ht="34" x14ac:dyDescent="0.2">
      <c r="A493" t="s">
        <v>3435</v>
      </c>
      <c r="B493" s="1" t="s">
        <v>3436</v>
      </c>
      <c r="C493" t="s">
        <v>1015</v>
      </c>
      <c r="D493" s="1" t="s">
        <v>2</v>
      </c>
      <c r="E493" t="b">
        <v>0</v>
      </c>
      <c r="F493">
        <v>24</v>
      </c>
      <c r="G493">
        <v>134</v>
      </c>
      <c r="H493" t="s">
        <v>11</v>
      </c>
      <c r="I493" t="b">
        <v>0</v>
      </c>
      <c r="J493" cm="1">
        <f t="array" ref="J493">sentimentCalc(B493)</f>
        <v>0</v>
      </c>
      <c r="K493" t="str" cm="1">
        <f t="array" ref="K493">sentimentCategory(J493)</f>
        <v>Neutral</v>
      </c>
    </row>
    <row r="494" spans="1:11" ht="17" x14ac:dyDescent="0.2">
      <c r="A494" t="s">
        <v>1685</v>
      </c>
      <c r="B494" s="1" t="s">
        <v>1686</v>
      </c>
      <c r="C494" t="s">
        <v>1687</v>
      </c>
      <c r="D494" s="1" t="s">
        <v>2</v>
      </c>
      <c r="E494" t="b">
        <v>0</v>
      </c>
      <c r="F494">
        <v>38</v>
      </c>
      <c r="G494">
        <v>163</v>
      </c>
      <c r="H494" t="s">
        <v>1688</v>
      </c>
      <c r="I494" t="b">
        <v>0</v>
      </c>
      <c r="J494" cm="1">
        <f t="array" ref="J494">sentimentCalc(B494)</f>
        <v>0</v>
      </c>
      <c r="K494" t="str" cm="1">
        <f t="array" ref="K494">sentimentCategory(J494)</f>
        <v>Neutral</v>
      </c>
    </row>
    <row r="495" spans="1:11" ht="17" x14ac:dyDescent="0.2">
      <c r="A495" t="s">
        <v>4190</v>
      </c>
      <c r="B495" s="1" t="s">
        <v>4191</v>
      </c>
      <c r="C495" t="s">
        <v>82</v>
      </c>
      <c r="D495" s="1" t="s">
        <v>4192</v>
      </c>
      <c r="E495" t="b">
        <v>0</v>
      </c>
      <c r="F495">
        <v>58759</v>
      </c>
      <c r="G495">
        <v>20790</v>
      </c>
      <c r="H495" t="s">
        <v>11</v>
      </c>
      <c r="I495" t="b">
        <v>0</v>
      </c>
      <c r="J495" cm="1">
        <f t="array" ref="J495">sentimentCalc(B495)</f>
        <v>0</v>
      </c>
      <c r="K495" t="str" cm="1">
        <f t="array" ref="K495">sentimentCategory(J495)</f>
        <v>Neutral</v>
      </c>
    </row>
    <row r="496" spans="1:11" ht="34" x14ac:dyDescent="0.2">
      <c r="A496" t="s">
        <v>2808</v>
      </c>
      <c r="B496" s="1" t="s">
        <v>2809</v>
      </c>
      <c r="C496" t="s">
        <v>222</v>
      </c>
      <c r="D496" s="1" t="s">
        <v>223</v>
      </c>
      <c r="E496" t="b">
        <v>0</v>
      </c>
      <c r="F496">
        <v>9227</v>
      </c>
      <c r="G496">
        <v>7170</v>
      </c>
      <c r="H496" t="s">
        <v>11</v>
      </c>
      <c r="I496" t="b">
        <v>0</v>
      </c>
      <c r="J496" cm="1">
        <f t="array" ref="J496">sentimentCalc(B496)</f>
        <v>0</v>
      </c>
      <c r="K496" t="str" cm="1">
        <f t="array" ref="K496">sentimentCategory(J496)</f>
        <v>Neutral</v>
      </c>
    </row>
    <row r="497" spans="1:11" ht="17" x14ac:dyDescent="0.2">
      <c r="A497" t="s">
        <v>4086</v>
      </c>
      <c r="B497" s="1" t="s">
        <v>4087</v>
      </c>
      <c r="C497" t="s">
        <v>4088</v>
      </c>
      <c r="D497" s="1" t="s">
        <v>4089</v>
      </c>
      <c r="E497" t="b">
        <v>0</v>
      </c>
      <c r="F497">
        <v>130</v>
      </c>
      <c r="G497">
        <v>124</v>
      </c>
      <c r="H497" t="s">
        <v>83</v>
      </c>
      <c r="I497" t="b">
        <v>0</v>
      </c>
      <c r="J497" cm="1">
        <f t="array" ref="J497">sentimentCalc(B497)</f>
        <v>0</v>
      </c>
      <c r="K497" t="str" cm="1">
        <f t="array" ref="K497">sentimentCategory(J497)</f>
        <v>Neutral</v>
      </c>
    </row>
    <row r="498" spans="1:11" ht="17" x14ac:dyDescent="0.2">
      <c r="A498" t="s">
        <v>5548</v>
      </c>
      <c r="B498" s="1" t="s">
        <v>5549</v>
      </c>
      <c r="C498" t="s">
        <v>5550</v>
      </c>
      <c r="D498" s="1" t="s">
        <v>2</v>
      </c>
      <c r="E498" t="b">
        <v>0</v>
      </c>
      <c r="F498">
        <v>34534</v>
      </c>
      <c r="G498">
        <v>4</v>
      </c>
      <c r="H498" t="s">
        <v>11</v>
      </c>
      <c r="I498" t="b">
        <v>0</v>
      </c>
      <c r="J498" cm="1">
        <f t="array" ref="J498">sentimentCalc(B498)</f>
        <v>0</v>
      </c>
      <c r="K498" t="str" cm="1">
        <f t="array" ref="K498">sentimentCategory(J498)</f>
        <v>Neutral</v>
      </c>
    </row>
    <row r="499" spans="1:11" ht="34" x14ac:dyDescent="0.2">
      <c r="A499" t="s">
        <v>2267</v>
      </c>
      <c r="B499" s="1" t="s">
        <v>2268</v>
      </c>
      <c r="C499" t="s">
        <v>2269</v>
      </c>
      <c r="D499" s="1" t="s">
        <v>1167</v>
      </c>
      <c r="E499" t="b">
        <v>0</v>
      </c>
      <c r="F499">
        <v>264</v>
      </c>
      <c r="G499">
        <v>494</v>
      </c>
      <c r="H499" t="s">
        <v>11</v>
      </c>
      <c r="I499" t="b">
        <v>0</v>
      </c>
      <c r="J499" cm="1">
        <f t="array" ref="J499">sentimentCalc(B499)</f>
        <v>0</v>
      </c>
      <c r="K499" t="str" cm="1">
        <f t="array" ref="K499">sentimentCategory(J499)</f>
        <v>Neutral</v>
      </c>
    </row>
    <row r="500" spans="1:11" ht="17" x14ac:dyDescent="0.2">
      <c r="A500" t="s">
        <v>7098</v>
      </c>
      <c r="B500" s="1" t="s">
        <v>7099</v>
      </c>
      <c r="C500" t="s">
        <v>4434</v>
      </c>
      <c r="D500" s="1" t="s">
        <v>7100</v>
      </c>
      <c r="E500" t="b">
        <v>0</v>
      </c>
      <c r="F500">
        <v>143</v>
      </c>
      <c r="G500">
        <v>462</v>
      </c>
      <c r="H500" t="s">
        <v>110</v>
      </c>
      <c r="I500" t="b">
        <v>0</v>
      </c>
      <c r="J500" cm="1">
        <f t="array" ref="J500">sentimentCalc(B500)</f>
        <v>0</v>
      </c>
      <c r="K500" t="str" cm="1">
        <f t="array" ref="K500">sentimentCategory(J500)</f>
        <v>Neutral</v>
      </c>
    </row>
    <row r="501" spans="1:11" ht="17" x14ac:dyDescent="0.2">
      <c r="A501" t="s">
        <v>2566</v>
      </c>
      <c r="B501" s="1" t="s">
        <v>2567</v>
      </c>
      <c r="C501" t="s">
        <v>1197</v>
      </c>
      <c r="D501" s="1" t="s">
        <v>1198</v>
      </c>
      <c r="E501" t="b">
        <v>0</v>
      </c>
      <c r="F501">
        <v>1123</v>
      </c>
      <c r="G501">
        <v>316</v>
      </c>
      <c r="H501" t="s">
        <v>11</v>
      </c>
      <c r="I501" t="b">
        <v>0</v>
      </c>
      <c r="J501" cm="1">
        <f t="array" ref="J501">sentimentCalc(B501)</f>
        <v>0</v>
      </c>
      <c r="K501" t="str" cm="1">
        <f t="array" ref="K501">sentimentCategory(J501)</f>
        <v>Neutral</v>
      </c>
    </row>
    <row r="502" spans="1:11" ht="34" x14ac:dyDescent="0.2">
      <c r="A502" t="s">
        <v>485</v>
      </c>
      <c r="B502" s="1" t="s">
        <v>486</v>
      </c>
      <c r="C502" t="s">
        <v>439</v>
      </c>
      <c r="D502" s="1" t="s">
        <v>487</v>
      </c>
      <c r="E502" t="b">
        <v>0</v>
      </c>
      <c r="F502">
        <v>34</v>
      </c>
      <c r="G502">
        <v>76</v>
      </c>
      <c r="H502" t="s">
        <v>11</v>
      </c>
      <c r="I502" t="b">
        <v>0</v>
      </c>
      <c r="J502" cm="1">
        <f t="array" ref="J502">sentimentCalc(B502)</f>
        <v>0</v>
      </c>
      <c r="K502" t="str" cm="1">
        <f t="array" ref="K502">sentimentCategory(J502)</f>
        <v>Neutral</v>
      </c>
    </row>
    <row r="503" spans="1:11" ht="17" x14ac:dyDescent="0.2">
      <c r="A503" t="s">
        <v>2365</v>
      </c>
      <c r="B503" s="1" t="s">
        <v>2366</v>
      </c>
      <c r="C503" t="s">
        <v>2367</v>
      </c>
      <c r="D503" s="1" t="s">
        <v>2368</v>
      </c>
      <c r="E503" t="b">
        <v>0</v>
      </c>
      <c r="F503">
        <v>838</v>
      </c>
      <c r="G503">
        <v>1484</v>
      </c>
      <c r="H503" t="s">
        <v>11</v>
      </c>
      <c r="I503" t="b">
        <v>0</v>
      </c>
      <c r="J503" cm="1">
        <f t="array" ref="J503">sentimentCalc(B503)</f>
        <v>0</v>
      </c>
      <c r="K503" t="str" cm="1">
        <f t="array" ref="K503">sentimentCategory(J503)</f>
        <v>Neutral</v>
      </c>
    </row>
    <row r="504" spans="1:11" ht="17" x14ac:dyDescent="0.2">
      <c r="A504" t="s">
        <v>2319</v>
      </c>
      <c r="B504" s="1" t="s">
        <v>2320</v>
      </c>
      <c r="C504" t="s">
        <v>2321</v>
      </c>
      <c r="D504" s="1" t="s">
        <v>2167</v>
      </c>
      <c r="E504" t="b">
        <v>0</v>
      </c>
      <c r="F504">
        <v>135</v>
      </c>
      <c r="G504">
        <v>391</v>
      </c>
      <c r="H504" t="s">
        <v>11</v>
      </c>
      <c r="I504" t="b">
        <v>0</v>
      </c>
      <c r="J504" cm="1">
        <f t="array" ref="J504">sentimentCalc(B504)</f>
        <v>0</v>
      </c>
      <c r="K504" t="str" cm="1">
        <f t="array" ref="K504">sentimentCategory(J504)</f>
        <v>Neutral</v>
      </c>
    </row>
    <row r="505" spans="1:11" ht="17" x14ac:dyDescent="0.2">
      <c r="A505" t="s">
        <v>1261</v>
      </c>
      <c r="B505" s="1" t="s">
        <v>1262</v>
      </c>
      <c r="C505" t="s">
        <v>1263</v>
      </c>
      <c r="D505" s="1" t="s">
        <v>1264</v>
      </c>
      <c r="E505" t="b">
        <v>0</v>
      </c>
      <c r="F505">
        <v>65</v>
      </c>
      <c r="G505">
        <v>34</v>
      </c>
      <c r="H505" t="s">
        <v>359</v>
      </c>
      <c r="I505" t="b">
        <v>0</v>
      </c>
      <c r="J505" cm="1">
        <f t="array" ref="J505">sentimentCalc(B505)</f>
        <v>0</v>
      </c>
      <c r="K505" t="str" cm="1">
        <f t="array" ref="K505">sentimentCategory(J505)</f>
        <v>Neutral</v>
      </c>
    </row>
    <row r="506" spans="1:11" ht="17" x14ac:dyDescent="0.2">
      <c r="A506" t="s">
        <v>1612</v>
      </c>
      <c r="B506" s="1" t="s">
        <v>1613</v>
      </c>
      <c r="C506" t="s">
        <v>1614</v>
      </c>
      <c r="D506" s="1" t="s">
        <v>1615</v>
      </c>
      <c r="E506" t="b">
        <v>0</v>
      </c>
      <c r="F506">
        <v>82</v>
      </c>
      <c r="G506">
        <v>32</v>
      </c>
      <c r="H506" t="s">
        <v>11</v>
      </c>
      <c r="I506" t="b">
        <v>0</v>
      </c>
      <c r="J506" cm="1">
        <f t="array" ref="J506">sentimentCalc(B506)</f>
        <v>0</v>
      </c>
      <c r="K506" t="str" cm="1">
        <f t="array" ref="K506">sentimentCategory(J506)</f>
        <v>Neutral</v>
      </c>
    </row>
    <row r="507" spans="1:11" ht="17" x14ac:dyDescent="0.2">
      <c r="A507" t="s">
        <v>3558</v>
      </c>
      <c r="B507" s="1" t="s">
        <v>3559</v>
      </c>
      <c r="C507" t="s">
        <v>1263</v>
      </c>
      <c r="D507" s="1" t="s">
        <v>1264</v>
      </c>
      <c r="E507" t="b">
        <v>0</v>
      </c>
      <c r="F507">
        <v>64</v>
      </c>
      <c r="G507">
        <v>34</v>
      </c>
      <c r="H507" t="s">
        <v>359</v>
      </c>
      <c r="I507" t="b">
        <v>0</v>
      </c>
      <c r="J507" cm="1">
        <f t="array" ref="J507">sentimentCalc(B507)</f>
        <v>0</v>
      </c>
      <c r="K507" t="str" cm="1">
        <f t="array" ref="K507">sentimentCategory(J507)</f>
        <v>Neutral</v>
      </c>
    </row>
    <row r="508" spans="1:11" ht="17" x14ac:dyDescent="0.2">
      <c r="A508" t="s">
        <v>1961</v>
      </c>
      <c r="B508" s="1" t="s">
        <v>1962</v>
      </c>
      <c r="C508" t="s">
        <v>1263</v>
      </c>
      <c r="D508" s="1" t="s">
        <v>1264</v>
      </c>
      <c r="E508" t="b">
        <v>0</v>
      </c>
      <c r="F508">
        <v>64</v>
      </c>
      <c r="G508">
        <v>34</v>
      </c>
      <c r="H508" t="s">
        <v>359</v>
      </c>
      <c r="I508" t="b">
        <v>0</v>
      </c>
      <c r="J508" cm="1">
        <f t="array" ref="J508">sentimentCalc(B508)</f>
        <v>0</v>
      </c>
      <c r="K508" t="str" cm="1">
        <f t="array" ref="K508">sentimentCategory(J508)</f>
        <v>Neutral</v>
      </c>
    </row>
    <row r="509" spans="1:11" ht="17" x14ac:dyDescent="0.2">
      <c r="A509" t="s">
        <v>6501</v>
      </c>
      <c r="B509" s="1" t="s">
        <v>6502</v>
      </c>
      <c r="C509" t="s">
        <v>1263</v>
      </c>
      <c r="D509" s="1" t="s">
        <v>1264</v>
      </c>
      <c r="E509" t="b">
        <v>0</v>
      </c>
      <c r="F509">
        <v>64</v>
      </c>
      <c r="G509">
        <v>34</v>
      </c>
      <c r="H509" t="s">
        <v>359</v>
      </c>
      <c r="I509" t="b">
        <v>0</v>
      </c>
      <c r="J509" cm="1">
        <f t="array" ref="J509">sentimentCalc(B509)</f>
        <v>0</v>
      </c>
      <c r="K509" t="str" cm="1">
        <f t="array" ref="K509">sentimentCategory(J509)</f>
        <v>Neutral</v>
      </c>
    </row>
    <row r="510" spans="1:11" ht="17" x14ac:dyDescent="0.2">
      <c r="A510" t="s">
        <v>4289</v>
      </c>
      <c r="B510" s="1" t="s">
        <v>4290</v>
      </c>
      <c r="C510" t="s">
        <v>1263</v>
      </c>
      <c r="D510" s="1" t="s">
        <v>1264</v>
      </c>
      <c r="E510" t="b">
        <v>0</v>
      </c>
      <c r="F510">
        <v>64</v>
      </c>
      <c r="G510">
        <v>34</v>
      </c>
      <c r="H510" t="s">
        <v>359</v>
      </c>
      <c r="I510" t="b">
        <v>0</v>
      </c>
      <c r="J510" cm="1">
        <f t="array" ref="J510">sentimentCalc(B510)</f>
        <v>0</v>
      </c>
      <c r="K510" t="str" cm="1">
        <f t="array" ref="K510">sentimentCategory(J510)</f>
        <v>Neutral</v>
      </c>
    </row>
    <row r="511" spans="1:11" ht="17" x14ac:dyDescent="0.2">
      <c r="A511" t="s">
        <v>2552</v>
      </c>
      <c r="B511" s="1" t="s">
        <v>2553</v>
      </c>
      <c r="C511" t="s">
        <v>2554</v>
      </c>
      <c r="D511" s="1" t="s">
        <v>2</v>
      </c>
      <c r="E511" t="b">
        <v>0</v>
      </c>
      <c r="F511">
        <v>36</v>
      </c>
      <c r="G511">
        <v>274</v>
      </c>
      <c r="H511" t="s">
        <v>863</v>
      </c>
      <c r="I511" t="b">
        <v>0</v>
      </c>
      <c r="J511" cm="1">
        <f t="array" ref="J511">sentimentCalc(B511)</f>
        <v>0</v>
      </c>
      <c r="K511" t="str" cm="1">
        <f t="array" ref="K511">sentimentCategory(J511)</f>
        <v>Neutral</v>
      </c>
    </row>
    <row r="512" spans="1:11" ht="17" x14ac:dyDescent="0.2">
      <c r="A512" t="s">
        <v>6723</v>
      </c>
      <c r="B512" s="1" t="s">
        <v>6724</v>
      </c>
      <c r="C512" t="s">
        <v>2087</v>
      </c>
      <c r="D512" s="1" t="s">
        <v>6725</v>
      </c>
      <c r="E512" t="b">
        <v>0</v>
      </c>
      <c r="F512">
        <v>17</v>
      </c>
      <c r="G512">
        <v>63</v>
      </c>
      <c r="H512" t="s">
        <v>11</v>
      </c>
      <c r="I512" t="b">
        <v>0</v>
      </c>
      <c r="J512" cm="1">
        <f t="array" ref="J512">sentimentCalc(B512)</f>
        <v>0</v>
      </c>
      <c r="K512" t="str" cm="1">
        <f t="array" ref="K512">sentimentCategory(J512)</f>
        <v>Neutral</v>
      </c>
    </row>
    <row r="513" spans="1:11" ht="17" x14ac:dyDescent="0.2">
      <c r="A513" t="s">
        <v>1142</v>
      </c>
      <c r="B513" s="1" t="s">
        <v>1143</v>
      </c>
      <c r="C513" t="s">
        <v>358</v>
      </c>
      <c r="E513" t="b">
        <v>0</v>
      </c>
      <c r="F513">
        <v>3605</v>
      </c>
      <c r="G513">
        <v>276</v>
      </c>
      <c r="H513" t="s">
        <v>11</v>
      </c>
      <c r="I513" t="b">
        <v>0</v>
      </c>
      <c r="J513" cm="1">
        <f t="array" ref="J513">sentimentCalc(B513)</f>
        <v>0</v>
      </c>
      <c r="K513" t="str" cm="1">
        <f t="array" ref="K513">sentimentCategory(J513)</f>
        <v>Neutral</v>
      </c>
    </row>
    <row r="514" spans="1:11" ht="17" x14ac:dyDescent="0.2">
      <c r="A514" t="s">
        <v>686</v>
      </c>
      <c r="B514" s="1" t="s">
        <v>687</v>
      </c>
      <c r="C514" t="s">
        <v>649</v>
      </c>
      <c r="D514" s="1" t="s">
        <v>2</v>
      </c>
      <c r="E514" t="b">
        <v>0</v>
      </c>
      <c r="F514">
        <v>37</v>
      </c>
      <c r="G514">
        <v>14</v>
      </c>
      <c r="H514" t="s">
        <v>31</v>
      </c>
      <c r="I514" t="b">
        <v>0</v>
      </c>
      <c r="J514" cm="1">
        <f t="array" ref="J514">sentimentCalc(B514)</f>
        <v>0</v>
      </c>
      <c r="K514" t="str" cm="1">
        <f t="array" ref="K514">sentimentCategory(J514)</f>
        <v>Neutral</v>
      </c>
    </row>
    <row r="515" spans="1:11" ht="17" x14ac:dyDescent="0.2">
      <c r="A515" t="s">
        <v>5082</v>
      </c>
      <c r="B515" s="1" t="s">
        <v>5083</v>
      </c>
      <c r="C515" t="s">
        <v>649</v>
      </c>
      <c r="D515" s="1" t="s">
        <v>2</v>
      </c>
      <c r="E515" t="b">
        <v>0</v>
      </c>
      <c r="F515">
        <v>38</v>
      </c>
      <c r="G515">
        <v>14</v>
      </c>
      <c r="H515" t="s">
        <v>31</v>
      </c>
      <c r="I515" t="b">
        <v>0</v>
      </c>
      <c r="J515" cm="1">
        <f t="array" ref="J515">sentimentCalc(B515)</f>
        <v>0</v>
      </c>
      <c r="K515" t="str" cm="1">
        <f t="array" ref="K515">sentimentCategory(J515)</f>
        <v>Neutral</v>
      </c>
    </row>
    <row r="516" spans="1:11" ht="34" x14ac:dyDescent="0.2">
      <c r="A516" t="s">
        <v>1852</v>
      </c>
      <c r="B516" s="1" t="s">
        <v>1853</v>
      </c>
      <c r="C516" t="s">
        <v>345</v>
      </c>
      <c r="D516" s="1" t="s">
        <v>2</v>
      </c>
      <c r="E516" t="b">
        <v>0</v>
      </c>
      <c r="F516">
        <v>4</v>
      </c>
      <c r="G516">
        <v>8</v>
      </c>
      <c r="H516" t="s">
        <v>11</v>
      </c>
      <c r="I516" t="b">
        <v>0</v>
      </c>
      <c r="J516" cm="1">
        <f t="array" ref="J516">sentimentCalc(B516)</f>
        <v>0</v>
      </c>
      <c r="K516" t="str" cm="1">
        <f t="array" ref="K516">sentimentCategory(J516)</f>
        <v>Neutral</v>
      </c>
    </row>
    <row r="517" spans="1:11" ht="17" x14ac:dyDescent="0.2">
      <c r="A517" t="s">
        <v>245</v>
      </c>
      <c r="B517" s="1" t="s">
        <v>246</v>
      </c>
      <c r="C517" t="s">
        <v>247</v>
      </c>
      <c r="D517" s="1" t="s">
        <v>2</v>
      </c>
      <c r="E517" t="b">
        <v>0</v>
      </c>
      <c r="F517">
        <v>473</v>
      </c>
      <c r="G517">
        <v>1342</v>
      </c>
      <c r="H517" t="s">
        <v>11</v>
      </c>
      <c r="I517" t="b">
        <v>0</v>
      </c>
      <c r="J517" cm="1">
        <f t="array" ref="J517">sentimentCalc(B517)</f>
        <v>-1</v>
      </c>
      <c r="K517" t="str" cm="1">
        <f t="array" ref="K517">sentimentCategory(J517)</f>
        <v>Negative</v>
      </c>
    </row>
    <row r="518" spans="1:11" ht="17" x14ac:dyDescent="0.2">
      <c r="A518" t="s">
        <v>1991</v>
      </c>
      <c r="B518" s="1" t="s">
        <v>1992</v>
      </c>
      <c r="C518" t="s">
        <v>1530</v>
      </c>
      <c r="D518" s="1" t="s">
        <v>1531</v>
      </c>
      <c r="E518" t="b">
        <v>0</v>
      </c>
      <c r="F518">
        <v>25</v>
      </c>
      <c r="G518">
        <v>43</v>
      </c>
      <c r="H518" t="s">
        <v>11</v>
      </c>
      <c r="I518" t="b">
        <v>0</v>
      </c>
      <c r="J518" cm="1">
        <f t="array" ref="J518">sentimentCalc(B518)</f>
        <v>0</v>
      </c>
      <c r="K518" t="str" cm="1">
        <f t="array" ref="K518">sentimentCategory(J518)</f>
        <v>Neutral</v>
      </c>
    </row>
    <row r="519" spans="1:11" ht="17" x14ac:dyDescent="0.2">
      <c r="A519" t="s">
        <v>3247</v>
      </c>
      <c r="B519" s="1" t="s">
        <v>3248</v>
      </c>
      <c r="C519" t="s">
        <v>3249</v>
      </c>
      <c r="D519" s="1" t="s">
        <v>3250</v>
      </c>
      <c r="E519" t="b">
        <v>0</v>
      </c>
      <c r="F519">
        <v>29</v>
      </c>
      <c r="G519">
        <v>23</v>
      </c>
      <c r="H519" t="s">
        <v>11</v>
      </c>
      <c r="I519" t="b">
        <v>0</v>
      </c>
      <c r="J519" cm="1">
        <f t="array" ref="J519">sentimentCalc(B519)</f>
        <v>1</v>
      </c>
      <c r="K519" t="str" cm="1">
        <f t="array" ref="K519">sentimentCategory(J519)</f>
        <v>Positive</v>
      </c>
    </row>
    <row r="520" spans="1:11" ht="17" x14ac:dyDescent="0.2">
      <c r="A520" t="s">
        <v>2564</v>
      </c>
      <c r="B520" s="1" t="s">
        <v>2565</v>
      </c>
      <c r="C520" t="s">
        <v>2112</v>
      </c>
      <c r="D520" s="1" t="s">
        <v>2399</v>
      </c>
      <c r="E520" t="b">
        <v>0</v>
      </c>
      <c r="F520">
        <v>7728</v>
      </c>
      <c r="G520">
        <v>328</v>
      </c>
      <c r="H520" t="s">
        <v>11</v>
      </c>
      <c r="I520" t="b">
        <v>0</v>
      </c>
      <c r="J520" cm="1">
        <f t="array" ref="J520">sentimentCalc(B520)</f>
        <v>0</v>
      </c>
      <c r="K520" t="str" cm="1">
        <f t="array" ref="K520">sentimentCategory(J520)</f>
        <v>Neutral</v>
      </c>
    </row>
    <row r="521" spans="1:11" ht="17" x14ac:dyDescent="0.2">
      <c r="A521" t="s">
        <v>4027</v>
      </c>
      <c r="B521" s="1" t="s">
        <v>4028</v>
      </c>
      <c r="C521" t="s">
        <v>2375</v>
      </c>
      <c r="D521" s="1" t="s">
        <v>4029</v>
      </c>
      <c r="E521" t="b">
        <v>0</v>
      </c>
      <c r="F521">
        <v>1184</v>
      </c>
      <c r="G521">
        <v>4088</v>
      </c>
      <c r="H521" t="s">
        <v>11</v>
      </c>
      <c r="I521" t="b">
        <v>0</v>
      </c>
      <c r="J521" cm="1">
        <f t="array" ref="J521">sentimentCalc(B521)</f>
        <v>0</v>
      </c>
      <c r="K521" t="str" cm="1">
        <f t="array" ref="K521">sentimentCategory(J521)</f>
        <v>Neutral</v>
      </c>
    </row>
    <row r="522" spans="1:11" ht="17" x14ac:dyDescent="0.2">
      <c r="A522" t="s">
        <v>5199</v>
      </c>
      <c r="B522" s="1" t="s">
        <v>5200</v>
      </c>
      <c r="C522" t="s">
        <v>712</v>
      </c>
      <c r="D522" s="1" t="s">
        <v>3570</v>
      </c>
      <c r="E522" t="b">
        <v>0</v>
      </c>
      <c r="F522">
        <v>2849</v>
      </c>
      <c r="G522">
        <v>510</v>
      </c>
      <c r="H522" t="s">
        <v>11</v>
      </c>
      <c r="I522" t="b">
        <v>0</v>
      </c>
      <c r="J522" cm="1">
        <f t="array" ref="J522">sentimentCalc(B522)</f>
        <v>0</v>
      </c>
      <c r="K522" t="str" cm="1">
        <f t="array" ref="K522">sentimentCategory(J522)</f>
        <v>Neutral</v>
      </c>
    </row>
    <row r="523" spans="1:11" ht="34" x14ac:dyDescent="0.2">
      <c r="A523" t="s">
        <v>4376</v>
      </c>
      <c r="B523" s="1" t="s">
        <v>4377</v>
      </c>
      <c r="C523" t="s">
        <v>4378</v>
      </c>
      <c r="D523" s="1" t="s">
        <v>2</v>
      </c>
      <c r="E523" t="b">
        <v>0</v>
      </c>
      <c r="F523">
        <v>1</v>
      </c>
      <c r="G523">
        <v>11</v>
      </c>
      <c r="H523" t="s">
        <v>11</v>
      </c>
      <c r="I523" t="b">
        <v>0</v>
      </c>
      <c r="J523" cm="1">
        <f t="array" ref="J523">sentimentCalc(B523)</f>
        <v>-1</v>
      </c>
      <c r="K523" t="str" cm="1">
        <f t="array" ref="K523">sentimentCategory(J523)</f>
        <v>Negative</v>
      </c>
    </row>
    <row r="524" spans="1:11" ht="17" x14ac:dyDescent="0.2">
      <c r="A524" t="s">
        <v>153</v>
      </c>
      <c r="B524" s="1" t="s">
        <v>154</v>
      </c>
      <c r="C524" t="s">
        <v>26</v>
      </c>
      <c r="D524" s="1" t="s">
        <v>2</v>
      </c>
      <c r="E524" t="b">
        <v>0</v>
      </c>
      <c r="F524">
        <v>3</v>
      </c>
      <c r="G524">
        <v>1</v>
      </c>
      <c r="H524" t="s">
        <v>11</v>
      </c>
      <c r="I524" t="b">
        <v>0</v>
      </c>
      <c r="J524" cm="1">
        <f t="array" ref="J524">sentimentCalc(B524)</f>
        <v>0</v>
      </c>
      <c r="K524" t="str" cm="1">
        <f t="array" ref="K524">sentimentCategory(J524)</f>
        <v>Neutral</v>
      </c>
    </row>
    <row r="525" spans="1:11" ht="17" x14ac:dyDescent="0.2">
      <c r="A525" t="s">
        <v>2839</v>
      </c>
      <c r="B525" s="1" t="s">
        <v>2840</v>
      </c>
      <c r="C525" t="s">
        <v>938</v>
      </c>
      <c r="D525" s="1" t="s">
        <v>2775</v>
      </c>
      <c r="E525" t="b">
        <v>0</v>
      </c>
      <c r="F525">
        <v>1210</v>
      </c>
      <c r="G525">
        <v>2424</v>
      </c>
      <c r="H525" t="s">
        <v>11</v>
      </c>
      <c r="I525" t="b">
        <v>0</v>
      </c>
      <c r="J525" cm="1">
        <f t="array" ref="J525">sentimentCalc(B525)</f>
        <v>0</v>
      </c>
      <c r="K525" t="str" cm="1">
        <f t="array" ref="K525">sentimentCategory(J525)</f>
        <v>Neutral</v>
      </c>
    </row>
    <row r="526" spans="1:11" ht="17" x14ac:dyDescent="0.2">
      <c r="A526" t="s">
        <v>7231</v>
      </c>
      <c r="B526" s="1" t="s">
        <v>7232</v>
      </c>
      <c r="C526" t="s">
        <v>769</v>
      </c>
      <c r="D526" s="1" t="s">
        <v>7233</v>
      </c>
      <c r="E526" t="b">
        <v>0</v>
      </c>
      <c r="F526">
        <v>243</v>
      </c>
      <c r="G526">
        <v>576</v>
      </c>
      <c r="H526" t="s">
        <v>11</v>
      </c>
      <c r="I526" t="b">
        <v>0</v>
      </c>
      <c r="J526" cm="1">
        <f t="array" ref="J526">sentimentCalc(B526)</f>
        <v>0</v>
      </c>
      <c r="K526" t="str" cm="1">
        <f t="array" ref="K526">sentimentCategory(J526)</f>
        <v>Neutral</v>
      </c>
    </row>
    <row r="527" spans="1:11" ht="17" x14ac:dyDescent="0.2">
      <c r="A527" t="s">
        <v>625</v>
      </c>
      <c r="B527" s="1" t="s">
        <v>626</v>
      </c>
      <c r="C527" t="s">
        <v>627</v>
      </c>
      <c r="D527" s="1" t="s">
        <v>2</v>
      </c>
      <c r="E527" t="b">
        <v>0</v>
      </c>
      <c r="F527">
        <v>36245</v>
      </c>
      <c r="G527">
        <v>2776</v>
      </c>
      <c r="H527" t="s">
        <v>11</v>
      </c>
      <c r="I527" t="b">
        <v>0</v>
      </c>
      <c r="J527" cm="1">
        <f t="array" ref="J527">sentimentCalc(B527)</f>
        <v>-1</v>
      </c>
      <c r="K527" t="str" cm="1">
        <f t="array" ref="K527">sentimentCategory(J527)</f>
        <v>Negative</v>
      </c>
    </row>
    <row r="528" spans="1:11" ht="17" x14ac:dyDescent="0.2">
      <c r="A528" t="s">
        <v>1886</v>
      </c>
      <c r="B528" s="1" t="s">
        <v>1887</v>
      </c>
      <c r="C528" t="s">
        <v>1888</v>
      </c>
      <c r="D528" s="1" t="s">
        <v>1889</v>
      </c>
      <c r="E528" t="b">
        <v>0</v>
      </c>
      <c r="F528">
        <v>18</v>
      </c>
      <c r="G528">
        <v>184</v>
      </c>
      <c r="H528" t="s">
        <v>11</v>
      </c>
      <c r="I528" t="b">
        <v>0</v>
      </c>
      <c r="J528" cm="1">
        <f t="array" ref="J528">sentimentCalc(B528)</f>
        <v>0</v>
      </c>
      <c r="K528" t="str" cm="1">
        <f t="array" ref="K528">sentimentCategory(J528)</f>
        <v>Neutral</v>
      </c>
    </row>
    <row r="529" spans="1:11" ht="34" x14ac:dyDescent="0.2">
      <c r="A529" t="s">
        <v>2826</v>
      </c>
      <c r="B529" s="1" t="s">
        <v>2827</v>
      </c>
      <c r="C529" t="s">
        <v>2828</v>
      </c>
      <c r="D529" s="1" t="s">
        <v>2829</v>
      </c>
      <c r="E529" t="b">
        <v>0</v>
      </c>
      <c r="F529">
        <v>3116</v>
      </c>
      <c r="G529">
        <v>95</v>
      </c>
      <c r="H529" t="s">
        <v>11</v>
      </c>
      <c r="I529" t="b">
        <v>0</v>
      </c>
      <c r="J529" cm="1">
        <f t="array" ref="J529">sentimentCalc(B529)</f>
        <v>1</v>
      </c>
      <c r="K529" t="str" cm="1">
        <f t="array" ref="K529">sentimentCategory(J529)</f>
        <v>Positive</v>
      </c>
    </row>
    <row r="530" spans="1:11" ht="17" x14ac:dyDescent="0.2">
      <c r="A530" t="s">
        <v>906</v>
      </c>
      <c r="B530" s="1" t="s">
        <v>907</v>
      </c>
      <c r="C530" t="s">
        <v>908</v>
      </c>
      <c r="D530" s="1" t="s">
        <v>2</v>
      </c>
      <c r="E530" t="b">
        <v>0</v>
      </c>
      <c r="F530">
        <v>1032</v>
      </c>
      <c r="G530">
        <v>2541</v>
      </c>
      <c r="H530" t="s">
        <v>11</v>
      </c>
      <c r="I530" t="b">
        <v>0</v>
      </c>
      <c r="J530" cm="1">
        <f t="array" ref="J530">sentimentCalc(B530)</f>
        <v>0</v>
      </c>
      <c r="K530" t="str" cm="1">
        <f t="array" ref="K530">sentimentCategory(J530)</f>
        <v>Neutral</v>
      </c>
    </row>
    <row r="531" spans="1:11" ht="17" x14ac:dyDescent="0.2">
      <c r="A531" t="s">
        <v>3680</v>
      </c>
      <c r="B531" s="1" t="s">
        <v>3681</v>
      </c>
      <c r="C531" t="s">
        <v>143</v>
      </c>
      <c r="D531" s="1" t="s">
        <v>2804</v>
      </c>
      <c r="E531" t="b">
        <v>0</v>
      </c>
      <c r="F531">
        <v>227</v>
      </c>
      <c r="G531">
        <v>219</v>
      </c>
      <c r="H531" t="s">
        <v>11</v>
      </c>
      <c r="I531" t="b">
        <v>0</v>
      </c>
      <c r="J531" cm="1">
        <f t="array" ref="J531">sentimentCalc(B531)</f>
        <v>-1</v>
      </c>
      <c r="K531" t="str" cm="1">
        <f t="array" ref="K531">sentimentCategory(J531)</f>
        <v>Negative</v>
      </c>
    </row>
    <row r="532" spans="1:11" ht="17" x14ac:dyDescent="0.2">
      <c r="A532" t="s">
        <v>5305</v>
      </c>
      <c r="B532" s="1" t="s">
        <v>5306</v>
      </c>
      <c r="C532" t="s">
        <v>2633</v>
      </c>
      <c r="D532" s="1" t="s">
        <v>168</v>
      </c>
      <c r="E532" t="b">
        <v>0</v>
      </c>
      <c r="F532">
        <v>27</v>
      </c>
      <c r="G532">
        <v>84</v>
      </c>
      <c r="H532" t="s">
        <v>11</v>
      </c>
      <c r="I532" t="b">
        <v>0</v>
      </c>
      <c r="J532" cm="1">
        <f t="array" ref="J532">sentimentCalc(B532)</f>
        <v>-1</v>
      </c>
      <c r="K532" t="str" cm="1">
        <f t="array" ref="K532">sentimentCategory(J532)</f>
        <v>Negative</v>
      </c>
    </row>
    <row r="533" spans="1:11" ht="17" x14ac:dyDescent="0.2">
      <c r="A533" t="s">
        <v>4024</v>
      </c>
      <c r="B533" s="1" t="s">
        <v>4025</v>
      </c>
      <c r="C533" t="s">
        <v>143</v>
      </c>
      <c r="D533" s="1" t="s">
        <v>2804</v>
      </c>
      <c r="E533" t="b">
        <v>0</v>
      </c>
      <c r="F533">
        <v>227</v>
      </c>
      <c r="G533">
        <v>219</v>
      </c>
      <c r="H533" t="s">
        <v>11</v>
      </c>
      <c r="I533" t="b">
        <v>0</v>
      </c>
      <c r="J533" cm="1">
        <f t="array" ref="J533">sentimentCalc(B533)</f>
        <v>0</v>
      </c>
      <c r="K533" t="str" cm="1">
        <f t="array" ref="K533">sentimentCategory(J533)</f>
        <v>Neutral</v>
      </c>
    </row>
    <row r="534" spans="1:11" ht="34" x14ac:dyDescent="0.2">
      <c r="A534" t="s">
        <v>727</v>
      </c>
      <c r="B534" s="1" t="s">
        <v>728</v>
      </c>
      <c r="C534" t="s">
        <v>729</v>
      </c>
      <c r="D534" s="1" t="s">
        <v>730</v>
      </c>
      <c r="E534" t="b">
        <v>0</v>
      </c>
      <c r="F534">
        <v>218</v>
      </c>
      <c r="G534">
        <v>686</v>
      </c>
      <c r="H534" t="s">
        <v>11</v>
      </c>
      <c r="I534" t="b">
        <v>0</v>
      </c>
      <c r="J534" cm="1">
        <f t="array" ref="J534">sentimentCalc(B534)</f>
        <v>-1</v>
      </c>
      <c r="K534" t="str" cm="1">
        <f t="array" ref="K534">sentimentCategory(J534)</f>
        <v>Negative</v>
      </c>
    </row>
    <row r="535" spans="1:11" ht="17" x14ac:dyDescent="0.2">
      <c r="A535" t="s">
        <v>1420</v>
      </c>
      <c r="B535" s="1" t="s">
        <v>1421</v>
      </c>
      <c r="C535" t="s">
        <v>1422</v>
      </c>
      <c r="D535" s="1" t="s">
        <v>1423</v>
      </c>
      <c r="E535" t="b">
        <v>0</v>
      </c>
      <c r="F535">
        <v>19</v>
      </c>
      <c r="G535">
        <v>164</v>
      </c>
      <c r="H535" t="s">
        <v>83</v>
      </c>
      <c r="I535" t="b">
        <v>0</v>
      </c>
      <c r="J535" cm="1">
        <f t="array" ref="J535">sentimentCalc(B535)</f>
        <v>0</v>
      </c>
      <c r="K535" t="str" cm="1">
        <f t="array" ref="K535">sentimentCategory(J535)</f>
        <v>Neutral</v>
      </c>
    </row>
    <row r="536" spans="1:11" ht="17" x14ac:dyDescent="0.2">
      <c r="A536" t="s">
        <v>892</v>
      </c>
      <c r="B536" s="1" t="s">
        <v>893</v>
      </c>
      <c r="C536" t="s">
        <v>894</v>
      </c>
      <c r="D536" s="1" t="s">
        <v>895</v>
      </c>
      <c r="E536" t="b">
        <v>0</v>
      </c>
      <c r="F536">
        <v>33</v>
      </c>
      <c r="G536">
        <v>26</v>
      </c>
      <c r="H536" t="s">
        <v>11</v>
      </c>
      <c r="I536" t="b">
        <v>0</v>
      </c>
      <c r="J536" cm="1">
        <f t="array" ref="J536">sentimentCalc(B536)</f>
        <v>0</v>
      </c>
      <c r="K536" t="str" cm="1">
        <f t="array" ref="K536">sentimentCategory(J536)</f>
        <v>Neutral</v>
      </c>
    </row>
    <row r="537" spans="1:11" ht="34" x14ac:dyDescent="0.2">
      <c r="A537" t="s">
        <v>4080</v>
      </c>
      <c r="B537" s="1" t="s">
        <v>4081</v>
      </c>
      <c r="C537" t="s">
        <v>4082</v>
      </c>
      <c r="D537" s="1" t="s">
        <v>4083</v>
      </c>
      <c r="E537" t="b">
        <v>0</v>
      </c>
      <c r="F537">
        <v>10</v>
      </c>
      <c r="G537">
        <v>79</v>
      </c>
      <c r="H537" t="s">
        <v>11</v>
      </c>
      <c r="I537" t="b">
        <v>0</v>
      </c>
      <c r="J537" cm="1">
        <f t="array" ref="J537">sentimentCalc(B537)</f>
        <v>1</v>
      </c>
      <c r="K537" t="str" cm="1">
        <f t="array" ref="K537">sentimentCategory(J537)</f>
        <v>Positive</v>
      </c>
    </row>
    <row r="538" spans="1:11" ht="34" x14ac:dyDescent="0.2">
      <c r="A538" t="s">
        <v>3115</v>
      </c>
      <c r="B538" s="1" t="s">
        <v>3116</v>
      </c>
      <c r="C538" t="s">
        <v>1675</v>
      </c>
      <c r="D538" s="1" t="s">
        <v>3117</v>
      </c>
      <c r="E538" t="b">
        <v>0</v>
      </c>
      <c r="F538">
        <v>22061</v>
      </c>
      <c r="G538">
        <v>93</v>
      </c>
      <c r="H538" t="s">
        <v>11</v>
      </c>
      <c r="I538" t="b">
        <v>0</v>
      </c>
      <c r="J538" cm="1">
        <f t="array" ref="J538">sentimentCalc(B538)</f>
        <v>-1</v>
      </c>
      <c r="K538" t="str" cm="1">
        <f t="array" ref="K538">sentimentCategory(J538)</f>
        <v>Negative</v>
      </c>
    </row>
    <row r="539" spans="1:11" ht="17" x14ac:dyDescent="0.2">
      <c r="A539" t="s">
        <v>5691</v>
      </c>
      <c r="B539" s="1" t="s">
        <v>5692</v>
      </c>
      <c r="C539" t="s">
        <v>584</v>
      </c>
      <c r="D539" s="1" t="s">
        <v>2</v>
      </c>
      <c r="E539" t="b">
        <v>0</v>
      </c>
      <c r="F539">
        <v>14</v>
      </c>
      <c r="G539">
        <v>77</v>
      </c>
      <c r="H539" t="s">
        <v>11</v>
      </c>
      <c r="I539" t="b">
        <v>0</v>
      </c>
      <c r="J539" cm="1">
        <f t="array" ref="J539">sentimentCalc(B539)</f>
        <v>0</v>
      </c>
      <c r="K539" t="str" cm="1">
        <f t="array" ref="K539">sentimentCategory(J539)</f>
        <v>Neutral</v>
      </c>
    </row>
    <row r="540" spans="1:11" ht="17" x14ac:dyDescent="0.2">
      <c r="A540" t="s">
        <v>3073</v>
      </c>
      <c r="B540" s="1" t="s">
        <v>3074</v>
      </c>
      <c r="C540" t="s">
        <v>461</v>
      </c>
      <c r="D540" s="1" t="s">
        <v>3075</v>
      </c>
      <c r="E540" t="b">
        <v>0</v>
      </c>
      <c r="F540">
        <v>3216</v>
      </c>
      <c r="G540">
        <v>3197</v>
      </c>
      <c r="H540" t="s">
        <v>11</v>
      </c>
      <c r="I540" t="b">
        <v>0</v>
      </c>
      <c r="J540" cm="1">
        <f t="array" ref="J540">sentimentCalc(B540)</f>
        <v>0</v>
      </c>
      <c r="K540" t="str" cm="1">
        <f t="array" ref="K540">sentimentCategory(J540)</f>
        <v>Neutral</v>
      </c>
    </row>
    <row r="541" spans="1:11" ht="17" x14ac:dyDescent="0.2">
      <c r="A541" t="s">
        <v>2593</v>
      </c>
      <c r="B541" s="1" t="s">
        <v>2594</v>
      </c>
      <c r="C541" t="s">
        <v>2595</v>
      </c>
      <c r="D541" s="1" t="s">
        <v>755</v>
      </c>
      <c r="E541" t="b">
        <v>0</v>
      </c>
      <c r="F541">
        <v>27</v>
      </c>
      <c r="G541">
        <v>28</v>
      </c>
      <c r="H541" t="s">
        <v>11</v>
      </c>
      <c r="I541" t="b">
        <v>0</v>
      </c>
      <c r="J541" cm="1">
        <f t="array" ref="J541">sentimentCalc(B541)</f>
        <v>-1</v>
      </c>
      <c r="K541" t="str" cm="1">
        <f t="array" ref="K541">sentimentCategory(J541)</f>
        <v>Negative</v>
      </c>
    </row>
    <row r="542" spans="1:11" ht="34" x14ac:dyDescent="0.2">
      <c r="A542" t="s">
        <v>2833</v>
      </c>
      <c r="B542" s="1" t="s">
        <v>2834</v>
      </c>
      <c r="C542" t="s">
        <v>108</v>
      </c>
      <c r="D542" s="1" t="s">
        <v>109</v>
      </c>
      <c r="E542" t="b">
        <v>0</v>
      </c>
      <c r="F542">
        <v>838</v>
      </c>
      <c r="G542">
        <v>899</v>
      </c>
      <c r="H542" t="s">
        <v>110</v>
      </c>
      <c r="I542" t="b">
        <v>0</v>
      </c>
      <c r="J542" cm="1">
        <f t="array" ref="J542">sentimentCalc(B542)</f>
        <v>0</v>
      </c>
      <c r="K542" t="str" cm="1">
        <f t="array" ref="K542">sentimentCategory(J542)</f>
        <v>Neutral</v>
      </c>
    </row>
    <row r="543" spans="1:11" ht="17" x14ac:dyDescent="0.2">
      <c r="A543" t="s">
        <v>4055</v>
      </c>
      <c r="B543" s="1" t="s">
        <v>4056</v>
      </c>
      <c r="C543" t="s">
        <v>4057</v>
      </c>
      <c r="D543" s="1" t="s">
        <v>4058</v>
      </c>
      <c r="E543" t="b">
        <v>0</v>
      </c>
      <c r="F543">
        <v>598</v>
      </c>
      <c r="G543">
        <v>755</v>
      </c>
      <c r="H543" t="s">
        <v>11</v>
      </c>
      <c r="I543" t="b">
        <v>0</v>
      </c>
      <c r="J543" cm="1">
        <f t="array" ref="J543">sentimentCalc(B543)</f>
        <v>0</v>
      </c>
      <c r="K543" t="str" cm="1">
        <f t="array" ref="K543">sentimentCategory(J543)</f>
        <v>Neutral</v>
      </c>
    </row>
    <row r="544" spans="1:11" ht="34" x14ac:dyDescent="0.2">
      <c r="A544" t="s">
        <v>4851</v>
      </c>
      <c r="B544" s="1" t="s">
        <v>4852</v>
      </c>
      <c r="C544" t="s">
        <v>3543</v>
      </c>
      <c r="D544" s="1" t="s">
        <v>2</v>
      </c>
      <c r="E544" t="b">
        <v>0</v>
      </c>
      <c r="F544">
        <v>115</v>
      </c>
      <c r="G544">
        <v>291</v>
      </c>
      <c r="H544" t="s">
        <v>11</v>
      </c>
      <c r="I544" t="b">
        <v>0</v>
      </c>
      <c r="J544" cm="1">
        <f t="array" ref="J544">sentimentCalc(B544)</f>
        <v>0</v>
      </c>
      <c r="K544" t="str" cm="1">
        <f t="array" ref="K544">sentimentCategory(J544)</f>
        <v>Neutral</v>
      </c>
    </row>
    <row r="545" spans="1:11" ht="17" x14ac:dyDescent="0.2">
      <c r="A545" t="s">
        <v>6477</v>
      </c>
      <c r="B545" s="1" t="s">
        <v>6478</v>
      </c>
      <c r="C545" t="s">
        <v>5032</v>
      </c>
      <c r="D545" s="1" t="s">
        <v>487</v>
      </c>
      <c r="E545" t="b">
        <v>0</v>
      </c>
      <c r="F545">
        <v>286</v>
      </c>
      <c r="G545">
        <v>354</v>
      </c>
      <c r="H545" t="s">
        <v>11</v>
      </c>
      <c r="I545" t="b">
        <v>0</v>
      </c>
      <c r="J545" cm="1">
        <f t="array" ref="J545">sentimentCalc(B545)</f>
        <v>-1</v>
      </c>
      <c r="K545" t="str" cm="1">
        <f t="array" ref="K545">sentimentCategory(J545)</f>
        <v>Negative</v>
      </c>
    </row>
    <row r="546" spans="1:11" ht="17" x14ac:dyDescent="0.2">
      <c r="A546" t="s">
        <v>1637</v>
      </c>
      <c r="B546" s="1" t="s">
        <v>1638</v>
      </c>
      <c r="C546" t="s">
        <v>1536</v>
      </c>
      <c r="D546" s="1" t="s">
        <v>848</v>
      </c>
      <c r="E546" t="b">
        <v>0</v>
      </c>
      <c r="F546">
        <v>31</v>
      </c>
      <c r="G546">
        <v>106</v>
      </c>
      <c r="H546" t="s">
        <v>11</v>
      </c>
      <c r="I546" t="b">
        <v>0</v>
      </c>
      <c r="J546" cm="1">
        <f t="array" ref="J546">sentimentCalc(B546)</f>
        <v>-1</v>
      </c>
      <c r="K546" t="str" cm="1">
        <f t="array" ref="K546">sentimentCategory(J546)</f>
        <v>Negative</v>
      </c>
    </row>
    <row r="547" spans="1:11" ht="17" x14ac:dyDescent="0.2">
      <c r="A547" t="s">
        <v>320</v>
      </c>
      <c r="B547" s="1" t="s">
        <v>321</v>
      </c>
      <c r="C547" t="s">
        <v>200</v>
      </c>
      <c r="D547" s="1" t="s">
        <v>322</v>
      </c>
      <c r="E547" t="b">
        <v>0</v>
      </c>
      <c r="F547">
        <v>705</v>
      </c>
      <c r="G547">
        <v>5001</v>
      </c>
      <c r="H547" t="s">
        <v>11</v>
      </c>
      <c r="I547" t="b">
        <v>0</v>
      </c>
      <c r="J547" cm="1">
        <f t="array" ref="J547">sentimentCalc(B547)</f>
        <v>0</v>
      </c>
      <c r="K547" t="str" cm="1">
        <f t="array" ref="K547">sentimentCategory(J547)</f>
        <v>Neutral</v>
      </c>
    </row>
    <row r="548" spans="1:11" ht="17" x14ac:dyDescent="0.2">
      <c r="A548" t="s">
        <v>1291</v>
      </c>
      <c r="B548" s="1" t="s">
        <v>1292</v>
      </c>
      <c r="C548" t="s">
        <v>167</v>
      </c>
      <c r="D548" s="1" t="s">
        <v>1293</v>
      </c>
      <c r="E548" t="b">
        <v>0</v>
      </c>
      <c r="F548">
        <v>222</v>
      </c>
      <c r="G548">
        <v>250</v>
      </c>
      <c r="H548" t="s">
        <v>11</v>
      </c>
      <c r="I548" t="b">
        <v>0</v>
      </c>
      <c r="J548" cm="1">
        <f t="array" ref="J548">sentimentCalc(B548)</f>
        <v>0</v>
      </c>
      <c r="K548" t="str" cm="1">
        <f t="array" ref="K548">sentimentCategory(J548)</f>
        <v>Neutral</v>
      </c>
    </row>
    <row r="549" spans="1:11" ht="34" x14ac:dyDescent="0.2">
      <c r="A549" t="s">
        <v>5384</v>
      </c>
      <c r="B549" s="1" t="s">
        <v>5385</v>
      </c>
      <c r="C549" t="s">
        <v>1697</v>
      </c>
      <c r="D549" s="1" t="s">
        <v>2</v>
      </c>
      <c r="E549" t="b">
        <v>0</v>
      </c>
      <c r="F549">
        <v>36</v>
      </c>
      <c r="G549">
        <v>131</v>
      </c>
      <c r="H549" t="s">
        <v>11</v>
      </c>
      <c r="I549" t="b">
        <v>0</v>
      </c>
      <c r="J549" cm="1">
        <f t="array" ref="J549">sentimentCalc(B549)</f>
        <v>0</v>
      </c>
      <c r="K549" t="str" cm="1">
        <f t="array" ref="K549">sentimentCategory(J549)</f>
        <v>Neutral</v>
      </c>
    </row>
    <row r="550" spans="1:11" ht="17" x14ac:dyDescent="0.2">
      <c r="A550" t="s">
        <v>4708</v>
      </c>
      <c r="B550" s="1" t="s">
        <v>4709</v>
      </c>
      <c r="C550" t="s">
        <v>2212</v>
      </c>
      <c r="D550" s="1" t="s">
        <v>4710</v>
      </c>
      <c r="E550" t="b">
        <v>0</v>
      </c>
      <c r="F550">
        <v>459</v>
      </c>
      <c r="G550">
        <v>272</v>
      </c>
      <c r="H550" t="s">
        <v>11</v>
      </c>
      <c r="I550" t="b">
        <v>0</v>
      </c>
      <c r="J550" cm="1">
        <f t="array" ref="J550">sentimentCalc(B550)</f>
        <v>0</v>
      </c>
      <c r="K550" t="str" cm="1">
        <f t="array" ref="K550">sentimentCategory(J550)</f>
        <v>Neutral</v>
      </c>
    </row>
    <row r="551" spans="1:11" ht="17" x14ac:dyDescent="0.2">
      <c r="A551" t="s">
        <v>5478</v>
      </c>
      <c r="B551" s="1" t="s">
        <v>5479</v>
      </c>
      <c r="C551" t="s">
        <v>5480</v>
      </c>
      <c r="D551" s="1" t="s">
        <v>5481</v>
      </c>
      <c r="E551" t="b">
        <v>0</v>
      </c>
      <c r="F551">
        <v>103</v>
      </c>
      <c r="G551">
        <v>252</v>
      </c>
      <c r="H551" t="s">
        <v>11</v>
      </c>
      <c r="I551" t="b">
        <v>0</v>
      </c>
      <c r="J551" cm="1">
        <f t="array" ref="J551">sentimentCalc(B551)</f>
        <v>0</v>
      </c>
      <c r="K551" t="str" cm="1">
        <f t="array" ref="K551">sentimentCategory(J551)</f>
        <v>Neutral</v>
      </c>
    </row>
    <row r="552" spans="1:11" ht="17" x14ac:dyDescent="0.2">
      <c r="A552" t="s">
        <v>6939</v>
      </c>
      <c r="B552" s="1" t="s">
        <v>6940</v>
      </c>
      <c r="C552" t="s">
        <v>1053</v>
      </c>
      <c r="D552" s="1" t="s">
        <v>61</v>
      </c>
      <c r="E552" t="b">
        <v>0</v>
      </c>
      <c r="F552">
        <v>259</v>
      </c>
      <c r="G552">
        <v>271</v>
      </c>
      <c r="H552" t="s">
        <v>11</v>
      </c>
      <c r="I552" t="b">
        <v>0</v>
      </c>
      <c r="J552" cm="1">
        <f t="array" ref="J552">sentimentCalc(B552)</f>
        <v>0</v>
      </c>
      <c r="K552" t="str" cm="1">
        <f t="array" ref="K552">sentimentCategory(J552)</f>
        <v>Neutral</v>
      </c>
    </row>
    <row r="553" spans="1:11" ht="17" x14ac:dyDescent="0.2">
      <c r="A553" t="s">
        <v>4102</v>
      </c>
      <c r="B553" s="1" t="s">
        <v>4103</v>
      </c>
      <c r="C553" t="s">
        <v>1320</v>
      </c>
      <c r="D553" s="1" t="s">
        <v>2</v>
      </c>
      <c r="E553" t="b">
        <v>0</v>
      </c>
      <c r="F553">
        <v>1</v>
      </c>
      <c r="G553">
        <v>29</v>
      </c>
      <c r="H553" t="s">
        <v>11</v>
      </c>
      <c r="I553" t="b">
        <v>0</v>
      </c>
      <c r="J553" cm="1">
        <f t="array" ref="J553">sentimentCalc(B553)</f>
        <v>0</v>
      </c>
      <c r="K553" t="str" cm="1">
        <f t="array" ref="K553">sentimentCategory(J553)</f>
        <v>Neutral</v>
      </c>
    </row>
    <row r="554" spans="1:11" ht="34" x14ac:dyDescent="0.2">
      <c r="A554" t="s">
        <v>6946</v>
      </c>
      <c r="B554" s="1" t="s">
        <v>6947</v>
      </c>
      <c r="C554" t="s">
        <v>6948</v>
      </c>
      <c r="D554" s="1" t="s">
        <v>6949</v>
      </c>
      <c r="E554" t="b">
        <v>0</v>
      </c>
      <c r="F554">
        <v>143</v>
      </c>
      <c r="G554">
        <v>340</v>
      </c>
      <c r="H554" t="s">
        <v>11</v>
      </c>
      <c r="I554" t="b">
        <v>0</v>
      </c>
      <c r="J554" cm="1">
        <f t="array" ref="J554">sentimentCalc(B554)</f>
        <v>-2</v>
      </c>
      <c r="K554" t="str" cm="1">
        <f t="array" ref="K554">sentimentCategory(J554)</f>
        <v>Negative</v>
      </c>
    </row>
    <row r="555" spans="1:11" ht="34" x14ac:dyDescent="0.2">
      <c r="A555" t="s">
        <v>6634</v>
      </c>
      <c r="B555" s="1" t="s">
        <v>6635</v>
      </c>
      <c r="C555" t="s">
        <v>108</v>
      </c>
      <c r="D555" s="1" t="s">
        <v>109</v>
      </c>
      <c r="E555" t="b">
        <v>0</v>
      </c>
      <c r="F555">
        <v>838</v>
      </c>
      <c r="G555">
        <v>898</v>
      </c>
      <c r="H555" t="s">
        <v>110</v>
      </c>
      <c r="I555" t="b">
        <v>0</v>
      </c>
      <c r="J555" cm="1">
        <f t="array" ref="J555">sentimentCalc(B555)</f>
        <v>0</v>
      </c>
      <c r="K555" t="str" cm="1">
        <f t="array" ref="K555">sentimentCategory(J555)</f>
        <v>Neutral</v>
      </c>
    </row>
    <row r="556" spans="1:11" ht="17" x14ac:dyDescent="0.2">
      <c r="A556" t="s">
        <v>4227</v>
      </c>
      <c r="B556" s="1" t="s">
        <v>4228</v>
      </c>
      <c r="C556" t="s">
        <v>2893</v>
      </c>
      <c r="D556" s="1" t="s">
        <v>2</v>
      </c>
      <c r="E556" t="b">
        <v>0</v>
      </c>
      <c r="F556">
        <v>126</v>
      </c>
      <c r="G556">
        <v>344</v>
      </c>
      <c r="H556" t="s">
        <v>11</v>
      </c>
      <c r="I556" t="b">
        <v>0</v>
      </c>
      <c r="J556" cm="1">
        <f t="array" ref="J556">sentimentCalc(B556)</f>
        <v>0</v>
      </c>
      <c r="K556" t="str" cm="1">
        <f t="array" ref="K556">sentimentCategory(J556)</f>
        <v>Neutral</v>
      </c>
    </row>
    <row r="557" spans="1:11" ht="34" x14ac:dyDescent="0.2">
      <c r="A557" t="s">
        <v>2948</v>
      </c>
      <c r="B557" s="1" t="s">
        <v>2949</v>
      </c>
      <c r="C557" t="s">
        <v>2950</v>
      </c>
      <c r="D557" s="1" t="s">
        <v>2</v>
      </c>
      <c r="E557" t="b">
        <v>0</v>
      </c>
      <c r="F557">
        <v>32</v>
      </c>
      <c r="G557">
        <v>229</v>
      </c>
      <c r="H557" t="s">
        <v>11</v>
      </c>
      <c r="I557" t="b">
        <v>0</v>
      </c>
      <c r="J557" cm="1">
        <f t="array" ref="J557">sentimentCalc(B557)</f>
        <v>0</v>
      </c>
      <c r="K557" t="str" cm="1">
        <f t="array" ref="K557">sentimentCategory(J557)</f>
        <v>Neutral</v>
      </c>
    </row>
    <row r="558" spans="1:11" ht="34" x14ac:dyDescent="0.2">
      <c r="A558" t="s">
        <v>4824</v>
      </c>
      <c r="B558" s="1" t="s">
        <v>4825</v>
      </c>
      <c r="C558" t="s">
        <v>200</v>
      </c>
      <c r="D558" s="1" t="s">
        <v>2</v>
      </c>
      <c r="E558" t="b">
        <v>0</v>
      </c>
      <c r="F558">
        <v>118</v>
      </c>
      <c r="G558">
        <v>384</v>
      </c>
      <c r="H558" t="s">
        <v>11</v>
      </c>
      <c r="I558" t="b">
        <v>0</v>
      </c>
      <c r="J558" cm="1">
        <f t="array" ref="J558">sentimentCalc(B558)</f>
        <v>0</v>
      </c>
      <c r="K558" t="str" cm="1">
        <f t="array" ref="K558">sentimentCategory(J558)</f>
        <v>Neutral</v>
      </c>
    </row>
    <row r="559" spans="1:11" ht="17" x14ac:dyDescent="0.2">
      <c r="A559" t="s">
        <v>5813</v>
      </c>
      <c r="B559" s="1" t="s">
        <v>5814</v>
      </c>
      <c r="C559" t="s">
        <v>736</v>
      </c>
      <c r="D559" s="1" t="s">
        <v>1768</v>
      </c>
      <c r="E559" t="b">
        <v>0</v>
      </c>
      <c r="F559">
        <v>637</v>
      </c>
      <c r="G559">
        <v>327</v>
      </c>
      <c r="H559" t="s">
        <v>11</v>
      </c>
      <c r="I559" t="b">
        <v>0</v>
      </c>
      <c r="J559" cm="1">
        <f t="array" ref="J559">sentimentCalc(B559)</f>
        <v>-1</v>
      </c>
      <c r="K559" t="str" cm="1">
        <f t="array" ref="K559">sentimentCategory(J559)</f>
        <v>Negative</v>
      </c>
    </row>
    <row r="560" spans="1:11" ht="34" x14ac:dyDescent="0.2">
      <c r="A560" t="s">
        <v>4748</v>
      </c>
      <c r="B560" s="1" t="s">
        <v>4749</v>
      </c>
      <c r="C560" t="s">
        <v>4750</v>
      </c>
      <c r="D560" s="1" t="s">
        <v>2</v>
      </c>
      <c r="E560" t="b">
        <v>0</v>
      </c>
      <c r="F560">
        <v>18</v>
      </c>
      <c r="G560">
        <v>107</v>
      </c>
      <c r="H560" t="s">
        <v>11</v>
      </c>
      <c r="I560" t="b">
        <v>0</v>
      </c>
      <c r="J560" cm="1">
        <f t="array" ref="J560">sentimentCalc(B560)</f>
        <v>0</v>
      </c>
      <c r="K560" t="str" cm="1">
        <f t="array" ref="K560">sentimentCategory(J560)</f>
        <v>Neutral</v>
      </c>
    </row>
    <row r="561" spans="1:11" ht="17" x14ac:dyDescent="0.2">
      <c r="A561" t="s">
        <v>6453</v>
      </c>
      <c r="B561" s="1" t="s">
        <v>6454</v>
      </c>
      <c r="C561" t="s">
        <v>6455</v>
      </c>
      <c r="D561" s="1" t="s">
        <v>2</v>
      </c>
      <c r="E561" t="b">
        <v>0</v>
      </c>
      <c r="F561">
        <v>66</v>
      </c>
      <c r="G561">
        <v>24</v>
      </c>
      <c r="H561" t="s">
        <v>11</v>
      </c>
      <c r="I561" t="b">
        <v>0</v>
      </c>
      <c r="J561" cm="1">
        <f t="array" ref="J561">sentimentCalc(B561)</f>
        <v>0</v>
      </c>
      <c r="K561" t="str" cm="1">
        <f t="array" ref="K561">sentimentCategory(J561)</f>
        <v>Neutral</v>
      </c>
    </row>
    <row r="562" spans="1:11" ht="17" x14ac:dyDescent="0.2">
      <c r="A562" t="s">
        <v>2237</v>
      </c>
      <c r="B562" s="1" t="s">
        <v>2238</v>
      </c>
      <c r="C562" t="s">
        <v>2239</v>
      </c>
      <c r="D562" s="1" t="s">
        <v>2240</v>
      </c>
      <c r="E562" t="b">
        <v>0</v>
      </c>
      <c r="F562">
        <v>941</v>
      </c>
      <c r="G562">
        <v>2072</v>
      </c>
      <c r="H562" t="s">
        <v>83</v>
      </c>
      <c r="I562" t="b">
        <v>0</v>
      </c>
      <c r="J562" cm="1">
        <f t="array" ref="J562">sentimentCalc(B562)</f>
        <v>0</v>
      </c>
      <c r="K562" t="str" cm="1">
        <f t="array" ref="K562">sentimentCategory(J562)</f>
        <v>Neutral</v>
      </c>
    </row>
    <row r="563" spans="1:11" ht="34" x14ac:dyDescent="0.2">
      <c r="A563" t="s">
        <v>5159</v>
      </c>
      <c r="B563" s="1" t="s">
        <v>5160</v>
      </c>
      <c r="C563" t="s">
        <v>4750</v>
      </c>
      <c r="D563" s="1" t="s">
        <v>2</v>
      </c>
      <c r="E563" t="b">
        <v>0</v>
      </c>
      <c r="F563">
        <v>18</v>
      </c>
      <c r="G563">
        <v>107</v>
      </c>
      <c r="H563" t="s">
        <v>11</v>
      </c>
      <c r="I563" t="b">
        <v>0</v>
      </c>
      <c r="J563" cm="1">
        <f t="array" ref="J563">sentimentCalc(B563)</f>
        <v>0</v>
      </c>
      <c r="K563" t="str" cm="1">
        <f t="array" ref="K563">sentimentCategory(J563)</f>
        <v>Neutral</v>
      </c>
    </row>
    <row r="564" spans="1:11" ht="17" x14ac:dyDescent="0.2">
      <c r="A564" t="s">
        <v>6882</v>
      </c>
      <c r="B564" s="1" t="s">
        <v>6883</v>
      </c>
      <c r="C564" t="s">
        <v>6884</v>
      </c>
      <c r="D564" s="1" t="s">
        <v>2</v>
      </c>
      <c r="E564" t="b">
        <v>0</v>
      </c>
      <c r="F564">
        <v>24</v>
      </c>
      <c r="G564">
        <v>152</v>
      </c>
      <c r="H564" t="s">
        <v>11</v>
      </c>
      <c r="I564" t="b">
        <v>0</v>
      </c>
      <c r="J564" cm="1">
        <f t="array" ref="J564">sentimentCalc(B564)</f>
        <v>0</v>
      </c>
      <c r="K564" t="str" cm="1">
        <f t="array" ref="K564">sentimentCategory(J564)</f>
        <v>Neutral</v>
      </c>
    </row>
    <row r="565" spans="1:11" ht="34" x14ac:dyDescent="0.2">
      <c r="A565" t="s">
        <v>5425</v>
      </c>
      <c r="B565" s="1" t="s">
        <v>5426</v>
      </c>
      <c r="C565" t="s">
        <v>3365</v>
      </c>
      <c r="D565" s="1" t="s">
        <v>3366</v>
      </c>
      <c r="E565" t="b">
        <v>0</v>
      </c>
      <c r="F565">
        <v>43</v>
      </c>
      <c r="G565">
        <v>38</v>
      </c>
      <c r="H565" t="s">
        <v>11</v>
      </c>
      <c r="I565" t="b">
        <v>0</v>
      </c>
      <c r="J565" cm="1">
        <f t="array" ref="J565">sentimentCalc(B565)</f>
        <v>-1</v>
      </c>
      <c r="K565" t="str" cm="1">
        <f t="array" ref="K565">sentimentCategory(J565)</f>
        <v>Negative</v>
      </c>
    </row>
    <row r="566" spans="1:11" ht="17" x14ac:dyDescent="0.2">
      <c r="A566" t="s">
        <v>5910</v>
      </c>
      <c r="B566" s="1" t="s">
        <v>5911</v>
      </c>
      <c r="C566" t="s">
        <v>5912</v>
      </c>
      <c r="D566" s="1" t="s">
        <v>2</v>
      </c>
      <c r="E566" t="b">
        <v>0</v>
      </c>
      <c r="F566">
        <v>28</v>
      </c>
      <c r="G566">
        <v>173</v>
      </c>
      <c r="H566" t="s">
        <v>47</v>
      </c>
      <c r="I566" t="b">
        <v>0</v>
      </c>
      <c r="J566" cm="1">
        <f t="array" ref="J566">sentimentCalc(B566)</f>
        <v>0</v>
      </c>
      <c r="K566" t="str" cm="1">
        <f t="array" ref="K566">sentimentCategory(J566)</f>
        <v>Neutral</v>
      </c>
    </row>
    <row r="567" spans="1:11" ht="34" x14ac:dyDescent="0.2">
      <c r="A567" t="s">
        <v>2230</v>
      </c>
      <c r="B567" s="1" t="s">
        <v>2231</v>
      </c>
      <c r="C567" t="s">
        <v>992</v>
      </c>
      <c r="D567" s="1" t="s">
        <v>2232</v>
      </c>
      <c r="E567" t="b">
        <v>0</v>
      </c>
      <c r="F567">
        <v>2326</v>
      </c>
      <c r="G567">
        <v>3091</v>
      </c>
      <c r="H567" t="s">
        <v>11</v>
      </c>
      <c r="I567" t="b">
        <v>0</v>
      </c>
      <c r="J567" cm="1">
        <f t="array" ref="J567">sentimentCalc(B567)</f>
        <v>0</v>
      </c>
      <c r="K567" t="str" cm="1">
        <f t="array" ref="K567">sentimentCategory(J567)</f>
        <v>Neutral</v>
      </c>
    </row>
    <row r="568" spans="1:11" ht="34" x14ac:dyDescent="0.2">
      <c r="A568" t="s">
        <v>2152</v>
      </c>
      <c r="B568" s="1" t="s">
        <v>2153</v>
      </c>
      <c r="C568" t="s">
        <v>2154</v>
      </c>
      <c r="D568" s="1" t="s">
        <v>2155</v>
      </c>
      <c r="E568" t="b">
        <v>0</v>
      </c>
      <c r="F568">
        <v>2134</v>
      </c>
      <c r="G568">
        <v>2009</v>
      </c>
      <c r="H568" t="s">
        <v>11</v>
      </c>
      <c r="I568" t="b">
        <v>0</v>
      </c>
      <c r="J568" cm="1">
        <f t="array" ref="J568">sentimentCalc(B568)</f>
        <v>1</v>
      </c>
      <c r="K568" t="str" cm="1">
        <f t="array" ref="K568">sentimentCategory(J568)</f>
        <v>Positive</v>
      </c>
    </row>
    <row r="569" spans="1:11" ht="17" x14ac:dyDescent="0.2">
      <c r="A569" t="s">
        <v>691</v>
      </c>
      <c r="B569" s="1" t="s">
        <v>692</v>
      </c>
      <c r="C569" t="s">
        <v>693</v>
      </c>
      <c r="D569" s="1" t="s">
        <v>694</v>
      </c>
      <c r="E569" t="b">
        <v>0</v>
      </c>
      <c r="F569">
        <v>1011</v>
      </c>
      <c r="G569">
        <v>2557</v>
      </c>
      <c r="H569" t="s">
        <v>11</v>
      </c>
      <c r="I569" t="b">
        <v>0</v>
      </c>
      <c r="J569" cm="1">
        <f t="array" ref="J569">sentimentCalc(B569)</f>
        <v>0</v>
      </c>
      <c r="K569" t="str" cm="1">
        <f t="array" ref="K569">sentimentCategory(J569)</f>
        <v>Neutral</v>
      </c>
    </row>
    <row r="570" spans="1:11" ht="34" x14ac:dyDescent="0.2">
      <c r="A570" t="s">
        <v>5391</v>
      </c>
      <c r="B570" s="1" t="s">
        <v>5392</v>
      </c>
      <c r="C570" t="s">
        <v>94</v>
      </c>
      <c r="D570" s="1" t="s">
        <v>5393</v>
      </c>
      <c r="E570" t="b">
        <v>0</v>
      </c>
      <c r="F570">
        <v>8592</v>
      </c>
      <c r="G570">
        <v>124</v>
      </c>
      <c r="H570" t="s">
        <v>11</v>
      </c>
      <c r="I570" t="b">
        <v>0</v>
      </c>
      <c r="J570" cm="1">
        <f t="array" ref="J570">sentimentCalc(B570)</f>
        <v>1</v>
      </c>
      <c r="K570" t="str" cm="1">
        <f t="array" ref="K570">sentimentCategory(J570)</f>
        <v>Positive</v>
      </c>
    </row>
    <row r="571" spans="1:11" ht="17" x14ac:dyDescent="0.2">
      <c r="A571" t="s">
        <v>5878</v>
      </c>
      <c r="B571" s="1" t="s">
        <v>5879</v>
      </c>
      <c r="C571" t="s">
        <v>1388</v>
      </c>
      <c r="D571" s="1" t="s">
        <v>2</v>
      </c>
      <c r="E571" t="b">
        <v>0</v>
      </c>
      <c r="F571">
        <v>1317</v>
      </c>
      <c r="G571">
        <v>171</v>
      </c>
      <c r="H571" t="s">
        <v>11</v>
      </c>
      <c r="I571" t="b">
        <v>0</v>
      </c>
      <c r="J571" cm="1">
        <f t="array" ref="J571">sentimentCalc(B571)</f>
        <v>0</v>
      </c>
      <c r="K571" t="str" cm="1">
        <f t="array" ref="K571">sentimentCategory(J571)</f>
        <v>Neutral</v>
      </c>
    </row>
    <row r="572" spans="1:11" ht="17" x14ac:dyDescent="0.2">
      <c r="A572" t="s">
        <v>1511</v>
      </c>
      <c r="B572" s="1" t="s">
        <v>1512</v>
      </c>
      <c r="C572" t="s">
        <v>289</v>
      </c>
      <c r="D572" s="1" t="s">
        <v>2</v>
      </c>
      <c r="E572" t="b">
        <v>0</v>
      </c>
      <c r="F572">
        <v>3632</v>
      </c>
      <c r="G572">
        <v>3729</v>
      </c>
      <c r="H572" t="s">
        <v>11</v>
      </c>
      <c r="I572" t="b">
        <v>0</v>
      </c>
      <c r="J572" cm="1">
        <f t="array" ref="J572">sentimentCalc(B572)</f>
        <v>0</v>
      </c>
      <c r="K572" t="str" cm="1">
        <f t="array" ref="K572">sentimentCategory(J572)</f>
        <v>Neutral</v>
      </c>
    </row>
    <row r="573" spans="1:11" ht="17" x14ac:dyDescent="0.2">
      <c r="A573" t="s">
        <v>4669</v>
      </c>
      <c r="B573" s="1" t="s">
        <v>4670</v>
      </c>
      <c r="C573" t="s">
        <v>4671</v>
      </c>
      <c r="D573" s="1" t="s">
        <v>4672</v>
      </c>
      <c r="E573" t="b">
        <v>0</v>
      </c>
      <c r="F573">
        <v>405</v>
      </c>
      <c r="G573">
        <v>392</v>
      </c>
      <c r="H573" t="s">
        <v>11</v>
      </c>
      <c r="I573" t="b">
        <v>0</v>
      </c>
      <c r="J573" cm="1">
        <f t="array" ref="J573">sentimentCalc(B573)</f>
        <v>0</v>
      </c>
      <c r="K573" t="str" cm="1">
        <f t="array" ref="K573">sentimentCategory(J573)</f>
        <v>Neutral</v>
      </c>
    </row>
    <row r="574" spans="1:11" ht="34" x14ac:dyDescent="0.2">
      <c r="A574" t="s">
        <v>5262</v>
      </c>
      <c r="B574" s="1" t="s">
        <v>5264</v>
      </c>
      <c r="C574" t="s">
        <v>2471</v>
      </c>
      <c r="D574" s="1" t="s">
        <v>2</v>
      </c>
      <c r="E574" t="b">
        <v>0</v>
      </c>
      <c r="F574">
        <v>23</v>
      </c>
      <c r="G574">
        <v>128</v>
      </c>
      <c r="H574" t="s">
        <v>11</v>
      </c>
      <c r="I574" t="b">
        <v>0</v>
      </c>
      <c r="J574" cm="1">
        <f t="array" ref="J574">sentimentCalc(B574)</f>
        <v>0</v>
      </c>
      <c r="K574" t="str" cm="1">
        <f t="array" ref="K574">sentimentCategory(J574)</f>
        <v>Neutral</v>
      </c>
    </row>
    <row r="575" spans="1:11" ht="34" x14ac:dyDescent="0.2">
      <c r="A575" t="s">
        <v>6601</v>
      </c>
      <c r="B575" s="1" t="s">
        <v>6602</v>
      </c>
      <c r="C575" t="s">
        <v>6603</v>
      </c>
      <c r="D575" s="1" t="s">
        <v>2</v>
      </c>
      <c r="E575" t="b">
        <v>0</v>
      </c>
      <c r="F575">
        <v>799</v>
      </c>
      <c r="G575">
        <v>218</v>
      </c>
      <c r="H575" t="s">
        <v>11</v>
      </c>
      <c r="I575" t="b">
        <v>0</v>
      </c>
      <c r="J575" cm="1">
        <f t="array" ref="J575">sentimentCalc(B575)</f>
        <v>0</v>
      </c>
      <c r="K575" t="str" cm="1">
        <f t="array" ref="K575">sentimentCategory(J575)</f>
        <v>Neutral</v>
      </c>
    </row>
    <row r="576" spans="1:11" ht="17" x14ac:dyDescent="0.2">
      <c r="A576" t="s">
        <v>6809</v>
      </c>
      <c r="B576" s="1" t="s">
        <v>6810</v>
      </c>
      <c r="C576" t="s">
        <v>6811</v>
      </c>
      <c r="D576" s="1" t="s">
        <v>6812</v>
      </c>
      <c r="E576" t="b">
        <v>0</v>
      </c>
      <c r="F576">
        <v>483</v>
      </c>
      <c r="G576">
        <v>496</v>
      </c>
      <c r="H576" t="s">
        <v>11</v>
      </c>
      <c r="I576" t="b">
        <v>0</v>
      </c>
      <c r="J576" cm="1">
        <f t="array" ref="J576">sentimentCalc(B576)</f>
        <v>0</v>
      </c>
      <c r="K576" t="str" cm="1">
        <f t="array" ref="K576">sentimentCategory(J576)</f>
        <v>Neutral</v>
      </c>
    </row>
    <row r="577" spans="1:11" ht="17" x14ac:dyDescent="0.2">
      <c r="A577" t="s">
        <v>790</v>
      </c>
      <c r="B577" s="1" t="s">
        <v>791</v>
      </c>
      <c r="C577" t="s">
        <v>792</v>
      </c>
      <c r="D577" s="1" t="s">
        <v>793</v>
      </c>
      <c r="E577" t="b">
        <v>0</v>
      </c>
      <c r="F577">
        <v>3889</v>
      </c>
      <c r="G577">
        <v>734</v>
      </c>
      <c r="H577" t="s">
        <v>11</v>
      </c>
      <c r="I577" t="b">
        <v>0</v>
      </c>
      <c r="J577" cm="1">
        <f t="array" ref="J577">sentimentCalc(B577)</f>
        <v>0</v>
      </c>
      <c r="K577" t="str" cm="1">
        <f t="array" ref="K577">sentimentCategory(J577)</f>
        <v>Neutral</v>
      </c>
    </row>
    <row r="578" spans="1:11" ht="17" x14ac:dyDescent="0.2">
      <c r="A578" t="s">
        <v>990</v>
      </c>
      <c r="B578" s="1" t="s">
        <v>991</v>
      </c>
      <c r="C578" t="s">
        <v>992</v>
      </c>
      <c r="D578" s="1" t="s">
        <v>2</v>
      </c>
      <c r="E578" t="b">
        <v>0</v>
      </c>
      <c r="F578">
        <v>234</v>
      </c>
      <c r="G578">
        <v>187</v>
      </c>
      <c r="H578" t="s">
        <v>11</v>
      </c>
      <c r="I578" t="b">
        <v>0</v>
      </c>
      <c r="J578" cm="1">
        <f t="array" ref="J578">sentimentCalc(B578)</f>
        <v>-1</v>
      </c>
      <c r="K578" t="str" cm="1">
        <f t="array" ref="K578">sentimentCategory(J578)</f>
        <v>Negative</v>
      </c>
    </row>
    <row r="579" spans="1:11" ht="17" x14ac:dyDescent="0.2">
      <c r="A579" t="s">
        <v>2393</v>
      </c>
      <c r="B579" s="1" t="s">
        <v>2394</v>
      </c>
      <c r="C579" t="s">
        <v>769</v>
      </c>
      <c r="D579" s="1" t="s">
        <v>2395</v>
      </c>
      <c r="E579" t="b">
        <v>0</v>
      </c>
      <c r="F579">
        <v>190</v>
      </c>
      <c r="G579">
        <v>441</v>
      </c>
      <c r="H579" t="s">
        <v>11</v>
      </c>
      <c r="I579" t="b">
        <v>0</v>
      </c>
      <c r="J579" cm="1">
        <f t="array" ref="J579">sentimentCalc(B579)</f>
        <v>0</v>
      </c>
      <c r="K579" t="str" cm="1">
        <f t="array" ref="K579">sentimentCategory(J579)</f>
        <v>Neutral</v>
      </c>
    </row>
    <row r="580" spans="1:11" ht="34" x14ac:dyDescent="0.2">
      <c r="A580" t="s">
        <v>1427</v>
      </c>
      <c r="B580" s="1" t="s">
        <v>1428</v>
      </c>
      <c r="C580" t="s">
        <v>526</v>
      </c>
      <c r="D580" s="1" t="s">
        <v>2</v>
      </c>
      <c r="E580" t="b">
        <v>0</v>
      </c>
      <c r="F580">
        <v>1</v>
      </c>
      <c r="G580">
        <v>48</v>
      </c>
      <c r="H580" t="s">
        <v>11</v>
      </c>
      <c r="I580" t="b">
        <v>0</v>
      </c>
      <c r="J580" cm="1">
        <f t="array" ref="J580">sentimentCalc(B580)</f>
        <v>0</v>
      </c>
      <c r="K580" t="str" cm="1">
        <f t="array" ref="K580">sentimentCategory(J580)</f>
        <v>Neutral</v>
      </c>
    </row>
    <row r="581" spans="1:11" ht="17" x14ac:dyDescent="0.2">
      <c r="A581" t="s">
        <v>3331</v>
      </c>
      <c r="B581" s="1" t="s">
        <v>3332</v>
      </c>
      <c r="C581" t="s">
        <v>3333</v>
      </c>
      <c r="D581" s="1" t="s">
        <v>3334</v>
      </c>
      <c r="E581" t="b">
        <v>0</v>
      </c>
      <c r="F581">
        <v>532</v>
      </c>
      <c r="G581">
        <v>467</v>
      </c>
      <c r="H581" t="s">
        <v>11</v>
      </c>
      <c r="I581" t="b">
        <v>0</v>
      </c>
      <c r="J581" cm="1">
        <f t="array" ref="J581">sentimentCalc(B581)</f>
        <v>0</v>
      </c>
      <c r="K581" t="str" cm="1">
        <f t="array" ref="K581">sentimentCategory(J581)</f>
        <v>Neutral</v>
      </c>
    </row>
    <row r="582" spans="1:11" ht="17" x14ac:dyDescent="0.2">
      <c r="A582" t="s">
        <v>2883</v>
      </c>
      <c r="B582" s="1" t="s">
        <v>2884</v>
      </c>
      <c r="C582" t="s">
        <v>1197</v>
      </c>
      <c r="D582" s="1" t="s">
        <v>2</v>
      </c>
      <c r="E582" t="b">
        <v>0</v>
      </c>
      <c r="F582">
        <v>287</v>
      </c>
      <c r="G582">
        <v>109</v>
      </c>
      <c r="H582" t="s">
        <v>11</v>
      </c>
      <c r="I582" t="b">
        <v>0</v>
      </c>
      <c r="J582" cm="1">
        <f t="array" ref="J582">sentimentCalc(B582)</f>
        <v>0</v>
      </c>
      <c r="K582" t="str" cm="1">
        <f t="array" ref="K582">sentimentCategory(J582)</f>
        <v>Neutral</v>
      </c>
    </row>
    <row r="583" spans="1:11" ht="17" x14ac:dyDescent="0.2">
      <c r="A583" t="s">
        <v>7209</v>
      </c>
      <c r="B583" s="1" t="s">
        <v>7210</v>
      </c>
      <c r="C583" t="s">
        <v>7211</v>
      </c>
      <c r="D583" s="1" t="s">
        <v>2</v>
      </c>
      <c r="E583" t="b">
        <v>0</v>
      </c>
      <c r="F583">
        <v>11</v>
      </c>
      <c r="G583">
        <v>1208</v>
      </c>
      <c r="H583" t="s">
        <v>3</v>
      </c>
      <c r="I583" t="b">
        <v>0</v>
      </c>
      <c r="J583" cm="1">
        <f t="array" ref="J583">sentimentCalc(B583)</f>
        <v>0</v>
      </c>
      <c r="K583" t="str" cm="1">
        <f t="array" ref="K583">sentimentCategory(J583)</f>
        <v>Neutral</v>
      </c>
    </row>
    <row r="584" spans="1:11" ht="17" x14ac:dyDescent="0.2">
      <c r="A584" t="s">
        <v>5664</v>
      </c>
      <c r="B584" s="1" t="s">
        <v>5665</v>
      </c>
      <c r="C584" t="s">
        <v>1583</v>
      </c>
      <c r="D584" s="1" t="s">
        <v>2</v>
      </c>
      <c r="E584" t="b">
        <v>0</v>
      </c>
      <c r="F584">
        <v>49</v>
      </c>
      <c r="G584">
        <v>53</v>
      </c>
      <c r="H584" t="s">
        <v>11</v>
      </c>
      <c r="I584" t="b">
        <v>0</v>
      </c>
      <c r="J584" cm="1">
        <f t="array" ref="J584">sentimentCalc(B584)</f>
        <v>0</v>
      </c>
      <c r="K584" t="str" cm="1">
        <f t="array" ref="K584">sentimentCategory(J584)</f>
        <v>Neutral</v>
      </c>
    </row>
    <row r="585" spans="1:11" ht="17" x14ac:dyDescent="0.2">
      <c r="A585" t="s">
        <v>2456</v>
      </c>
      <c r="B585" s="1" t="s">
        <v>2457</v>
      </c>
      <c r="C585" t="s">
        <v>2458</v>
      </c>
      <c r="D585" s="1" t="s">
        <v>659</v>
      </c>
      <c r="E585" t="b">
        <v>0</v>
      </c>
      <c r="F585">
        <v>816</v>
      </c>
      <c r="G585">
        <v>1145</v>
      </c>
      <c r="H585" t="s">
        <v>11</v>
      </c>
      <c r="I585" t="b">
        <v>0</v>
      </c>
      <c r="J585" cm="1">
        <f t="array" ref="J585">sentimentCalc(B585)</f>
        <v>0</v>
      </c>
      <c r="K585" t="str" cm="1">
        <f t="array" ref="K585">sentimentCategory(J585)</f>
        <v>Neutral</v>
      </c>
    </row>
    <row r="586" spans="1:11" ht="17" x14ac:dyDescent="0.2">
      <c r="A586" t="s">
        <v>1016</v>
      </c>
      <c r="B586" s="1" t="s">
        <v>1017</v>
      </c>
      <c r="C586" t="s">
        <v>279</v>
      </c>
      <c r="D586" s="1" t="s">
        <v>2</v>
      </c>
      <c r="E586" t="b">
        <v>0</v>
      </c>
      <c r="F586">
        <v>67</v>
      </c>
      <c r="G586">
        <v>9</v>
      </c>
      <c r="H586" t="s">
        <v>11</v>
      </c>
      <c r="I586" t="b">
        <v>0</v>
      </c>
      <c r="J586" cm="1">
        <f t="array" ref="J586">sentimentCalc(B586)</f>
        <v>0</v>
      </c>
      <c r="K586" t="str" cm="1">
        <f t="array" ref="K586">sentimentCategory(J586)</f>
        <v>Neutral</v>
      </c>
    </row>
    <row r="587" spans="1:11" ht="17" x14ac:dyDescent="0.2">
      <c r="A587" t="s">
        <v>2411</v>
      </c>
      <c r="B587" s="1" t="s">
        <v>2412</v>
      </c>
      <c r="C587" t="s">
        <v>2413</v>
      </c>
      <c r="D587" s="1" t="s">
        <v>2</v>
      </c>
      <c r="E587" t="b">
        <v>0</v>
      </c>
      <c r="F587">
        <v>48</v>
      </c>
      <c r="G587">
        <v>694</v>
      </c>
      <c r="H587" t="s">
        <v>11</v>
      </c>
      <c r="I587" t="b">
        <v>0</v>
      </c>
      <c r="J587" cm="1">
        <f t="array" ref="J587">sentimentCalc(B587)</f>
        <v>-1</v>
      </c>
      <c r="K587" t="str" cm="1">
        <f t="array" ref="K587">sentimentCategory(J587)</f>
        <v>Negative</v>
      </c>
    </row>
    <row r="588" spans="1:11" ht="17" x14ac:dyDescent="0.2">
      <c r="A588" t="s">
        <v>4635</v>
      </c>
      <c r="B588" s="1" t="s">
        <v>4636</v>
      </c>
      <c r="C588" t="s">
        <v>311</v>
      </c>
      <c r="D588" s="1" t="s">
        <v>2452</v>
      </c>
      <c r="E588" t="b">
        <v>0</v>
      </c>
      <c r="F588">
        <v>24</v>
      </c>
      <c r="G588">
        <v>150</v>
      </c>
      <c r="H588" t="s">
        <v>11</v>
      </c>
      <c r="I588" t="b">
        <v>0</v>
      </c>
      <c r="J588" cm="1">
        <f t="array" ref="J588">sentimentCalc(B588)</f>
        <v>0</v>
      </c>
      <c r="K588" t="str" cm="1">
        <f t="array" ref="K588">sentimentCategory(J588)</f>
        <v>Neutral</v>
      </c>
    </row>
    <row r="589" spans="1:11" ht="17" x14ac:dyDescent="0.2">
      <c r="A589" t="s">
        <v>6151</v>
      </c>
      <c r="B589" s="1" t="s">
        <v>6152</v>
      </c>
      <c r="C589" t="s">
        <v>6153</v>
      </c>
      <c r="D589" s="1" t="s">
        <v>6154</v>
      </c>
      <c r="E589" t="b">
        <v>0</v>
      </c>
      <c r="F589">
        <v>1786</v>
      </c>
      <c r="G589">
        <v>3069</v>
      </c>
      <c r="H589" t="s">
        <v>11</v>
      </c>
      <c r="I589" t="b">
        <v>0</v>
      </c>
      <c r="J589" cm="1">
        <f t="array" ref="J589">sentimentCalc(B589)</f>
        <v>1</v>
      </c>
      <c r="K589" t="str" cm="1">
        <f t="array" ref="K589">sentimentCategory(J589)</f>
        <v>Positive</v>
      </c>
    </row>
    <row r="590" spans="1:11" ht="17" x14ac:dyDescent="0.2">
      <c r="A590" t="s">
        <v>2185</v>
      </c>
      <c r="B590" s="1" t="s">
        <v>2186</v>
      </c>
      <c r="C590" t="s">
        <v>2187</v>
      </c>
      <c r="D590" s="1" t="s">
        <v>2</v>
      </c>
      <c r="E590" t="b">
        <v>0</v>
      </c>
      <c r="F590">
        <v>213</v>
      </c>
      <c r="G590">
        <v>1423</v>
      </c>
      <c r="H590" t="s">
        <v>11</v>
      </c>
      <c r="I590" t="b">
        <v>0</v>
      </c>
      <c r="J590" cm="1">
        <f t="array" ref="J590">sentimentCalc(B590)</f>
        <v>0</v>
      </c>
      <c r="K590" t="str" cm="1">
        <f t="array" ref="K590">sentimentCategory(J590)</f>
        <v>Neutral</v>
      </c>
    </row>
    <row r="591" spans="1:11" ht="17" x14ac:dyDescent="0.2">
      <c r="A591" t="s">
        <v>4913</v>
      </c>
      <c r="B591" s="1" t="s">
        <v>4914</v>
      </c>
      <c r="C591" t="s">
        <v>1536</v>
      </c>
      <c r="D591" s="1" t="s">
        <v>2</v>
      </c>
      <c r="E591" t="b">
        <v>0</v>
      </c>
      <c r="F591">
        <v>357</v>
      </c>
      <c r="G591">
        <v>40</v>
      </c>
      <c r="H591" t="s">
        <v>11</v>
      </c>
      <c r="I591" t="b">
        <v>0</v>
      </c>
      <c r="J591" cm="1">
        <f t="array" ref="J591">sentimentCalc(B591)</f>
        <v>0</v>
      </c>
      <c r="K591" t="str" cm="1">
        <f t="array" ref="K591">sentimentCategory(J591)</f>
        <v>Neutral</v>
      </c>
    </row>
    <row r="592" spans="1:11" ht="17" x14ac:dyDescent="0.2">
      <c r="A592" t="s">
        <v>1346</v>
      </c>
      <c r="B592" s="1" t="s">
        <v>1347</v>
      </c>
      <c r="C592" t="s">
        <v>1034</v>
      </c>
      <c r="D592" s="1" t="s">
        <v>1348</v>
      </c>
      <c r="E592" t="b">
        <v>0</v>
      </c>
      <c r="F592">
        <v>13</v>
      </c>
      <c r="G592">
        <v>46</v>
      </c>
      <c r="H592" t="s">
        <v>3</v>
      </c>
      <c r="I592" t="b">
        <v>0</v>
      </c>
      <c r="J592" cm="1">
        <f t="array" ref="J592">sentimentCalc(B592)</f>
        <v>-1</v>
      </c>
      <c r="K592" t="str" cm="1">
        <f t="array" ref="K592">sentimentCategory(J592)</f>
        <v>Negative</v>
      </c>
    </row>
    <row r="593" spans="1:11" ht="17" x14ac:dyDescent="0.2">
      <c r="A593" t="s">
        <v>6595</v>
      </c>
      <c r="B593" s="1" t="s">
        <v>6596</v>
      </c>
      <c r="C593" t="s">
        <v>5439</v>
      </c>
      <c r="D593" s="1" t="s">
        <v>6597</v>
      </c>
      <c r="E593" t="b">
        <v>0</v>
      </c>
      <c r="F593">
        <v>351</v>
      </c>
      <c r="G593">
        <v>1742</v>
      </c>
      <c r="H593" t="s">
        <v>11</v>
      </c>
      <c r="I593" t="b">
        <v>0</v>
      </c>
      <c r="J593" cm="1">
        <f t="array" ref="J593">sentimentCalc(B593)</f>
        <v>0</v>
      </c>
      <c r="K593" t="str" cm="1">
        <f t="array" ref="K593">sentimentCategory(J593)</f>
        <v>Neutral</v>
      </c>
    </row>
    <row r="594" spans="1:11" ht="34" x14ac:dyDescent="0.2">
      <c r="A594" t="s">
        <v>4836</v>
      </c>
      <c r="B594" s="1" t="s">
        <v>4837</v>
      </c>
      <c r="C594" t="s">
        <v>3282</v>
      </c>
      <c r="D594" s="1" t="s">
        <v>418</v>
      </c>
      <c r="E594" t="b">
        <v>0</v>
      </c>
      <c r="F594">
        <v>211</v>
      </c>
      <c r="G594">
        <v>393</v>
      </c>
      <c r="H594" t="s">
        <v>11</v>
      </c>
      <c r="I594" t="b">
        <v>0</v>
      </c>
      <c r="J594" cm="1">
        <f t="array" ref="J594">sentimentCalc(B594)</f>
        <v>0</v>
      </c>
      <c r="K594" t="str" cm="1">
        <f t="array" ref="K594">sentimentCategory(J594)</f>
        <v>Neutral</v>
      </c>
    </row>
    <row r="595" spans="1:11" ht="17" x14ac:dyDescent="0.2">
      <c r="A595" t="s">
        <v>1709</v>
      </c>
      <c r="B595" s="1" t="s">
        <v>1710</v>
      </c>
      <c r="C595" t="s">
        <v>1058</v>
      </c>
      <c r="D595" s="1" t="s">
        <v>1711</v>
      </c>
      <c r="E595" t="b">
        <v>0</v>
      </c>
      <c r="F595">
        <v>24309</v>
      </c>
      <c r="G595">
        <v>3348</v>
      </c>
      <c r="H595" t="s">
        <v>11</v>
      </c>
      <c r="I595" t="b">
        <v>0</v>
      </c>
      <c r="J595" cm="1">
        <f t="array" ref="J595">sentimentCalc(B595)</f>
        <v>0</v>
      </c>
      <c r="K595" t="str" cm="1">
        <f t="array" ref="K595">sentimentCategory(J595)</f>
        <v>Neutral</v>
      </c>
    </row>
    <row r="596" spans="1:11" ht="17" x14ac:dyDescent="0.2">
      <c r="A596" t="s">
        <v>2488</v>
      </c>
      <c r="B596" s="1" t="s">
        <v>2489</v>
      </c>
      <c r="C596" t="s">
        <v>554</v>
      </c>
      <c r="D596" s="1" t="s">
        <v>2</v>
      </c>
      <c r="E596" t="b">
        <v>0</v>
      </c>
      <c r="F596">
        <v>6</v>
      </c>
      <c r="G596">
        <v>24</v>
      </c>
      <c r="H596" t="s">
        <v>641</v>
      </c>
      <c r="I596" t="b">
        <v>0</v>
      </c>
      <c r="J596" cm="1">
        <f t="array" ref="J596">sentimentCalc(B596)</f>
        <v>0</v>
      </c>
      <c r="K596" t="str" cm="1">
        <f t="array" ref="K596">sentimentCategory(J596)</f>
        <v>Neutral</v>
      </c>
    </row>
    <row r="597" spans="1:11" ht="34" x14ac:dyDescent="0.2">
      <c r="A597" t="s">
        <v>1485</v>
      </c>
      <c r="B597" s="1" t="s">
        <v>1486</v>
      </c>
      <c r="C597" t="s">
        <v>1487</v>
      </c>
      <c r="D597" s="1" t="s">
        <v>1488</v>
      </c>
      <c r="E597" t="b">
        <v>0</v>
      </c>
      <c r="F597">
        <v>95</v>
      </c>
      <c r="G597">
        <v>297</v>
      </c>
      <c r="H597" t="s">
        <v>11</v>
      </c>
      <c r="I597" t="b">
        <v>0</v>
      </c>
      <c r="J597" cm="1">
        <f t="array" ref="J597">sentimentCalc(B597)</f>
        <v>0</v>
      </c>
      <c r="K597" t="str" cm="1">
        <f t="array" ref="K597">sentimentCategory(J597)</f>
        <v>Neutral</v>
      </c>
    </row>
    <row r="598" spans="1:11" ht="34" x14ac:dyDescent="0.2">
      <c r="A598" t="s">
        <v>800</v>
      </c>
      <c r="B598" s="1" t="s">
        <v>801</v>
      </c>
      <c r="C598" t="s">
        <v>802</v>
      </c>
      <c r="D598" s="1" t="s">
        <v>803</v>
      </c>
      <c r="E598" t="b">
        <v>0</v>
      </c>
      <c r="F598">
        <v>1544</v>
      </c>
      <c r="G598">
        <v>702</v>
      </c>
      <c r="H598" t="s">
        <v>11</v>
      </c>
      <c r="I598" t="b">
        <v>0</v>
      </c>
      <c r="J598" cm="1">
        <f t="array" ref="J598">sentimentCalc(B598)</f>
        <v>1</v>
      </c>
      <c r="K598" t="str" cm="1">
        <f t="array" ref="K598">sentimentCategory(J598)</f>
        <v>Positive</v>
      </c>
    </row>
    <row r="599" spans="1:11" ht="34" x14ac:dyDescent="0.2">
      <c r="A599" t="s">
        <v>3367</v>
      </c>
      <c r="B599" s="1" t="s">
        <v>3368</v>
      </c>
      <c r="C599" t="s">
        <v>1183</v>
      </c>
      <c r="D599" s="1" t="s">
        <v>3369</v>
      </c>
      <c r="E599" t="b">
        <v>0</v>
      </c>
      <c r="F599">
        <v>182</v>
      </c>
      <c r="G599">
        <v>2410</v>
      </c>
      <c r="H599" t="s">
        <v>11</v>
      </c>
      <c r="I599" t="b">
        <v>0</v>
      </c>
      <c r="J599" cm="1">
        <f t="array" ref="J599">sentimentCalc(B599)</f>
        <v>-2</v>
      </c>
      <c r="K599" t="str" cm="1">
        <f t="array" ref="K599">sentimentCategory(J599)</f>
        <v>Negative</v>
      </c>
    </row>
    <row r="600" spans="1:11" ht="17" x14ac:dyDescent="0.2">
      <c r="A600" t="s">
        <v>5722</v>
      </c>
      <c r="B600" s="1" t="s">
        <v>5723</v>
      </c>
      <c r="C600" t="s">
        <v>2661</v>
      </c>
      <c r="D600" s="1" t="s">
        <v>2</v>
      </c>
      <c r="E600" t="b">
        <v>0</v>
      </c>
      <c r="F600">
        <v>35</v>
      </c>
      <c r="G600">
        <v>68</v>
      </c>
      <c r="H600" t="s">
        <v>11</v>
      </c>
      <c r="I600" t="b">
        <v>0</v>
      </c>
      <c r="J600" cm="1">
        <f t="array" ref="J600">sentimentCalc(B600)</f>
        <v>0</v>
      </c>
      <c r="K600" t="str" cm="1">
        <f t="array" ref="K600">sentimentCategory(J600)</f>
        <v>Neutral</v>
      </c>
    </row>
    <row r="601" spans="1:11" ht="34" x14ac:dyDescent="0.2">
      <c r="A601" t="s">
        <v>2725</v>
      </c>
      <c r="B601" s="1" t="s">
        <v>2726</v>
      </c>
      <c r="C601" t="s">
        <v>349</v>
      </c>
      <c r="D601" s="1" t="s">
        <v>2</v>
      </c>
      <c r="E601" t="b">
        <v>0</v>
      </c>
      <c r="F601">
        <v>6</v>
      </c>
      <c r="G601">
        <v>77</v>
      </c>
      <c r="H601" t="s">
        <v>11</v>
      </c>
      <c r="I601" t="b">
        <v>0</v>
      </c>
      <c r="J601" cm="1">
        <f t="array" ref="J601">sentimentCalc(B601)</f>
        <v>-4</v>
      </c>
      <c r="K601" t="str" cm="1">
        <f t="array" ref="K601">sentimentCategory(J601)</f>
        <v>Negative</v>
      </c>
    </row>
    <row r="602" spans="1:11" ht="17" x14ac:dyDescent="0.2">
      <c r="A602" t="s">
        <v>179</v>
      </c>
      <c r="B602" s="1" t="s">
        <v>180</v>
      </c>
      <c r="C602" t="s">
        <v>181</v>
      </c>
      <c r="D602" s="1" t="s">
        <v>2</v>
      </c>
      <c r="E602" t="b">
        <v>0</v>
      </c>
      <c r="F602">
        <v>25</v>
      </c>
      <c r="G602">
        <v>257</v>
      </c>
      <c r="H602" t="s">
        <v>11</v>
      </c>
      <c r="I602" t="b">
        <v>0</v>
      </c>
      <c r="J602" cm="1">
        <f t="array" ref="J602">sentimentCalc(B602)</f>
        <v>1</v>
      </c>
      <c r="K602" t="str" cm="1">
        <f t="array" ref="K602">sentimentCategory(J602)</f>
        <v>Positive</v>
      </c>
    </row>
    <row r="603" spans="1:11" ht="17" x14ac:dyDescent="0.2">
      <c r="A603" t="s">
        <v>3854</v>
      </c>
      <c r="B603" s="1" t="s">
        <v>3855</v>
      </c>
      <c r="C603" t="s">
        <v>181</v>
      </c>
      <c r="D603" s="1" t="s">
        <v>3856</v>
      </c>
      <c r="E603" t="b">
        <v>0</v>
      </c>
      <c r="F603">
        <v>756</v>
      </c>
      <c r="G603">
        <v>745</v>
      </c>
      <c r="H603" t="s">
        <v>11</v>
      </c>
      <c r="I603" t="b">
        <v>0</v>
      </c>
      <c r="J603" cm="1">
        <f t="array" ref="J603">sentimentCalc(B603)</f>
        <v>0</v>
      </c>
      <c r="K603" t="str" cm="1">
        <f t="array" ref="K603">sentimentCategory(J603)</f>
        <v>Neutral</v>
      </c>
    </row>
    <row r="604" spans="1:11" ht="34" x14ac:dyDescent="0.2">
      <c r="A604" t="s">
        <v>6974</v>
      </c>
      <c r="B604" s="1" t="s">
        <v>6975</v>
      </c>
      <c r="C604" t="s">
        <v>79</v>
      </c>
      <c r="D604" s="1" t="s">
        <v>4773</v>
      </c>
      <c r="E604" t="b">
        <v>1</v>
      </c>
      <c r="F604">
        <v>33555</v>
      </c>
      <c r="G604">
        <v>84</v>
      </c>
      <c r="H604" t="s">
        <v>11</v>
      </c>
      <c r="I604" t="b">
        <v>0</v>
      </c>
      <c r="J604" cm="1">
        <f t="array" ref="J604">sentimentCalc(B604)</f>
        <v>0</v>
      </c>
      <c r="K604" t="str" cm="1">
        <f t="array" ref="K604">sentimentCategory(J604)</f>
        <v>Neutral</v>
      </c>
    </row>
    <row r="605" spans="1:11" ht="17" x14ac:dyDescent="0.2">
      <c r="A605" t="s">
        <v>714</v>
      </c>
      <c r="B605" s="1" t="s">
        <v>715</v>
      </c>
      <c r="C605" t="s">
        <v>716</v>
      </c>
      <c r="D605" s="1" t="s">
        <v>717</v>
      </c>
      <c r="E605" t="b">
        <v>0</v>
      </c>
      <c r="F605">
        <v>3968</v>
      </c>
      <c r="G605">
        <v>3419</v>
      </c>
      <c r="H605" t="s">
        <v>11</v>
      </c>
      <c r="I605" t="b">
        <v>0</v>
      </c>
      <c r="J605" cm="1">
        <f t="array" ref="J605">sentimentCalc(B605)</f>
        <v>-1</v>
      </c>
      <c r="K605" t="str" cm="1">
        <f t="array" ref="K605">sentimentCategory(J605)</f>
        <v>Negative</v>
      </c>
    </row>
    <row r="606" spans="1:11" ht="17" x14ac:dyDescent="0.2">
      <c r="A606" t="s">
        <v>5570</v>
      </c>
      <c r="B606" s="1" t="s">
        <v>5571</v>
      </c>
      <c r="C606" t="s">
        <v>222</v>
      </c>
      <c r="D606" s="1" t="s">
        <v>223</v>
      </c>
      <c r="E606" t="b">
        <v>0</v>
      </c>
      <c r="F606">
        <v>9231</v>
      </c>
      <c r="G606">
        <v>7170</v>
      </c>
      <c r="H606" t="s">
        <v>11</v>
      </c>
      <c r="I606" t="b">
        <v>0</v>
      </c>
      <c r="J606" cm="1">
        <f t="array" ref="J606">sentimentCalc(B606)</f>
        <v>0</v>
      </c>
      <c r="K606" t="str" cm="1">
        <f t="array" ref="K606">sentimentCategory(J606)</f>
        <v>Neutral</v>
      </c>
    </row>
    <row r="607" spans="1:11" ht="34" x14ac:dyDescent="0.2">
      <c r="A607" t="s">
        <v>1581</v>
      </c>
      <c r="B607" s="1" t="s">
        <v>1582</v>
      </c>
      <c r="C607" t="s">
        <v>1583</v>
      </c>
      <c r="D607" s="1" t="s">
        <v>1584</v>
      </c>
      <c r="E607" t="b">
        <v>0</v>
      </c>
      <c r="F607">
        <v>312</v>
      </c>
      <c r="G607">
        <v>402</v>
      </c>
      <c r="H607" t="s">
        <v>11</v>
      </c>
      <c r="I607" t="b">
        <v>0</v>
      </c>
      <c r="J607" cm="1">
        <f t="array" ref="J607">sentimentCalc(B607)</f>
        <v>0</v>
      </c>
      <c r="K607" t="str" cm="1">
        <f t="array" ref="K607">sentimentCategory(J607)</f>
        <v>Neutral</v>
      </c>
    </row>
    <row r="608" spans="1:11" ht="34" x14ac:dyDescent="0.2">
      <c r="A608" t="s">
        <v>4834</v>
      </c>
      <c r="B608" s="1" t="s">
        <v>4835</v>
      </c>
      <c r="C608" t="s">
        <v>3333</v>
      </c>
      <c r="D608" s="1" t="s">
        <v>2561</v>
      </c>
      <c r="E608" t="b">
        <v>0</v>
      </c>
      <c r="F608">
        <v>2205</v>
      </c>
      <c r="G608">
        <v>1079</v>
      </c>
      <c r="H608" t="s">
        <v>11</v>
      </c>
      <c r="I608" t="b">
        <v>0</v>
      </c>
      <c r="J608" cm="1">
        <f t="array" ref="J608">sentimentCalc(B608)</f>
        <v>0</v>
      </c>
      <c r="K608" t="str" cm="1">
        <f t="array" ref="K608">sentimentCategory(J608)</f>
        <v>Neutral</v>
      </c>
    </row>
    <row r="609" spans="1:11" ht="34" x14ac:dyDescent="0.2">
      <c r="A609" t="s">
        <v>3008</v>
      </c>
      <c r="B609" s="1" t="s">
        <v>3009</v>
      </c>
      <c r="C609" t="s">
        <v>1654</v>
      </c>
      <c r="D609" s="1" t="s">
        <v>1288</v>
      </c>
      <c r="E609" t="b">
        <v>0</v>
      </c>
      <c r="F609">
        <v>938</v>
      </c>
      <c r="G609">
        <v>294</v>
      </c>
      <c r="H609" t="s">
        <v>110</v>
      </c>
      <c r="I609" t="b">
        <v>0</v>
      </c>
      <c r="J609" cm="1">
        <f t="array" ref="J609">sentimentCalc(B609)</f>
        <v>0</v>
      </c>
      <c r="K609" t="str" cm="1">
        <f t="array" ref="K609">sentimentCategory(J609)</f>
        <v>Neutral</v>
      </c>
    </row>
    <row r="610" spans="1:11" ht="17" x14ac:dyDescent="0.2">
      <c r="A610" t="s">
        <v>3547</v>
      </c>
      <c r="B610" s="1" t="s">
        <v>3548</v>
      </c>
      <c r="C610" t="s">
        <v>2102</v>
      </c>
      <c r="D610" s="1" t="s">
        <v>2</v>
      </c>
      <c r="E610" t="b">
        <v>0</v>
      </c>
      <c r="F610">
        <v>17</v>
      </c>
      <c r="G610">
        <v>43</v>
      </c>
      <c r="H610" t="s">
        <v>11</v>
      </c>
      <c r="I610" t="b">
        <v>0</v>
      </c>
      <c r="J610" cm="1">
        <f t="array" ref="J610">sentimentCalc(B610)</f>
        <v>-2</v>
      </c>
      <c r="K610" t="str" cm="1">
        <f t="array" ref="K610">sentimentCategory(J610)</f>
        <v>Negative</v>
      </c>
    </row>
    <row r="611" spans="1:11" ht="34" x14ac:dyDescent="0.2">
      <c r="A611" t="s">
        <v>6485</v>
      </c>
      <c r="B611" s="1" t="s">
        <v>6486</v>
      </c>
      <c r="C611" t="s">
        <v>1263</v>
      </c>
      <c r="D611" s="1" t="s">
        <v>6481</v>
      </c>
      <c r="E611" t="b">
        <v>0</v>
      </c>
      <c r="F611">
        <v>469</v>
      </c>
      <c r="G611">
        <v>17</v>
      </c>
      <c r="H611" t="s">
        <v>11</v>
      </c>
      <c r="I611" t="b">
        <v>0</v>
      </c>
      <c r="J611" cm="1">
        <f t="array" ref="J611">sentimentCalc(B611)</f>
        <v>0</v>
      </c>
      <c r="K611" t="str" cm="1">
        <f t="array" ref="K611">sentimentCategory(J611)</f>
        <v>Neutral</v>
      </c>
    </row>
    <row r="612" spans="1:11" ht="34" x14ac:dyDescent="0.2">
      <c r="A612" t="s">
        <v>6084</v>
      </c>
      <c r="B612" s="1" t="s">
        <v>6085</v>
      </c>
      <c r="C612" t="s">
        <v>4142</v>
      </c>
      <c r="D612" s="1" t="s">
        <v>2</v>
      </c>
      <c r="E612" t="b">
        <v>0</v>
      </c>
      <c r="F612">
        <v>3</v>
      </c>
      <c r="G612">
        <v>1</v>
      </c>
      <c r="H612" t="s">
        <v>11</v>
      </c>
      <c r="I612" t="b">
        <v>0</v>
      </c>
      <c r="J612" cm="1">
        <f t="array" ref="J612">sentimentCalc(B612)</f>
        <v>0</v>
      </c>
      <c r="K612" t="str" cm="1">
        <f t="array" ref="K612">sentimentCategory(J612)</f>
        <v>Neutral</v>
      </c>
    </row>
    <row r="613" spans="1:11" ht="17" x14ac:dyDescent="0.2">
      <c r="A613" t="s">
        <v>5511</v>
      </c>
      <c r="B613" s="1" t="s">
        <v>5512</v>
      </c>
      <c r="C613" t="s">
        <v>2363</v>
      </c>
      <c r="D613" s="1" t="s">
        <v>5513</v>
      </c>
      <c r="E613" t="b">
        <v>0</v>
      </c>
      <c r="F613">
        <v>1803</v>
      </c>
      <c r="G613">
        <v>996</v>
      </c>
      <c r="H613" t="s">
        <v>11</v>
      </c>
      <c r="I613" t="b">
        <v>0</v>
      </c>
      <c r="J613" cm="1">
        <f t="array" ref="J613">sentimentCalc(B613)</f>
        <v>0</v>
      </c>
      <c r="K613" t="str" cm="1">
        <f t="array" ref="K613">sentimentCategory(J613)</f>
        <v>Neutral</v>
      </c>
    </row>
    <row r="614" spans="1:11" ht="17" x14ac:dyDescent="0.2">
      <c r="A614" t="s">
        <v>4929</v>
      </c>
      <c r="B614" s="1" t="s">
        <v>4930</v>
      </c>
      <c r="C614" t="s">
        <v>315</v>
      </c>
      <c r="D614" s="1" t="s">
        <v>4931</v>
      </c>
      <c r="E614" t="b">
        <v>0</v>
      </c>
      <c r="F614">
        <v>480</v>
      </c>
      <c r="G614">
        <v>1223</v>
      </c>
      <c r="H614" t="s">
        <v>11</v>
      </c>
      <c r="I614" t="b">
        <v>0</v>
      </c>
      <c r="J614" cm="1">
        <f t="array" ref="J614">sentimentCalc(B614)</f>
        <v>0</v>
      </c>
      <c r="K614" t="str" cm="1">
        <f t="array" ref="K614">sentimentCategory(J614)</f>
        <v>Neutral</v>
      </c>
    </row>
    <row r="615" spans="1:11" ht="34" x14ac:dyDescent="0.2">
      <c r="A615" t="s">
        <v>2469</v>
      </c>
      <c r="B615" s="1" t="s">
        <v>2470</v>
      </c>
      <c r="C615" t="s">
        <v>2471</v>
      </c>
      <c r="D615" s="1" t="s">
        <v>2472</v>
      </c>
      <c r="E615" t="b">
        <v>0</v>
      </c>
      <c r="F615">
        <v>110</v>
      </c>
      <c r="G615">
        <v>382</v>
      </c>
      <c r="H615" t="s">
        <v>11</v>
      </c>
      <c r="I615" t="b">
        <v>0</v>
      </c>
      <c r="J615" cm="1">
        <f t="array" ref="J615">sentimentCalc(B615)</f>
        <v>1</v>
      </c>
      <c r="K615" t="str" cm="1">
        <f t="array" ref="K615">sentimentCategory(J615)</f>
        <v>Positive</v>
      </c>
    </row>
    <row r="616" spans="1:11" ht="17" x14ac:dyDescent="0.2">
      <c r="A616" t="s">
        <v>4626</v>
      </c>
      <c r="B616" s="1" t="s">
        <v>4627</v>
      </c>
      <c r="C616" t="s">
        <v>2628</v>
      </c>
      <c r="D616" s="1" t="s">
        <v>2</v>
      </c>
      <c r="E616" t="b">
        <v>0</v>
      </c>
      <c r="F616">
        <v>22</v>
      </c>
      <c r="G616">
        <v>192</v>
      </c>
      <c r="H616" t="s">
        <v>11</v>
      </c>
      <c r="I616" t="b">
        <v>0</v>
      </c>
      <c r="J616" cm="1">
        <f t="array" ref="J616">sentimentCalc(B616)</f>
        <v>1</v>
      </c>
      <c r="K616" t="str" cm="1">
        <f t="array" ref="K616">sentimentCategory(J616)</f>
        <v>Positive</v>
      </c>
    </row>
    <row r="617" spans="1:11" ht="17" x14ac:dyDescent="0.2">
      <c r="A617" t="s">
        <v>873</v>
      </c>
      <c r="B617" s="1" t="s">
        <v>874</v>
      </c>
      <c r="C617" t="s">
        <v>875</v>
      </c>
      <c r="D617" s="1" t="s">
        <v>316</v>
      </c>
      <c r="E617" t="b">
        <v>0</v>
      </c>
      <c r="F617">
        <v>160</v>
      </c>
      <c r="G617">
        <v>279</v>
      </c>
      <c r="H617" t="s">
        <v>11</v>
      </c>
      <c r="I617" t="b">
        <v>0</v>
      </c>
      <c r="J617" cm="1">
        <f t="array" ref="J617">sentimentCalc(B617)</f>
        <v>-2</v>
      </c>
      <c r="K617" t="str" cm="1">
        <f t="array" ref="K617">sentimentCategory(J617)</f>
        <v>Negative</v>
      </c>
    </row>
    <row r="618" spans="1:11" ht="17" x14ac:dyDescent="0.2">
      <c r="A618" t="s">
        <v>5627</v>
      </c>
      <c r="B618" s="1" t="s">
        <v>5628</v>
      </c>
      <c r="C618" t="s">
        <v>5629</v>
      </c>
      <c r="D618" s="1" t="s">
        <v>2</v>
      </c>
      <c r="E618" t="b">
        <v>0</v>
      </c>
      <c r="F618">
        <v>192</v>
      </c>
      <c r="G618">
        <v>552</v>
      </c>
      <c r="H618" t="s">
        <v>11</v>
      </c>
      <c r="I618" t="b">
        <v>0</v>
      </c>
      <c r="J618" cm="1">
        <f t="array" ref="J618">sentimentCalc(B618)</f>
        <v>0</v>
      </c>
      <c r="K618" t="str" cm="1">
        <f t="array" ref="K618">sentimentCategory(J618)</f>
        <v>Neutral</v>
      </c>
    </row>
    <row r="619" spans="1:11" ht="17" x14ac:dyDescent="0.2">
      <c r="A619" t="s">
        <v>1195</v>
      </c>
      <c r="B619" s="1" t="s">
        <v>1196</v>
      </c>
      <c r="C619" t="s">
        <v>1197</v>
      </c>
      <c r="D619" s="1" t="s">
        <v>1198</v>
      </c>
      <c r="E619" t="b">
        <v>0</v>
      </c>
      <c r="F619">
        <v>1124</v>
      </c>
      <c r="G619">
        <v>316</v>
      </c>
      <c r="H619" t="s">
        <v>11</v>
      </c>
      <c r="I619" t="b">
        <v>0</v>
      </c>
      <c r="J619" cm="1">
        <f t="array" ref="J619">sentimentCalc(B619)</f>
        <v>0</v>
      </c>
      <c r="K619" t="str" cm="1">
        <f t="array" ref="K619">sentimentCategory(J619)</f>
        <v>Neutral</v>
      </c>
    </row>
    <row r="620" spans="1:11" ht="17" x14ac:dyDescent="0.2">
      <c r="A620" t="s">
        <v>5149</v>
      </c>
      <c r="B620" s="1" t="s">
        <v>5150</v>
      </c>
      <c r="C620" t="s">
        <v>3007</v>
      </c>
      <c r="D620" s="1" t="s">
        <v>2</v>
      </c>
      <c r="E620" t="b">
        <v>0</v>
      </c>
      <c r="F620">
        <v>1</v>
      </c>
      <c r="G620">
        <v>7</v>
      </c>
      <c r="H620" t="s">
        <v>11</v>
      </c>
      <c r="I620" t="b">
        <v>0</v>
      </c>
      <c r="J620" cm="1">
        <f t="array" ref="J620">sentimentCalc(B620)</f>
        <v>0</v>
      </c>
      <c r="K620" t="str" cm="1">
        <f t="array" ref="K620">sentimentCategory(J620)</f>
        <v>Neutral</v>
      </c>
    </row>
    <row r="621" spans="1:11" ht="17" x14ac:dyDescent="0.2">
      <c r="A621" t="s">
        <v>2129</v>
      </c>
      <c r="B621" s="1" t="s">
        <v>2130</v>
      </c>
      <c r="C621" t="s">
        <v>2131</v>
      </c>
      <c r="D621" s="1" t="s">
        <v>1167</v>
      </c>
      <c r="E621" t="b">
        <v>0</v>
      </c>
      <c r="F621">
        <v>6908</v>
      </c>
      <c r="G621">
        <v>549</v>
      </c>
      <c r="H621" t="s">
        <v>11</v>
      </c>
      <c r="I621" t="b">
        <v>0</v>
      </c>
      <c r="J621" cm="1">
        <f t="array" ref="J621">sentimentCalc(B621)</f>
        <v>-1</v>
      </c>
      <c r="K621" t="str" cm="1">
        <f t="array" ref="K621">sentimentCategory(J621)</f>
        <v>Negative</v>
      </c>
    </row>
    <row r="622" spans="1:11" ht="34" x14ac:dyDescent="0.2">
      <c r="A622" t="s">
        <v>1032</v>
      </c>
      <c r="B622" s="1" t="s">
        <v>1033</v>
      </c>
      <c r="C622" t="s">
        <v>1034</v>
      </c>
      <c r="D622" s="1" t="s">
        <v>346</v>
      </c>
      <c r="E622" t="b">
        <v>0</v>
      </c>
      <c r="F622">
        <v>3060</v>
      </c>
      <c r="G622">
        <v>1801</v>
      </c>
      <c r="H622" t="s">
        <v>11</v>
      </c>
      <c r="I622" t="b">
        <v>0</v>
      </c>
      <c r="J622" cm="1">
        <f t="array" ref="J622">sentimentCalc(B622)</f>
        <v>1</v>
      </c>
      <c r="K622" t="str" cm="1">
        <f t="array" ref="K622">sentimentCategory(J622)</f>
        <v>Positive</v>
      </c>
    </row>
    <row r="623" spans="1:11" ht="17" x14ac:dyDescent="0.2">
      <c r="A623" t="s">
        <v>5231</v>
      </c>
      <c r="B623" s="1" t="s">
        <v>5232</v>
      </c>
      <c r="C623" t="s">
        <v>2973</v>
      </c>
      <c r="D623" s="1" t="s">
        <v>5233</v>
      </c>
      <c r="E623" t="b">
        <v>0</v>
      </c>
      <c r="F623">
        <v>659</v>
      </c>
      <c r="G623">
        <v>285</v>
      </c>
      <c r="H623" t="s">
        <v>11</v>
      </c>
      <c r="I623" t="b">
        <v>0</v>
      </c>
      <c r="J623" cm="1">
        <f t="array" ref="J623">sentimentCalc(B623)</f>
        <v>0</v>
      </c>
      <c r="K623" t="str" cm="1">
        <f t="array" ref="K623">sentimentCategory(J623)</f>
        <v>Neutral</v>
      </c>
    </row>
    <row r="624" spans="1:11" ht="17" x14ac:dyDescent="0.2">
      <c r="A624" t="s">
        <v>4767</v>
      </c>
      <c r="B624" s="1" t="s">
        <v>4768</v>
      </c>
      <c r="C624" t="s">
        <v>222</v>
      </c>
      <c r="D624" s="1" t="s">
        <v>223</v>
      </c>
      <c r="E624" t="b">
        <v>0</v>
      </c>
      <c r="F624">
        <v>9228</v>
      </c>
      <c r="G624">
        <v>7170</v>
      </c>
      <c r="H624" t="s">
        <v>11</v>
      </c>
      <c r="I624" t="b">
        <v>0</v>
      </c>
      <c r="J624" cm="1">
        <f t="array" ref="J624">sentimentCalc(B624)</f>
        <v>0</v>
      </c>
      <c r="K624" t="str" cm="1">
        <f t="array" ref="K624">sentimentCategory(J624)</f>
        <v>Neutral</v>
      </c>
    </row>
    <row r="625" spans="1:11" ht="17" x14ac:dyDescent="0.2">
      <c r="A625" t="s">
        <v>1836</v>
      </c>
      <c r="B625" s="1" t="s">
        <v>1837</v>
      </c>
      <c r="C625" t="s">
        <v>1838</v>
      </c>
      <c r="D625" s="1" t="s">
        <v>2</v>
      </c>
      <c r="E625" t="b">
        <v>0</v>
      </c>
      <c r="F625">
        <v>0</v>
      </c>
      <c r="G625">
        <v>2</v>
      </c>
      <c r="H625" t="s">
        <v>11</v>
      </c>
      <c r="I625" t="b">
        <v>0</v>
      </c>
      <c r="J625" cm="1">
        <f t="array" ref="J625">sentimentCalc(B625)</f>
        <v>1</v>
      </c>
      <c r="K625" t="str" cm="1">
        <f t="array" ref="K625">sentimentCategory(J625)</f>
        <v>Positive</v>
      </c>
    </row>
    <row r="626" spans="1:11" ht="17" x14ac:dyDescent="0.2">
      <c r="A626" t="s">
        <v>2954</v>
      </c>
      <c r="B626" s="1" t="s">
        <v>2955</v>
      </c>
      <c r="C626" t="s">
        <v>726</v>
      </c>
      <c r="D626" s="1" t="s">
        <v>2956</v>
      </c>
      <c r="E626" t="b">
        <v>0</v>
      </c>
      <c r="F626">
        <v>590</v>
      </c>
      <c r="G626">
        <v>2150</v>
      </c>
      <c r="H626" t="s">
        <v>11</v>
      </c>
      <c r="I626" t="b">
        <v>0</v>
      </c>
      <c r="J626" cm="1">
        <f t="array" ref="J626">sentimentCalc(B626)</f>
        <v>0</v>
      </c>
      <c r="K626" t="str" cm="1">
        <f t="array" ref="K626">sentimentCategory(J626)</f>
        <v>Neutral</v>
      </c>
    </row>
    <row r="627" spans="1:11" ht="17" x14ac:dyDescent="0.2">
      <c r="A627" t="s">
        <v>2910</v>
      </c>
      <c r="B627" s="1" t="s">
        <v>2911</v>
      </c>
      <c r="C627" t="s">
        <v>587</v>
      </c>
      <c r="D627" s="1" t="s">
        <v>2912</v>
      </c>
      <c r="E627" t="b">
        <v>0</v>
      </c>
      <c r="F627">
        <v>271</v>
      </c>
      <c r="G627">
        <v>63</v>
      </c>
      <c r="H627" t="s">
        <v>11</v>
      </c>
      <c r="I627" t="b">
        <v>0</v>
      </c>
      <c r="J627" cm="1">
        <f t="array" ref="J627">sentimentCalc(B627)</f>
        <v>0</v>
      </c>
      <c r="K627" t="str" cm="1">
        <f t="array" ref="K627">sentimentCategory(J627)</f>
        <v>Neutral</v>
      </c>
    </row>
    <row r="628" spans="1:11" ht="17" x14ac:dyDescent="0.2">
      <c r="A628" t="s">
        <v>2848</v>
      </c>
      <c r="B628" s="1" t="s">
        <v>2849</v>
      </c>
      <c r="C628" t="s">
        <v>2850</v>
      </c>
      <c r="D628" s="1" t="s">
        <v>61</v>
      </c>
      <c r="E628" t="b">
        <v>0</v>
      </c>
      <c r="F628">
        <v>26</v>
      </c>
      <c r="G628">
        <v>181</v>
      </c>
      <c r="H628" t="s">
        <v>11</v>
      </c>
      <c r="I628" t="b">
        <v>0</v>
      </c>
      <c r="J628" cm="1">
        <f t="array" ref="J628">sentimentCalc(B628)</f>
        <v>0</v>
      </c>
      <c r="K628" t="str" cm="1">
        <f t="array" ref="K628">sentimentCategory(J628)</f>
        <v>Neutral</v>
      </c>
    </row>
    <row r="629" spans="1:11" ht="34" x14ac:dyDescent="0.2">
      <c r="A629" t="s">
        <v>3717</v>
      </c>
      <c r="B629" s="1" t="s">
        <v>3718</v>
      </c>
      <c r="C629" t="s">
        <v>1189</v>
      </c>
      <c r="D629" s="1" t="s">
        <v>1190</v>
      </c>
      <c r="E629" t="b">
        <v>0</v>
      </c>
      <c r="F629">
        <v>7992</v>
      </c>
      <c r="G629">
        <v>410</v>
      </c>
      <c r="H629" t="s">
        <v>11</v>
      </c>
      <c r="I629" t="b">
        <v>0</v>
      </c>
      <c r="J629" cm="1">
        <f t="array" ref="J629">sentimentCalc(B629)</f>
        <v>0</v>
      </c>
      <c r="K629" t="str" cm="1">
        <f t="array" ref="K629">sentimentCategory(J629)</f>
        <v>Neutral</v>
      </c>
    </row>
    <row r="630" spans="1:11" ht="34" x14ac:dyDescent="0.2">
      <c r="A630" t="s">
        <v>3914</v>
      </c>
      <c r="B630" s="1" t="s">
        <v>3915</v>
      </c>
      <c r="C630" t="s">
        <v>268</v>
      </c>
      <c r="D630" s="1" t="s">
        <v>2</v>
      </c>
      <c r="E630" t="b">
        <v>0</v>
      </c>
      <c r="F630">
        <v>22</v>
      </c>
      <c r="G630">
        <v>6</v>
      </c>
      <c r="H630" t="s">
        <v>11</v>
      </c>
      <c r="I630" t="b">
        <v>0</v>
      </c>
      <c r="J630" cm="1">
        <f t="array" ref="J630">sentimentCalc(B630)</f>
        <v>-1</v>
      </c>
      <c r="K630" t="str" cm="1">
        <f t="array" ref="K630">sentimentCategory(J630)</f>
        <v>Negative</v>
      </c>
    </row>
    <row r="631" spans="1:11" ht="17" x14ac:dyDescent="0.2">
      <c r="A631" t="s">
        <v>2270</v>
      </c>
      <c r="B631" s="1" t="s">
        <v>2271</v>
      </c>
      <c r="C631" t="s">
        <v>1530</v>
      </c>
      <c r="D631" s="1" t="s">
        <v>2272</v>
      </c>
      <c r="E631" t="b">
        <v>0</v>
      </c>
      <c r="F631">
        <v>307</v>
      </c>
      <c r="G631">
        <v>79</v>
      </c>
      <c r="H631" t="s">
        <v>11</v>
      </c>
      <c r="I631" t="b">
        <v>0</v>
      </c>
      <c r="J631" cm="1">
        <f t="array" ref="J631">sentimentCalc(B631)</f>
        <v>0</v>
      </c>
      <c r="K631" t="str" cm="1">
        <f t="array" ref="K631">sentimentCategory(J631)</f>
        <v>Neutral</v>
      </c>
    </row>
    <row r="632" spans="1:11" ht="34" x14ac:dyDescent="0.2">
      <c r="A632" t="s">
        <v>1830</v>
      </c>
      <c r="B632" s="1" t="s">
        <v>1831</v>
      </c>
      <c r="C632" t="s">
        <v>1250</v>
      </c>
      <c r="D632" s="1" t="s">
        <v>1251</v>
      </c>
      <c r="E632" t="b">
        <v>0</v>
      </c>
      <c r="F632">
        <v>1355</v>
      </c>
      <c r="G632">
        <v>1069</v>
      </c>
      <c r="H632" t="s">
        <v>11</v>
      </c>
      <c r="I632" t="b">
        <v>0</v>
      </c>
      <c r="J632" cm="1">
        <f t="array" ref="J632">sentimentCalc(B632)</f>
        <v>-1</v>
      </c>
      <c r="K632" t="str" cm="1">
        <f t="array" ref="K632">sentimentCategory(J632)</f>
        <v>Negative</v>
      </c>
    </row>
    <row r="633" spans="1:11" ht="17" x14ac:dyDescent="0.2">
      <c r="A633" t="s">
        <v>2898</v>
      </c>
      <c r="B633" s="1" t="s">
        <v>2899</v>
      </c>
      <c r="C633" t="s">
        <v>2900</v>
      </c>
      <c r="D633" s="1" t="s">
        <v>2</v>
      </c>
      <c r="E633" t="b">
        <v>0</v>
      </c>
      <c r="F633">
        <v>21</v>
      </c>
      <c r="G633">
        <v>124</v>
      </c>
      <c r="H633" t="s">
        <v>110</v>
      </c>
      <c r="I633" t="b">
        <v>0</v>
      </c>
      <c r="J633" cm="1">
        <f t="array" ref="J633">sentimentCalc(B633)</f>
        <v>0</v>
      </c>
      <c r="K633" t="str" cm="1">
        <f t="array" ref="K633">sentimentCategory(J633)</f>
        <v>Neutral</v>
      </c>
    </row>
    <row r="634" spans="1:11" ht="17" x14ac:dyDescent="0.2">
      <c r="A634" t="s">
        <v>6065</v>
      </c>
      <c r="B634" s="1" t="s">
        <v>6066</v>
      </c>
      <c r="C634" t="s">
        <v>6067</v>
      </c>
      <c r="D634" s="1" t="s">
        <v>6068</v>
      </c>
      <c r="E634" t="b">
        <v>0</v>
      </c>
      <c r="F634">
        <v>27525</v>
      </c>
      <c r="G634">
        <v>1200</v>
      </c>
      <c r="H634" t="s">
        <v>11</v>
      </c>
      <c r="I634" t="b">
        <v>0</v>
      </c>
      <c r="J634" cm="1">
        <f t="array" ref="J634">sentimentCalc(B634)</f>
        <v>0</v>
      </c>
      <c r="K634" t="str" cm="1">
        <f t="array" ref="K634">sentimentCategory(J634)</f>
        <v>Neutral</v>
      </c>
    </row>
    <row r="635" spans="1:11" ht="34" x14ac:dyDescent="0.2">
      <c r="A635" t="s">
        <v>3823</v>
      </c>
      <c r="B635" s="1" t="s">
        <v>3824</v>
      </c>
      <c r="C635" t="s">
        <v>2142</v>
      </c>
      <c r="D635" s="1" t="s">
        <v>3825</v>
      </c>
      <c r="E635" t="b">
        <v>0</v>
      </c>
      <c r="F635">
        <v>332</v>
      </c>
      <c r="G635">
        <v>153</v>
      </c>
      <c r="H635" t="s">
        <v>11</v>
      </c>
      <c r="I635" t="b">
        <v>0</v>
      </c>
      <c r="J635" cm="1">
        <f t="array" ref="J635">sentimentCalc(B635)</f>
        <v>-1</v>
      </c>
      <c r="K635" t="str" cm="1">
        <f t="array" ref="K635">sentimentCategory(J635)</f>
        <v>Negative</v>
      </c>
    </row>
    <row r="636" spans="1:11" ht="34" x14ac:dyDescent="0.2">
      <c r="A636" t="s">
        <v>6453</v>
      </c>
      <c r="B636" s="1" t="s">
        <v>6456</v>
      </c>
      <c r="C636" t="s">
        <v>3604</v>
      </c>
      <c r="D636" s="1" t="s">
        <v>6457</v>
      </c>
      <c r="E636" t="b">
        <v>0</v>
      </c>
      <c r="F636">
        <v>594</v>
      </c>
      <c r="G636">
        <v>439</v>
      </c>
      <c r="H636" t="s">
        <v>11</v>
      </c>
      <c r="I636" t="b">
        <v>0</v>
      </c>
      <c r="J636" cm="1">
        <f t="array" ref="J636">sentimentCalc(B636)</f>
        <v>0</v>
      </c>
      <c r="K636" t="str" cm="1">
        <f t="array" ref="K636">sentimentCategory(J636)</f>
        <v>Neutral</v>
      </c>
    </row>
    <row r="637" spans="1:11" ht="34" x14ac:dyDescent="0.2">
      <c r="A637" t="s">
        <v>3325</v>
      </c>
      <c r="B637" s="1" t="s">
        <v>3326</v>
      </c>
      <c r="C637" t="s">
        <v>1561</v>
      </c>
      <c r="D637" s="1" t="s">
        <v>418</v>
      </c>
      <c r="E637" t="b">
        <v>0</v>
      </c>
      <c r="F637">
        <v>4727</v>
      </c>
      <c r="G637">
        <v>134</v>
      </c>
      <c r="H637" t="s">
        <v>11</v>
      </c>
      <c r="I637" t="b">
        <v>0</v>
      </c>
      <c r="J637" cm="1">
        <f t="array" ref="J637">sentimentCalc(B637)</f>
        <v>0</v>
      </c>
      <c r="K637" t="str" cm="1">
        <f t="array" ref="K637">sentimentCategory(J637)</f>
        <v>Neutral</v>
      </c>
    </row>
    <row r="638" spans="1:11" ht="17" x14ac:dyDescent="0.2">
      <c r="A638" t="s">
        <v>7153</v>
      </c>
      <c r="B638" s="1" t="s">
        <v>7154</v>
      </c>
      <c r="C638" t="s">
        <v>4876</v>
      </c>
      <c r="D638" s="1" t="s">
        <v>2</v>
      </c>
      <c r="E638" t="b">
        <v>0</v>
      </c>
      <c r="F638">
        <v>35</v>
      </c>
      <c r="G638">
        <v>4</v>
      </c>
      <c r="H638" t="s">
        <v>11</v>
      </c>
      <c r="I638" t="b">
        <v>0</v>
      </c>
      <c r="J638" cm="1">
        <f t="array" ref="J638">sentimentCalc(B638)</f>
        <v>0</v>
      </c>
      <c r="K638" t="str" cm="1">
        <f t="array" ref="K638">sentimentCategory(J638)</f>
        <v>Neutral</v>
      </c>
    </row>
    <row r="639" spans="1:11" ht="34" x14ac:dyDescent="0.2">
      <c r="A639" t="s">
        <v>3609</v>
      </c>
      <c r="B639" s="1" t="s">
        <v>3610</v>
      </c>
      <c r="C639" t="s">
        <v>2255</v>
      </c>
      <c r="D639" s="1" t="s">
        <v>212</v>
      </c>
      <c r="E639" t="b">
        <v>0</v>
      </c>
      <c r="F639">
        <v>153</v>
      </c>
      <c r="G639">
        <v>151</v>
      </c>
      <c r="H639" t="s">
        <v>11</v>
      </c>
      <c r="I639" t="b">
        <v>0</v>
      </c>
      <c r="J639" cm="1">
        <f t="array" ref="J639">sentimentCalc(B639)</f>
        <v>0</v>
      </c>
      <c r="K639" t="str" cm="1">
        <f t="array" ref="K639">sentimentCategory(J639)</f>
        <v>Neutral</v>
      </c>
    </row>
    <row r="640" spans="1:11" ht="34" x14ac:dyDescent="0.2">
      <c r="A640" t="s">
        <v>5342</v>
      </c>
      <c r="B640" s="1" t="s">
        <v>5343</v>
      </c>
      <c r="C640" t="s">
        <v>3273</v>
      </c>
      <c r="D640" s="1" t="s">
        <v>2</v>
      </c>
      <c r="E640" t="b">
        <v>0</v>
      </c>
      <c r="F640">
        <v>13</v>
      </c>
      <c r="G640">
        <v>126</v>
      </c>
      <c r="H640" t="s">
        <v>11</v>
      </c>
      <c r="I640" t="b">
        <v>0</v>
      </c>
      <c r="J640" cm="1">
        <f t="array" ref="J640">sentimentCalc(B640)</f>
        <v>0</v>
      </c>
      <c r="K640" t="str" cm="1">
        <f t="array" ref="K640">sentimentCategory(J640)</f>
        <v>Neutral</v>
      </c>
    </row>
    <row r="641" spans="1:11" ht="17" x14ac:dyDescent="0.2">
      <c r="A641" t="s">
        <v>3162</v>
      </c>
      <c r="B641" s="1" t="s">
        <v>3163</v>
      </c>
      <c r="C641" t="s">
        <v>3164</v>
      </c>
      <c r="D641" s="1" t="s">
        <v>2</v>
      </c>
      <c r="E641" t="b">
        <v>0</v>
      </c>
      <c r="F641">
        <v>100</v>
      </c>
      <c r="G641">
        <v>938</v>
      </c>
      <c r="H641" t="s">
        <v>11</v>
      </c>
      <c r="I641" t="b">
        <v>0</v>
      </c>
      <c r="J641" cm="1">
        <f t="array" ref="J641">sentimentCalc(B641)</f>
        <v>0</v>
      </c>
      <c r="K641" t="str" cm="1">
        <f t="array" ref="K641">sentimentCategory(J641)</f>
        <v>Neutral</v>
      </c>
    </row>
    <row r="642" spans="1:11" ht="34" x14ac:dyDescent="0.2">
      <c r="A642" t="s">
        <v>3100</v>
      </c>
      <c r="B642" s="1" t="s">
        <v>3101</v>
      </c>
      <c r="C642" t="s">
        <v>3102</v>
      </c>
      <c r="D642" s="1" t="s">
        <v>3103</v>
      </c>
      <c r="E642" t="b">
        <v>0</v>
      </c>
      <c r="F642">
        <v>1290</v>
      </c>
      <c r="G642">
        <v>2062</v>
      </c>
      <c r="H642" t="s">
        <v>110</v>
      </c>
      <c r="I642" t="b">
        <v>0</v>
      </c>
      <c r="J642" cm="1">
        <f t="array" ref="J642">sentimentCalc(B642)</f>
        <v>0</v>
      </c>
      <c r="K642" t="str" cm="1">
        <f t="array" ref="K642">sentimentCategory(J642)</f>
        <v>Neutral</v>
      </c>
    </row>
    <row r="643" spans="1:11" ht="34" x14ac:dyDescent="0.2">
      <c r="A643" t="s">
        <v>4389</v>
      </c>
      <c r="B643" s="1" t="s">
        <v>4390</v>
      </c>
      <c r="C643" t="s">
        <v>1866</v>
      </c>
      <c r="D643" s="1" t="s">
        <v>2</v>
      </c>
      <c r="E643" t="b">
        <v>0</v>
      </c>
      <c r="F643">
        <v>1050</v>
      </c>
      <c r="G643">
        <v>862</v>
      </c>
      <c r="H643" t="s">
        <v>11</v>
      </c>
      <c r="I643" t="b">
        <v>0</v>
      </c>
      <c r="J643" cm="1">
        <f t="array" ref="J643">sentimentCalc(B643)</f>
        <v>1</v>
      </c>
      <c r="K643" t="str" cm="1">
        <f t="array" ref="K643">sentimentCategory(J643)</f>
        <v>Positive</v>
      </c>
    </row>
    <row r="644" spans="1:11" ht="17" x14ac:dyDescent="0.2">
      <c r="A644" t="s">
        <v>6861</v>
      </c>
      <c r="B644" s="1" t="s">
        <v>6862</v>
      </c>
      <c r="C644" t="s">
        <v>1869</v>
      </c>
      <c r="D644" s="1" t="s">
        <v>2</v>
      </c>
      <c r="E644" t="b">
        <v>0</v>
      </c>
      <c r="F644">
        <v>252</v>
      </c>
      <c r="G644">
        <v>87</v>
      </c>
      <c r="H644" t="s">
        <v>11</v>
      </c>
      <c r="I644" t="b">
        <v>0</v>
      </c>
      <c r="J644" cm="1">
        <f t="array" ref="J644">sentimentCalc(B644)</f>
        <v>0</v>
      </c>
      <c r="K644" t="str" cm="1">
        <f t="array" ref="K644">sentimentCategory(J644)</f>
        <v>Neutral</v>
      </c>
    </row>
    <row r="645" spans="1:11" ht="17" x14ac:dyDescent="0.2">
      <c r="A645" t="s">
        <v>2055</v>
      </c>
      <c r="B645" s="1" t="s">
        <v>2057</v>
      </c>
      <c r="C645" t="s">
        <v>2058</v>
      </c>
      <c r="D645" s="1" t="s">
        <v>2</v>
      </c>
      <c r="E645" t="b">
        <v>0</v>
      </c>
      <c r="F645">
        <v>1530</v>
      </c>
      <c r="G645">
        <v>3256</v>
      </c>
      <c r="H645" t="s">
        <v>11</v>
      </c>
      <c r="I645" t="b">
        <v>0</v>
      </c>
      <c r="J645" cm="1">
        <f t="array" ref="J645">sentimentCalc(B645)</f>
        <v>0</v>
      </c>
      <c r="K645" t="str" cm="1">
        <f t="array" ref="K645">sentimentCategory(J645)</f>
        <v>Neutral</v>
      </c>
    </row>
    <row r="646" spans="1:11" ht="34" x14ac:dyDescent="0.2">
      <c r="A646" t="s">
        <v>4245</v>
      </c>
      <c r="B646" s="1" t="s">
        <v>4246</v>
      </c>
      <c r="C646" t="s">
        <v>3853</v>
      </c>
      <c r="D646" s="1" t="s">
        <v>2</v>
      </c>
      <c r="E646" t="b">
        <v>0</v>
      </c>
      <c r="F646">
        <v>54</v>
      </c>
      <c r="G646">
        <v>436</v>
      </c>
      <c r="H646" t="s">
        <v>11</v>
      </c>
      <c r="I646" t="b">
        <v>0</v>
      </c>
      <c r="J646" cm="1">
        <f t="array" ref="J646">sentimentCalc(B646)</f>
        <v>1</v>
      </c>
      <c r="K646" t="str" cm="1">
        <f t="array" ref="K646">sentimentCategory(J646)</f>
        <v>Positive</v>
      </c>
    </row>
    <row r="647" spans="1:11" ht="17" x14ac:dyDescent="0.2">
      <c r="A647" t="s">
        <v>3232</v>
      </c>
      <c r="B647" s="1" t="s">
        <v>3233</v>
      </c>
      <c r="C647" t="s">
        <v>3234</v>
      </c>
      <c r="D647" s="1" t="s">
        <v>1368</v>
      </c>
      <c r="E647" t="b">
        <v>0</v>
      </c>
      <c r="F647">
        <v>785</v>
      </c>
      <c r="G647">
        <v>1340</v>
      </c>
      <c r="H647" t="s">
        <v>11</v>
      </c>
      <c r="I647" t="b">
        <v>0</v>
      </c>
      <c r="J647" cm="1">
        <f t="array" ref="J647">sentimentCalc(B647)</f>
        <v>0</v>
      </c>
      <c r="K647" t="str" cm="1">
        <f t="array" ref="K647">sentimentCategory(J647)</f>
        <v>Neutral</v>
      </c>
    </row>
    <row r="648" spans="1:11" ht="34" x14ac:dyDescent="0.2">
      <c r="A648" t="s">
        <v>5967</v>
      </c>
      <c r="B648" s="1" t="s">
        <v>5968</v>
      </c>
      <c r="C648" t="s">
        <v>1598</v>
      </c>
      <c r="D648" s="1" t="s">
        <v>5969</v>
      </c>
      <c r="E648" t="b">
        <v>0</v>
      </c>
      <c r="F648">
        <v>627</v>
      </c>
      <c r="G648">
        <v>674</v>
      </c>
      <c r="H648" t="s">
        <v>11</v>
      </c>
      <c r="I648" t="b">
        <v>0</v>
      </c>
      <c r="J648" cm="1">
        <f t="array" ref="J648">sentimentCalc(B648)</f>
        <v>0</v>
      </c>
      <c r="K648" t="str" cm="1">
        <f t="array" ref="K648">sentimentCategory(J648)</f>
        <v>Neutral</v>
      </c>
    </row>
    <row r="649" spans="1:11" ht="17" x14ac:dyDescent="0.2">
      <c r="A649" t="s">
        <v>187</v>
      </c>
      <c r="B649" s="1" t="s">
        <v>188</v>
      </c>
      <c r="C649" t="s">
        <v>189</v>
      </c>
      <c r="D649" s="1" t="s">
        <v>190</v>
      </c>
      <c r="E649" t="b">
        <v>0</v>
      </c>
      <c r="F649">
        <v>1181</v>
      </c>
      <c r="G649">
        <v>767</v>
      </c>
      <c r="H649" t="s">
        <v>11</v>
      </c>
      <c r="I649" t="b">
        <v>0</v>
      </c>
      <c r="J649" cm="1">
        <f t="array" ref="J649">sentimentCalc(B649)</f>
        <v>0</v>
      </c>
      <c r="K649" t="str" cm="1">
        <f t="array" ref="K649">sentimentCategory(J649)</f>
        <v>Neutral</v>
      </c>
    </row>
    <row r="650" spans="1:11" ht="17" x14ac:dyDescent="0.2">
      <c r="A650" t="s">
        <v>6460</v>
      </c>
      <c r="B650" s="1" t="s">
        <v>6461</v>
      </c>
      <c r="C650" t="s">
        <v>354</v>
      </c>
      <c r="D650" s="1" t="s">
        <v>6462</v>
      </c>
      <c r="E650" t="b">
        <v>0</v>
      </c>
      <c r="F650">
        <v>1554</v>
      </c>
      <c r="G650">
        <v>390</v>
      </c>
      <c r="H650" t="s">
        <v>11</v>
      </c>
      <c r="I650" t="b">
        <v>0</v>
      </c>
      <c r="J650" cm="1">
        <f t="array" ref="J650">sentimentCalc(B650)</f>
        <v>1</v>
      </c>
      <c r="K650" t="str" cm="1">
        <f t="array" ref="K650">sentimentCategory(J650)</f>
        <v>Positive</v>
      </c>
    </row>
    <row r="651" spans="1:11" ht="17" x14ac:dyDescent="0.2">
      <c r="A651" t="s">
        <v>5964</v>
      </c>
      <c r="B651" s="1" t="s">
        <v>5965</v>
      </c>
      <c r="C651" t="s">
        <v>5966</v>
      </c>
      <c r="D651" s="1" t="s">
        <v>2</v>
      </c>
      <c r="E651" t="b">
        <v>0</v>
      </c>
      <c r="F651">
        <v>47</v>
      </c>
      <c r="G651">
        <v>50</v>
      </c>
      <c r="H651" t="s">
        <v>11</v>
      </c>
      <c r="I651" t="b">
        <v>0</v>
      </c>
      <c r="J651" cm="1">
        <f t="array" ref="J651">sentimentCalc(B651)</f>
        <v>0</v>
      </c>
      <c r="K651" t="str" cm="1">
        <f t="array" ref="K651">sentimentCategory(J651)</f>
        <v>Neutral</v>
      </c>
    </row>
    <row r="652" spans="1:11" ht="34" x14ac:dyDescent="0.2">
      <c r="A652" t="s">
        <v>3888</v>
      </c>
      <c r="B652" s="1" t="s">
        <v>3889</v>
      </c>
      <c r="C652" t="s">
        <v>1409</v>
      </c>
      <c r="D652" s="1" t="s">
        <v>2</v>
      </c>
      <c r="E652" t="b">
        <v>0</v>
      </c>
      <c r="F652">
        <v>212</v>
      </c>
      <c r="G652">
        <v>306</v>
      </c>
      <c r="H652" t="s">
        <v>47</v>
      </c>
      <c r="I652" t="b">
        <v>0</v>
      </c>
      <c r="J652" cm="1">
        <f t="array" ref="J652">sentimentCalc(B652)</f>
        <v>0</v>
      </c>
      <c r="K652" t="str" cm="1">
        <f t="array" ref="K652">sentimentCategory(J652)</f>
        <v>Neutral</v>
      </c>
    </row>
    <row r="653" spans="1:11" ht="17" x14ac:dyDescent="0.2">
      <c r="A653" t="s">
        <v>1603</v>
      </c>
      <c r="B653" s="1" t="s">
        <v>1604</v>
      </c>
      <c r="C653" t="s">
        <v>1605</v>
      </c>
      <c r="D653" s="1" t="s">
        <v>2</v>
      </c>
      <c r="E653" t="b">
        <v>0</v>
      </c>
      <c r="F653">
        <v>1039</v>
      </c>
      <c r="G653">
        <v>638</v>
      </c>
      <c r="H653" t="s">
        <v>11</v>
      </c>
      <c r="I653" t="b">
        <v>0</v>
      </c>
      <c r="J653" cm="1">
        <f t="array" ref="J653">sentimentCalc(B653)</f>
        <v>0</v>
      </c>
      <c r="K653" t="str" cm="1">
        <f t="array" ref="K653">sentimentCategory(J653)</f>
        <v>Neutral</v>
      </c>
    </row>
    <row r="654" spans="1:11" ht="34" x14ac:dyDescent="0.2">
      <c r="A654" t="s">
        <v>4706</v>
      </c>
      <c r="B654" s="1" t="s">
        <v>4707</v>
      </c>
      <c r="C654" t="s">
        <v>4655</v>
      </c>
      <c r="D654" s="1" t="s">
        <v>4656</v>
      </c>
      <c r="E654" t="b">
        <v>0</v>
      </c>
      <c r="F654">
        <v>5169</v>
      </c>
      <c r="G654">
        <v>2709</v>
      </c>
      <c r="H654" t="s">
        <v>11</v>
      </c>
      <c r="I654" t="b">
        <v>0</v>
      </c>
      <c r="J654" cm="1">
        <f t="array" ref="J654">sentimentCalc(B654)</f>
        <v>2</v>
      </c>
      <c r="K654" t="str" cm="1">
        <f t="array" ref="K654">sentimentCategory(J654)</f>
        <v>Positive</v>
      </c>
    </row>
    <row r="655" spans="1:11" ht="17" x14ac:dyDescent="0.2">
      <c r="A655" t="s">
        <v>98</v>
      </c>
      <c r="B655" s="1" t="s">
        <v>99</v>
      </c>
      <c r="C655" t="s">
        <v>100</v>
      </c>
      <c r="D655" s="1" t="s">
        <v>101</v>
      </c>
      <c r="E655" t="b">
        <v>0</v>
      </c>
      <c r="F655">
        <v>4</v>
      </c>
      <c r="G655">
        <v>54</v>
      </c>
      <c r="H655" t="s">
        <v>11</v>
      </c>
      <c r="I655" t="b">
        <v>0</v>
      </c>
      <c r="J655" cm="1">
        <f t="array" ref="J655">sentimentCalc(B655)</f>
        <v>0</v>
      </c>
      <c r="K655" t="str" cm="1">
        <f t="array" ref="K655">sentimentCategory(J655)</f>
        <v>Neutral</v>
      </c>
    </row>
    <row r="656" spans="1:11" ht="17" x14ac:dyDescent="0.2">
      <c r="A656" t="s">
        <v>4162</v>
      </c>
      <c r="B656" s="1" t="s">
        <v>4163</v>
      </c>
      <c r="C656" t="s">
        <v>279</v>
      </c>
      <c r="D656" s="1" t="s">
        <v>4164</v>
      </c>
      <c r="E656" t="b">
        <v>0</v>
      </c>
      <c r="F656">
        <v>443</v>
      </c>
      <c r="G656">
        <v>944</v>
      </c>
      <c r="H656" t="s">
        <v>11</v>
      </c>
      <c r="I656" t="b">
        <v>0</v>
      </c>
      <c r="J656" cm="1">
        <f t="array" ref="J656">sentimentCalc(B656)</f>
        <v>0</v>
      </c>
      <c r="K656" t="str" cm="1">
        <f t="array" ref="K656">sentimentCategory(J656)</f>
        <v>Neutral</v>
      </c>
    </row>
    <row r="657" spans="1:11" ht="34" x14ac:dyDescent="0.2">
      <c r="A657" t="s">
        <v>6318</v>
      </c>
      <c r="B657" s="1" t="s">
        <v>6319</v>
      </c>
      <c r="C657" t="s">
        <v>561</v>
      </c>
      <c r="D657" s="1" t="s">
        <v>6320</v>
      </c>
      <c r="E657" t="b">
        <v>0</v>
      </c>
      <c r="F657">
        <v>182</v>
      </c>
      <c r="G657">
        <v>932</v>
      </c>
      <c r="H657" t="s">
        <v>11</v>
      </c>
      <c r="I657" t="b">
        <v>0</v>
      </c>
      <c r="J657" cm="1">
        <f t="array" ref="J657">sentimentCalc(B657)</f>
        <v>0</v>
      </c>
      <c r="K657" t="str" cm="1">
        <f t="array" ref="K657">sentimentCategory(J657)</f>
        <v>Neutral</v>
      </c>
    </row>
    <row r="658" spans="1:11" ht="17" x14ac:dyDescent="0.2">
      <c r="A658" t="s">
        <v>4195</v>
      </c>
      <c r="B658" s="1" t="s">
        <v>4196</v>
      </c>
      <c r="C658" t="s">
        <v>4197</v>
      </c>
      <c r="D658" s="1" t="s">
        <v>3843</v>
      </c>
      <c r="E658" t="b">
        <v>0</v>
      </c>
      <c r="F658">
        <v>135</v>
      </c>
      <c r="G658">
        <v>65</v>
      </c>
      <c r="H658" t="s">
        <v>11</v>
      </c>
      <c r="I658" t="b">
        <v>0</v>
      </c>
      <c r="J658" cm="1">
        <f t="array" ref="J658">sentimentCalc(B658)</f>
        <v>0</v>
      </c>
      <c r="K658" t="str" cm="1">
        <f t="array" ref="K658">sentimentCategory(J658)</f>
        <v>Neutral</v>
      </c>
    </row>
    <row r="659" spans="1:11" ht="17" x14ac:dyDescent="0.2">
      <c r="A659" t="s">
        <v>266</v>
      </c>
      <c r="B659" s="1" t="s">
        <v>267</v>
      </c>
      <c r="C659" t="s">
        <v>268</v>
      </c>
      <c r="D659" s="1" t="s">
        <v>2</v>
      </c>
      <c r="E659" t="b">
        <v>0</v>
      </c>
      <c r="F659">
        <v>22</v>
      </c>
      <c r="G659">
        <v>6</v>
      </c>
      <c r="H659" t="s">
        <v>11</v>
      </c>
      <c r="I659" t="b">
        <v>0</v>
      </c>
      <c r="J659" cm="1">
        <f t="array" ref="J659">sentimentCalc(B659)</f>
        <v>0</v>
      </c>
      <c r="K659" t="str" cm="1">
        <f t="array" ref="K659">sentimentCategory(J659)</f>
        <v>Neutral</v>
      </c>
    </row>
    <row r="660" spans="1:11" ht="17" x14ac:dyDescent="0.2">
      <c r="A660" t="s">
        <v>6237</v>
      </c>
      <c r="B660" s="1" t="s">
        <v>6238</v>
      </c>
      <c r="C660" t="s">
        <v>6239</v>
      </c>
      <c r="D660" s="1" t="s">
        <v>6240</v>
      </c>
      <c r="E660" t="b">
        <v>0</v>
      </c>
      <c r="F660">
        <v>362</v>
      </c>
      <c r="G660">
        <v>131</v>
      </c>
      <c r="H660" t="s">
        <v>11</v>
      </c>
      <c r="I660" t="b">
        <v>0</v>
      </c>
      <c r="J660" cm="1">
        <f t="array" ref="J660">sentimentCalc(B660)</f>
        <v>0</v>
      </c>
      <c r="K660" t="str" cm="1">
        <f t="array" ref="K660">sentimentCategory(J660)</f>
        <v>Neutral</v>
      </c>
    </row>
    <row r="661" spans="1:11" ht="17" x14ac:dyDescent="0.2">
      <c r="A661" t="s">
        <v>3741</v>
      </c>
      <c r="B661" s="1" t="s">
        <v>3742</v>
      </c>
      <c r="C661" t="s">
        <v>3733</v>
      </c>
      <c r="D661" s="1" t="s">
        <v>3734</v>
      </c>
      <c r="E661" t="b">
        <v>0</v>
      </c>
      <c r="F661">
        <v>508</v>
      </c>
      <c r="G661">
        <v>1189</v>
      </c>
      <c r="H661" t="s">
        <v>11</v>
      </c>
      <c r="I661" t="b">
        <v>0</v>
      </c>
      <c r="J661" cm="1">
        <f t="array" ref="J661">sentimentCalc(B661)</f>
        <v>0</v>
      </c>
      <c r="K661" t="str" cm="1">
        <f t="array" ref="K661">sentimentCategory(J661)</f>
        <v>Neutral</v>
      </c>
    </row>
    <row r="662" spans="1:11" ht="17" x14ac:dyDescent="0.2">
      <c r="A662" t="s">
        <v>2147</v>
      </c>
      <c r="B662" s="1" t="s">
        <v>2148</v>
      </c>
      <c r="C662" t="s">
        <v>1697</v>
      </c>
      <c r="D662" s="1" t="s">
        <v>2</v>
      </c>
      <c r="E662" t="b">
        <v>0</v>
      </c>
      <c r="F662">
        <v>97</v>
      </c>
      <c r="G662">
        <v>727</v>
      </c>
      <c r="H662" t="s">
        <v>11</v>
      </c>
      <c r="I662" t="b">
        <v>0</v>
      </c>
      <c r="J662" cm="1">
        <f t="array" ref="J662">sentimentCalc(B662)</f>
        <v>0</v>
      </c>
      <c r="K662" t="str" cm="1">
        <f t="array" ref="K662">sentimentCategory(J662)</f>
        <v>Neutral</v>
      </c>
    </row>
    <row r="663" spans="1:11" ht="17" x14ac:dyDescent="0.2">
      <c r="A663" t="s">
        <v>6132</v>
      </c>
      <c r="B663" s="1" t="s">
        <v>6133</v>
      </c>
      <c r="C663" t="s">
        <v>5618</v>
      </c>
      <c r="D663" s="1" t="s">
        <v>6134</v>
      </c>
      <c r="E663" t="b">
        <v>0</v>
      </c>
      <c r="F663">
        <v>1532</v>
      </c>
      <c r="G663">
        <v>296</v>
      </c>
      <c r="H663" t="s">
        <v>11</v>
      </c>
      <c r="I663" t="b">
        <v>0</v>
      </c>
      <c r="J663" cm="1">
        <f t="array" ref="J663">sentimentCalc(B663)</f>
        <v>1</v>
      </c>
      <c r="K663" t="str" cm="1">
        <f t="array" ref="K663">sentimentCategory(J663)</f>
        <v>Positive</v>
      </c>
    </row>
    <row r="664" spans="1:11" ht="17" x14ac:dyDescent="0.2">
      <c r="A664" t="s">
        <v>141</v>
      </c>
      <c r="B664" s="1" t="s">
        <v>142</v>
      </c>
      <c r="C664" t="s">
        <v>143</v>
      </c>
      <c r="D664" s="1" t="s">
        <v>144</v>
      </c>
      <c r="E664" t="b">
        <v>0</v>
      </c>
      <c r="F664">
        <v>42</v>
      </c>
      <c r="G664">
        <v>192</v>
      </c>
      <c r="H664" t="s">
        <v>11</v>
      </c>
      <c r="I664" t="b">
        <v>0</v>
      </c>
      <c r="J664" cm="1">
        <f t="array" ref="J664">sentimentCalc(B664)</f>
        <v>0</v>
      </c>
      <c r="K664" t="str" cm="1">
        <f t="array" ref="K664">sentimentCategory(J664)</f>
        <v>Neutral</v>
      </c>
    </row>
    <row r="665" spans="1:11" ht="17" x14ac:dyDescent="0.2">
      <c r="A665" t="s">
        <v>722</v>
      </c>
      <c r="B665" s="1" t="s">
        <v>723</v>
      </c>
      <c r="C665" t="s">
        <v>349</v>
      </c>
      <c r="D665" s="1" t="s">
        <v>2</v>
      </c>
      <c r="E665" t="b">
        <v>0</v>
      </c>
      <c r="F665">
        <v>6</v>
      </c>
      <c r="G665">
        <v>77</v>
      </c>
      <c r="H665" t="s">
        <v>11</v>
      </c>
      <c r="I665" t="b">
        <v>0</v>
      </c>
      <c r="J665" cm="1">
        <f t="array" ref="J665">sentimentCalc(B665)</f>
        <v>-2</v>
      </c>
      <c r="K665" t="str" cm="1">
        <f t="array" ref="K665">sentimentCategory(J665)</f>
        <v>Negative</v>
      </c>
    </row>
    <row r="666" spans="1:11" ht="17" x14ac:dyDescent="0.2">
      <c r="A666" t="s">
        <v>3772</v>
      </c>
      <c r="B666" s="1" t="s">
        <v>3773</v>
      </c>
      <c r="C666" t="s">
        <v>3774</v>
      </c>
      <c r="D666" s="1" t="s">
        <v>1636</v>
      </c>
      <c r="E666" t="b">
        <v>0</v>
      </c>
      <c r="F666">
        <v>79</v>
      </c>
      <c r="G666">
        <v>569</v>
      </c>
      <c r="H666" t="s">
        <v>11</v>
      </c>
      <c r="I666" t="b">
        <v>0</v>
      </c>
      <c r="J666" cm="1">
        <f t="array" ref="J666">sentimentCalc(B666)</f>
        <v>0</v>
      </c>
      <c r="K666" t="str" cm="1">
        <f t="array" ref="K666">sentimentCategory(J666)</f>
        <v>Neutral</v>
      </c>
    </row>
    <row r="667" spans="1:11" ht="17" x14ac:dyDescent="0.2">
      <c r="A667" t="s">
        <v>7039</v>
      </c>
      <c r="B667" s="1" t="s">
        <v>7040</v>
      </c>
      <c r="C667" t="s">
        <v>275</v>
      </c>
      <c r="D667" s="1" t="s">
        <v>565</v>
      </c>
      <c r="E667" t="b">
        <v>0</v>
      </c>
      <c r="F667">
        <v>298</v>
      </c>
      <c r="G667">
        <v>310</v>
      </c>
      <c r="H667" t="s">
        <v>11</v>
      </c>
      <c r="I667" t="b">
        <v>0</v>
      </c>
      <c r="J667" cm="1">
        <f t="array" ref="J667">sentimentCalc(B667)</f>
        <v>0</v>
      </c>
      <c r="K667" t="str" cm="1">
        <f t="array" ref="K667">sentimentCategory(J667)</f>
        <v>Neutral</v>
      </c>
    </row>
    <row r="668" spans="1:11" ht="17" x14ac:dyDescent="0.2">
      <c r="A668" t="s">
        <v>3836</v>
      </c>
      <c r="B668" s="1" t="s">
        <v>3837</v>
      </c>
      <c r="C668" t="s">
        <v>1544</v>
      </c>
      <c r="E668" t="b">
        <v>0</v>
      </c>
      <c r="F668">
        <v>310</v>
      </c>
      <c r="G668">
        <v>378</v>
      </c>
      <c r="H668" t="s">
        <v>31</v>
      </c>
      <c r="I668" t="b">
        <v>0</v>
      </c>
      <c r="J668" cm="1">
        <f t="array" ref="J668">sentimentCalc(B668)</f>
        <v>0</v>
      </c>
      <c r="K668" t="str" cm="1">
        <f t="array" ref="K668">sentimentCategory(J668)</f>
        <v>Neutral</v>
      </c>
    </row>
    <row r="669" spans="1:11" ht="17" x14ac:dyDescent="0.2">
      <c r="A669" t="s">
        <v>1845</v>
      </c>
      <c r="B669" s="1" t="s">
        <v>1846</v>
      </c>
      <c r="C669" t="s">
        <v>1847</v>
      </c>
      <c r="D669" s="1" t="s">
        <v>1848</v>
      </c>
      <c r="E669" t="b">
        <v>0</v>
      </c>
      <c r="F669">
        <v>25</v>
      </c>
      <c r="G669">
        <v>78</v>
      </c>
      <c r="H669" t="s">
        <v>47</v>
      </c>
      <c r="I669" t="b">
        <v>0</v>
      </c>
      <c r="J669" cm="1">
        <f t="array" ref="J669">sentimentCalc(B669)</f>
        <v>0</v>
      </c>
      <c r="K669" t="str" cm="1">
        <f t="array" ref="K669">sentimentCategory(J669)</f>
        <v>Neutral</v>
      </c>
    </row>
    <row r="670" spans="1:11" ht="17" x14ac:dyDescent="0.2">
      <c r="A670" t="s">
        <v>20</v>
      </c>
      <c r="B670" s="1" t="s">
        <v>21</v>
      </c>
      <c r="C670" t="s">
        <v>22</v>
      </c>
      <c r="D670" s="1" t="s">
        <v>23</v>
      </c>
      <c r="E670" t="b">
        <v>0</v>
      </c>
      <c r="F670">
        <v>28</v>
      </c>
      <c r="G670">
        <v>12</v>
      </c>
      <c r="H670" t="s">
        <v>11</v>
      </c>
      <c r="I670" t="b">
        <v>0</v>
      </c>
      <c r="J670" cm="1">
        <f t="array" ref="J670">sentimentCalc(B670)</f>
        <v>-2</v>
      </c>
      <c r="K670" t="str" cm="1">
        <f t="array" ref="K670">sentimentCategory(J670)</f>
        <v>Negative</v>
      </c>
    </row>
    <row r="671" spans="1:11" ht="34" x14ac:dyDescent="0.2">
      <c r="A671" t="s">
        <v>3916</v>
      </c>
      <c r="B671" s="1" t="s">
        <v>3917</v>
      </c>
      <c r="C671" t="s">
        <v>2642</v>
      </c>
      <c r="D671" s="1" t="s">
        <v>3686</v>
      </c>
      <c r="E671" t="b">
        <v>0</v>
      </c>
      <c r="F671">
        <v>39272</v>
      </c>
      <c r="G671">
        <v>193</v>
      </c>
      <c r="H671" t="s">
        <v>11</v>
      </c>
      <c r="I671" t="b">
        <v>0</v>
      </c>
      <c r="J671" cm="1">
        <f t="array" ref="J671">sentimentCalc(B671)</f>
        <v>1</v>
      </c>
      <c r="K671" t="str" cm="1">
        <f t="array" ref="K671">sentimentCategory(J671)</f>
        <v>Positive</v>
      </c>
    </row>
    <row r="672" spans="1:11" ht="17" x14ac:dyDescent="0.2">
      <c r="A672" t="s">
        <v>4198</v>
      </c>
      <c r="B672" s="1" t="s">
        <v>4199</v>
      </c>
      <c r="C672" t="s">
        <v>4200</v>
      </c>
      <c r="D672" s="1" t="s">
        <v>4201</v>
      </c>
      <c r="E672" t="b">
        <v>0</v>
      </c>
      <c r="F672">
        <v>16</v>
      </c>
      <c r="G672">
        <v>269</v>
      </c>
      <c r="H672" t="s">
        <v>11</v>
      </c>
      <c r="I672" t="b">
        <v>0</v>
      </c>
      <c r="J672" cm="1">
        <f t="array" ref="J672">sentimentCalc(B672)</f>
        <v>0</v>
      </c>
      <c r="K672" t="str" cm="1">
        <f t="array" ref="K672">sentimentCategory(J672)</f>
        <v>Neutral</v>
      </c>
    </row>
    <row r="673" spans="1:11" ht="17" x14ac:dyDescent="0.2">
      <c r="A673" t="s">
        <v>4337</v>
      </c>
      <c r="B673" s="1" t="s">
        <v>4338</v>
      </c>
      <c r="C673" t="s">
        <v>147</v>
      </c>
      <c r="D673" s="1" t="s">
        <v>2</v>
      </c>
      <c r="E673" t="b">
        <v>0</v>
      </c>
      <c r="F673">
        <v>39</v>
      </c>
      <c r="G673">
        <v>114</v>
      </c>
      <c r="H673" t="s">
        <v>11</v>
      </c>
      <c r="I673" t="b">
        <v>0</v>
      </c>
      <c r="J673" cm="1">
        <f t="array" ref="J673">sentimentCalc(B673)</f>
        <v>0</v>
      </c>
      <c r="K673" t="str" cm="1">
        <f t="array" ref="K673">sentimentCategory(J673)</f>
        <v>Neutral</v>
      </c>
    </row>
    <row r="674" spans="1:11" ht="17" x14ac:dyDescent="0.2">
      <c r="A674" t="s">
        <v>915</v>
      </c>
      <c r="B674" s="1" t="s">
        <v>916</v>
      </c>
      <c r="C674" t="s">
        <v>917</v>
      </c>
      <c r="D674" s="1" t="s">
        <v>730</v>
      </c>
      <c r="E674" t="b">
        <v>0</v>
      </c>
      <c r="F674">
        <v>144</v>
      </c>
      <c r="G674">
        <v>303</v>
      </c>
      <c r="H674" t="s">
        <v>11</v>
      </c>
      <c r="I674" t="b">
        <v>0</v>
      </c>
      <c r="J674" cm="1">
        <f t="array" ref="J674">sentimentCalc(B674)</f>
        <v>1</v>
      </c>
      <c r="K674" t="str" cm="1">
        <f t="array" ref="K674">sentimentCategory(J674)</f>
        <v>Positive</v>
      </c>
    </row>
    <row r="675" spans="1:11" ht="34" x14ac:dyDescent="0.2">
      <c r="A675" t="s">
        <v>3178</v>
      </c>
      <c r="B675" s="1" t="s">
        <v>3179</v>
      </c>
      <c r="C675" t="s">
        <v>3180</v>
      </c>
      <c r="D675" s="1" t="s">
        <v>3181</v>
      </c>
      <c r="E675" t="b">
        <v>0</v>
      </c>
      <c r="F675">
        <v>61</v>
      </c>
      <c r="G675">
        <v>246</v>
      </c>
      <c r="H675" t="s">
        <v>11</v>
      </c>
      <c r="I675" t="b">
        <v>0</v>
      </c>
      <c r="J675" cm="1">
        <f t="array" ref="J675">sentimentCalc(B675)</f>
        <v>0</v>
      </c>
      <c r="K675" t="str" cm="1">
        <f t="array" ref="K675">sentimentCategory(J675)</f>
        <v>Neutral</v>
      </c>
    </row>
    <row r="676" spans="1:11" ht="17" x14ac:dyDescent="0.2">
      <c r="A676" t="s">
        <v>4993</v>
      </c>
      <c r="B676" s="1" t="s">
        <v>4994</v>
      </c>
      <c r="C676" t="s">
        <v>3160</v>
      </c>
      <c r="D676" s="1" t="s">
        <v>4995</v>
      </c>
      <c r="E676" t="b">
        <v>0</v>
      </c>
      <c r="F676">
        <v>336</v>
      </c>
      <c r="G676">
        <v>158</v>
      </c>
      <c r="H676" t="s">
        <v>11</v>
      </c>
      <c r="I676" t="b">
        <v>0</v>
      </c>
      <c r="J676" cm="1">
        <f t="array" ref="J676">sentimentCalc(B676)</f>
        <v>0</v>
      </c>
      <c r="K676" t="str" cm="1">
        <f t="array" ref="K676">sentimentCategory(J676)</f>
        <v>Neutral</v>
      </c>
    </row>
    <row r="677" spans="1:11" ht="17" x14ac:dyDescent="0.2">
      <c r="A677" t="s">
        <v>4533</v>
      </c>
      <c r="B677" s="1" t="s">
        <v>4534</v>
      </c>
      <c r="C677" t="s">
        <v>1592</v>
      </c>
      <c r="D677" s="1" t="s">
        <v>1593</v>
      </c>
      <c r="E677" t="b">
        <v>0</v>
      </c>
      <c r="F677">
        <v>4</v>
      </c>
      <c r="G677">
        <v>0</v>
      </c>
      <c r="H677" t="s">
        <v>11</v>
      </c>
      <c r="I677" t="b">
        <v>0</v>
      </c>
      <c r="J677" cm="1">
        <f t="array" ref="J677">sentimentCalc(B677)</f>
        <v>0</v>
      </c>
      <c r="K677" t="str" cm="1">
        <f t="array" ref="K677">sentimentCategory(J677)</f>
        <v>Neutral</v>
      </c>
    </row>
    <row r="678" spans="1:11" ht="34" x14ac:dyDescent="0.2">
      <c r="A678" t="s">
        <v>4144</v>
      </c>
      <c r="B678" s="1" t="s">
        <v>4145</v>
      </c>
      <c r="C678" t="s">
        <v>173</v>
      </c>
      <c r="D678" s="1" t="s">
        <v>2</v>
      </c>
      <c r="E678" t="b">
        <v>0</v>
      </c>
      <c r="F678">
        <v>19</v>
      </c>
      <c r="G678">
        <v>51</v>
      </c>
      <c r="H678" t="s">
        <v>11</v>
      </c>
      <c r="I678" t="b">
        <v>0</v>
      </c>
      <c r="J678" cm="1">
        <f t="array" ref="J678">sentimentCalc(B678)</f>
        <v>0</v>
      </c>
      <c r="K678" t="str" cm="1">
        <f t="array" ref="K678">sentimentCategory(J678)</f>
        <v>Neutral</v>
      </c>
    </row>
    <row r="679" spans="1:11" ht="17" x14ac:dyDescent="0.2">
      <c r="A679" t="s">
        <v>3587</v>
      </c>
      <c r="B679" s="1" t="s">
        <v>3588</v>
      </c>
      <c r="C679" t="s">
        <v>100</v>
      </c>
      <c r="D679" s="1" t="s">
        <v>3589</v>
      </c>
      <c r="E679" t="b">
        <v>0</v>
      </c>
      <c r="F679">
        <v>154</v>
      </c>
      <c r="G679">
        <v>288</v>
      </c>
      <c r="H679" t="s">
        <v>11</v>
      </c>
      <c r="I679" t="b">
        <v>0</v>
      </c>
      <c r="J679" cm="1">
        <f t="array" ref="J679">sentimentCalc(B679)</f>
        <v>0</v>
      </c>
      <c r="K679" t="str" cm="1">
        <f t="array" ref="K679">sentimentCategory(J679)</f>
        <v>Neutral</v>
      </c>
    </row>
    <row r="680" spans="1:11" ht="17" x14ac:dyDescent="0.2">
      <c r="A680" t="s">
        <v>3306</v>
      </c>
      <c r="B680" s="1" t="s">
        <v>3307</v>
      </c>
      <c r="C680" t="s">
        <v>301</v>
      </c>
      <c r="D680" s="1" t="s">
        <v>302</v>
      </c>
      <c r="E680" t="b">
        <v>0</v>
      </c>
      <c r="F680">
        <v>459</v>
      </c>
      <c r="G680">
        <v>133</v>
      </c>
      <c r="H680" t="s">
        <v>11</v>
      </c>
      <c r="I680" t="b">
        <v>0</v>
      </c>
      <c r="J680" cm="1">
        <f t="array" ref="J680">sentimentCalc(B680)</f>
        <v>0</v>
      </c>
      <c r="K680" t="str" cm="1">
        <f t="array" ref="K680">sentimentCategory(J680)</f>
        <v>Neutral</v>
      </c>
    </row>
    <row r="681" spans="1:11" ht="17" x14ac:dyDescent="0.2">
      <c r="A681" t="s">
        <v>4304</v>
      </c>
      <c r="B681" s="1" t="s">
        <v>4305</v>
      </c>
      <c r="C681" t="s">
        <v>3289</v>
      </c>
      <c r="D681" s="1" t="s">
        <v>2</v>
      </c>
      <c r="E681" t="b">
        <v>0</v>
      </c>
      <c r="F681">
        <v>12</v>
      </c>
      <c r="G681">
        <v>35</v>
      </c>
      <c r="H681" t="s">
        <v>11</v>
      </c>
      <c r="I681" t="b">
        <v>0</v>
      </c>
      <c r="J681" cm="1">
        <f t="array" ref="J681">sentimentCalc(B681)</f>
        <v>-1</v>
      </c>
      <c r="K681" t="str" cm="1">
        <f t="array" ref="K681">sentimentCategory(J681)</f>
        <v>Negative</v>
      </c>
    </row>
    <row r="682" spans="1:11" ht="34" x14ac:dyDescent="0.2">
      <c r="A682" t="s">
        <v>5328</v>
      </c>
      <c r="B682" s="1" t="s">
        <v>5329</v>
      </c>
      <c r="C682" t="s">
        <v>275</v>
      </c>
      <c r="D682" s="1" t="s">
        <v>565</v>
      </c>
      <c r="E682" t="b">
        <v>0</v>
      </c>
      <c r="F682">
        <v>299</v>
      </c>
      <c r="G682">
        <v>310</v>
      </c>
      <c r="H682" t="s">
        <v>11</v>
      </c>
      <c r="I682" t="b">
        <v>0</v>
      </c>
      <c r="J682" cm="1">
        <f t="array" ref="J682">sentimentCalc(B682)</f>
        <v>0</v>
      </c>
      <c r="K682" t="str" cm="1">
        <f t="array" ref="K682">sentimentCategory(J682)</f>
        <v>Neutral</v>
      </c>
    </row>
    <row r="683" spans="1:11" ht="17" x14ac:dyDescent="0.2">
      <c r="A683" t="s">
        <v>2027</v>
      </c>
      <c r="B683" s="1" t="s">
        <v>2028</v>
      </c>
      <c r="C683" t="s">
        <v>2029</v>
      </c>
      <c r="D683" s="1" t="s">
        <v>109</v>
      </c>
      <c r="E683" t="b">
        <v>0</v>
      </c>
      <c r="F683">
        <v>648</v>
      </c>
      <c r="G683">
        <v>45</v>
      </c>
      <c r="H683" t="s">
        <v>11</v>
      </c>
      <c r="I683" t="b">
        <v>0</v>
      </c>
      <c r="J683" cm="1">
        <f t="array" ref="J683">sentimentCalc(B683)</f>
        <v>0</v>
      </c>
      <c r="K683" t="str" cm="1">
        <f t="array" ref="K683">sentimentCategory(J683)</f>
        <v>Neutral</v>
      </c>
    </row>
    <row r="684" spans="1:11" ht="17" x14ac:dyDescent="0.2">
      <c r="A684" t="s">
        <v>6274</v>
      </c>
      <c r="B684" s="1" t="s">
        <v>6275</v>
      </c>
      <c r="C684" t="s">
        <v>6276</v>
      </c>
      <c r="D684" s="1" t="s">
        <v>6277</v>
      </c>
      <c r="E684" t="b">
        <v>0</v>
      </c>
      <c r="F684">
        <v>12</v>
      </c>
      <c r="G684">
        <v>54</v>
      </c>
      <c r="H684" t="s">
        <v>338</v>
      </c>
      <c r="I684" t="b">
        <v>0</v>
      </c>
      <c r="J684" cm="1">
        <f t="array" ref="J684">sentimentCalc(B684)</f>
        <v>0</v>
      </c>
      <c r="K684" t="str" cm="1">
        <f t="array" ref="K684">sentimentCategory(J684)</f>
        <v>Neutral</v>
      </c>
    </row>
    <row r="685" spans="1:11" ht="34" x14ac:dyDescent="0.2">
      <c r="A685" t="s">
        <v>3247</v>
      </c>
      <c r="B685" s="1" t="s">
        <v>3251</v>
      </c>
      <c r="C685" t="s">
        <v>814</v>
      </c>
      <c r="D685" s="1" t="s">
        <v>3252</v>
      </c>
      <c r="E685" t="b">
        <v>0</v>
      </c>
      <c r="F685">
        <v>719</v>
      </c>
      <c r="G685">
        <v>733</v>
      </c>
      <c r="H685" t="s">
        <v>11</v>
      </c>
      <c r="I685" t="b">
        <v>0</v>
      </c>
      <c r="J685" cm="1">
        <f t="array" ref="J685">sentimentCalc(B685)</f>
        <v>-1</v>
      </c>
      <c r="K685" t="str" cm="1">
        <f t="array" ref="K685">sentimentCategory(J685)</f>
        <v>Negative</v>
      </c>
    </row>
    <row r="686" spans="1:11" ht="17" x14ac:dyDescent="0.2">
      <c r="A686" t="s">
        <v>2571</v>
      </c>
      <c r="B686" s="1" t="s">
        <v>2572</v>
      </c>
      <c r="C686" t="s">
        <v>2573</v>
      </c>
      <c r="D686" s="1" t="s">
        <v>2574</v>
      </c>
      <c r="E686" t="b">
        <v>0</v>
      </c>
      <c r="F686">
        <v>67</v>
      </c>
      <c r="G686">
        <v>152</v>
      </c>
      <c r="H686" t="s">
        <v>11</v>
      </c>
      <c r="I686" t="b">
        <v>0</v>
      </c>
      <c r="J686" cm="1">
        <f t="array" ref="J686">sentimentCalc(B686)</f>
        <v>0</v>
      </c>
      <c r="K686" t="str" cm="1">
        <f t="array" ref="K686">sentimentCategory(J686)</f>
        <v>Neutral</v>
      </c>
    </row>
    <row r="687" spans="1:11" ht="17" x14ac:dyDescent="0.2">
      <c r="A687" t="s">
        <v>1763</v>
      </c>
      <c r="B687" s="1" t="s">
        <v>1764</v>
      </c>
      <c r="C687" t="s">
        <v>349</v>
      </c>
      <c r="D687" s="1" t="s">
        <v>2</v>
      </c>
      <c r="E687" t="b">
        <v>0</v>
      </c>
      <c r="F687">
        <v>6</v>
      </c>
      <c r="G687">
        <v>77</v>
      </c>
      <c r="H687" t="s">
        <v>11</v>
      </c>
      <c r="I687" t="b">
        <v>0</v>
      </c>
      <c r="J687" cm="1">
        <f t="array" ref="J687">sentimentCalc(B687)</f>
        <v>-3</v>
      </c>
      <c r="K687" t="str" cm="1">
        <f t="array" ref="K687">sentimentCategory(J687)</f>
        <v>Negative</v>
      </c>
    </row>
    <row r="688" spans="1:11" ht="17" x14ac:dyDescent="0.2">
      <c r="A688" t="s">
        <v>6736</v>
      </c>
      <c r="B688" s="1" t="s">
        <v>6740</v>
      </c>
      <c r="C688" t="s">
        <v>1245</v>
      </c>
      <c r="D688" s="1" t="s">
        <v>2272</v>
      </c>
      <c r="E688" t="b">
        <v>0</v>
      </c>
      <c r="F688">
        <v>14</v>
      </c>
      <c r="G688">
        <v>157</v>
      </c>
      <c r="H688" t="s">
        <v>11</v>
      </c>
      <c r="I688" t="b">
        <v>0</v>
      </c>
      <c r="J688" cm="1">
        <f t="array" ref="J688">sentimentCalc(B688)</f>
        <v>0</v>
      </c>
      <c r="K688" t="str" cm="1">
        <f t="array" ref="K688">sentimentCategory(J688)</f>
        <v>Neutral</v>
      </c>
    </row>
    <row r="689" spans="1:11" ht="17" x14ac:dyDescent="0.2">
      <c r="A689" t="s">
        <v>1384</v>
      </c>
      <c r="B689" s="1" t="s">
        <v>1385</v>
      </c>
      <c r="C689" t="s">
        <v>754</v>
      </c>
      <c r="D689" s="1" t="s">
        <v>2</v>
      </c>
      <c r="E689" t="b">
        <v>0</v>
      </c>
      <c r="F689">
        <v>697</v>
      </c>
      <c r="G689">
        <v>411</v>
      </c>
      <c r="H689" t="s">
        <v>11</v>
      </c>
      <c r="I689" t="b">
        <v>0</v>
      </c>
      <c r="J689" cm="1">
        <f t="array" ref="J689">sentimentCalc(B689)</f>
        <v>0</v>
      </c>
      <c r="K689" t="str" cm="1">
        <f t="array" ref="K689">sentimentCategory(J689)</f>
        <v>Neutral</v>
      </c>
    </row>
    <row r="690" spans="1:11" ht="17" x14ac:dyDescent="0.2">
      <c r="A690" t="s">
        <v>371</v>
      </c>
      <c r="B690" s="1" t="s">
        <v>372</v>
      </c>
      <c r="C690" t="s">
        <v>373</v>
      </c>
      <c r="D690" s="1" t="s">
        <v>2</v>
      </c>
      <c r="E690" t="b">
        <v>0</v>
      </c>
      <c r="F690">
        <v>1438</v>
      </c>
      <c r="G690">
        <v>29</v>
      </c>
      <c r="H690" t="s">
        <v>47</v>
      </c>
      <c r="I690" t="b">
        <v>0</v>
      </c>
      <c r="J690" cm="1">
        <f t="array" ref="J690">sentimentCalc(B690)</f>
        <v>0</v>
      </c>
      <c r="K690" t="str" cm="1">
        <f t="array" ref="K690">sentimentCategory(J690)</f>
        <v>Neutral</v>
      </c>
    </row>
    <row r="691" spans="1:11" ht="17" x14ac:dyDescent="0.2">
      <c r="A691" t="s">
        <v>5089</v>
      </c>
      <c r="B691" s="1" t="s">
        <v>5093</v>
      </c>
      <c r="C691" t="s">
        <v>2300</v>
      </c>
      <c r="E691" t="b">
        <v>0</v>
      </c>
      <c r="F691">
        <v>548</v>
      </c>
      <c r="G691">
        <v>932</v>
      </c>
      <c r="H691" t="s">
        <v>31</v>
      </c>
      <c r="I691" t="b">
        <v>0</v>
      </c>
      <c r="J691" cm="1">
        <f t="array" ref="J691">sentimentCalc(B691)</f>
        <v>0</v>
      </c>
      <c r="K691" t="str" cm="1">
        <f t="array" ref="K691">sentimentCategory(J691)</f>
        <v>Neutral</v>
      </c>
    </row>
    <row r="692" spans="1:11" ht="17" x14ac:dyDescent="0.2">
      <c r="A692" t="s">
        <v>352</v>
      </c>
      <c r="B692" s="1" t="s">
        <v>353</v>
      </c>
      <c r="C692" t="s">
        <v>354</v>
      </c>
      <c r="D692" s="1" t="s">
        <v>355</v>
      </c>
      <c r="E692" t="b">
        <v>0</v>
      </c>
      <c r="F692">
        <v>9948</v>
      </c>
      <c r="G692">
        <v>389</v>
      </c>
      <c r="H692" t="s">
        <v>11</v>
      </c>
      <c r="I692" t="b">
        <v>0</v>
      </c>
      <c r="J692" cm="1">
        <f t="array" ref="J692">sentimentCalc(B692)</f>
        <v>-1</v>
      </c>
      <c r="K692" t="str" cm="1">
        <f t="array" ref="K692">sentimentCategory(J692)</f>
        <v>Negative</v>
      </c>
    </row>
    <row r="693" spans="1:11" ht="17" x14ac:dyDescent="0.2">
      <c r="A693" t="s">
        <v>7133</v>
      </c>
      <c r="B693" s="1" t="s">
        <v>7134</v>
      </c>
      <c r="C693" t="s">
        <v>7135</v>
      </c>
      <c r="D693" s="1" t="s">
        <v>2</v>
      </c>
      <c r="E693" t="b">
        <v>0</v>
      </c>
      <c r="F693">
        <v>3764</v>
      </c>
      <c r="G693">
        <v>508</v>
      </c>
      <c r="H693" t="s">
        <v>11</v>
      </c>
      <c r="I693" t="b">
        <v>0</v>
      </c>
      <c r="J693" cm="1">
        <f t="array" ref="J693">sentimentCalc(B693)</f>
        <v>0</v>
      </c>
      <c r="K693" t="str" cm="1">
        <f t="array" ref="K693">sentimentCategory(J693)</f>
        <v>Neutral</v>
      </c>
    </row>
    <row r="694" spans="1:11" ht="17" x14ac:dyDescent="0.2">
      <c r="A694" t="s">
        <v>3663</v>
      </c>
      <c r="B694" s="1" t="s">
        <v>3664</v>
      </c>
      <c r="C694" t="s">
        <v>3665</v>
      </c>
      <c r="D694" s="1" t="s">
        <v>3666</v>
      </c>
      <c r="E694" t="b">
        <v>0</v>
      </c>
      <c r="F694">
        <v>116</v>
      </c>
      <c r="G694">
        <v>250</v>
      </c>
      <c r="H694" t="s">
        <v>110</v>
      </c>
      <c r="I694" t="b">
        <v>0</v>
      </c>
      <c r="J694" cm="1">
        <f t="array" ref="J694">sentimentCalc(B694)</f>
        <v>0</v>
      </c>
      <c r="K694" t="str" cm="1">
        <f t="array" ref="K694">sentimentCategory(J694)</f>
        <v>Neutral</v>
      </c>
    </row>
    <row r="695" spans="1:11" ht="17" x14ac:dyDescent="0.2">
      <c r="A695" t="s">
        <v>756</v>
      </c>
      <c r="B695" s="1" t="s">
        <v>757</v>
      </c>
      <c r="C695" t="s">
        <v>604</v>
      </c>
      <c r="D695" s="1" t="s">
        <v>2</v>
      </c>
      <c r="E695" t="b">
        <v>0</v>
      </c>
      <c r="F695">
        <v>428</v>
      </c>
      <c r="G695">
        <v>599</v>
      </c>
      <c r="H695" t="s">
        <v>11</v>
      </c>
      <c r="I695" t="b">
        <v>0</v>
      </c>
      <c r="J695" cm="1">
        <f t="array" ref="J695">sentimentCalc(B695)</f>
        <v>0</v>
      </c>
      <c r="K695" t="str" cm="1">
        <f t="array" ref="K695">sentimentCategory(J695)</f>
        <v>Neutral</v>
      </c>
    </row>
    <row r="696" spans="1:11" ht="17" x14ac:dyDescent="0.2">
      <c r="A696" t="s">
        <v>3402</v>
      </c>
      <c r="B696" s="1" t="s">
        <v>3403</v>
      </c>
      <c r="C696" t="s">
        <v>3404</v>
      </c>
      <c r="D696" s="1" t="s">
        <v>1423</v>
      </c>
      <c r="E696" t="b">
        <v>0</v>
      </c>
      <c r="F696">
        <v>27</v>
      </c>
      <c r="G696">
        <v>141</v>
      </c>
      <c r="H696" t="s">
        <v>83</v>
      </c>
      <c r="I696" t="b">
        <v>0</v>
      </c>
      <c r="J696" cm="1">
        <f t="array" ref="J696">sentimentCalc(B696)</f>
        <v>0</v>
      </c>
      <c r="K696" t="str" cm="1">
        <f t="array" ref="K696">sentimentCategory(J696)</f>
        <v>Neutral</v>
      </c>
    </row>
    <row r="697" spans="1:11" ht="34" x14ac:dyDescent="0.2">
      <c r="A697" t="s">
        <v>764</v>
      </c>
      <c r="B697" s="1" t="s">
        <v>765</v>
      </c>
      <c r="C697" t="s">
        <v>766</v>
      </c>
      <c r="D697" s="1" t="s">
        <v>2</v>
      </c>
      <c r="E697" t="b">
        <v>0</v>
      </c>
      <c r="F697">
        <v>141</v>
      </c>
      <c r="G697">
        <v>292</v>
      </c>
      <c r="H697" t="s">
        <v>11</v>
      </c>
      <c r="I697" t="b">
        <v>0</v>
      </c>
      <c r="J697" cm="1">
        <f t="array" ref="J697">sentimentCalc(B697)</f>
        <v>2</v>
      </c>
      <c r="K697" t="str" cm="1">
        <f t="array" ref="K697">sentimentCategory(J697)</f>
        <v>Positive</v>
      </c>
    </row>
    <row r="698" spans="1:11" ht="17" x14ac:dyDescent="0.2">
      <c r="A698" t="s">
        <v>6829</v>
      </c>
      <c r="B698" s="1" t="s">
        <v>6830</v>
      </c>
      <c r="C698" t="s">
        <v>2938</v>
      </c>
      <c r="D698" s="1" t="s">
        <v>6831</v>
      </c>
      <c r="E698" t="b">
        <v>0</v>
      </c>
      <c r="F698">
        <v>2725</v>
      </c>
      <c r="G698">
        <v>3875</v>
      </c>
      <c r="H698" t="s">
        <v>11</v>
      </c>
      <c r="I698" t="b">
        <v>0</v>
      </c>
      <c r="J698" cm="1">
        <f t="array" ref="J698">sentimentCalc(B698)</f>
        <v>0</v>
      </c>
      <c r="K698" t="str" cm="1">
        <f t="array" ref="K698">sentimentCategory(J698)</f>
        <v>Neutral</v>
      </c>
    </row>
    <row r="699" spans="1:11" ht="34" x14ac:dyDescent="0.2">
      <c r="A699" t="s">
        <v>4641</v>
      </c>
      <c r="B699" s="1" t="s">
        <v>4642</v>
      </c>
      <c r="C699" t="s">
        <v>4643</v>
      </c>
      <c r="D699" s="1" t="s">
        <v>2</v>
      </c>
      <c r="E699" t="b">
        <v>0</v>
      </c>
      <c r="F699">
        <v>3795</v>
      </c>
      <c r="G699">
        <v>95</v>
      </c>
      <c r="H699" t="s">
        <v>47</v>
      </c>
      <c r="I699" t="b">
        <v>0</v>
      </c>
      <c r="J699" cm="1">
        <f t="array" ref="J699">sentimentCalc(B699)</f>
        <v>0</v>
      </c>
      <c r="K699" t="str" cm="1">
        <f t="array" ref="K699">sentimentCategory(J699)</f>
        <v>Neutral</v>
      </c>
    </row>
    <row r="700" spans="1:11" ht="17" x14ac:dyDescent="0.2">
      <c r="A700" t="s">
        <v>5280</v>
      </c>
      <c r="B700" s="1" t="s">
        <v>5281</v>
      </c>
      <c r="C700" t="s">
        <v>1320</v>
      </c>
      <c r="D700" s="1" t="s">
        <v>2</v>
      </c>
      <c r="E700" t="b">
        <v>0</v>
      </c>
      <c r="F700">
        <v>1</v>
      </c>
      <c r="G700">
        <v>42</v>
      </c>
      <c r="H700" t="s">
        <v>11</v>
      </c>
      <c r="I700" t="b">
        <v>0</v>
      </c>
      <c r="J700" cm="1">
        <f t="array" ref="J700">sentimentCalc(B700)</f>
        <v>1</v>
      </c>
      <c r="K700" t="str" cm="1">
        <f t="array" ref="K700">sentimentCategory(J700)</f>
        <v>Positive</v>
      </c>
    </row>
    <row r="701" spans="1:11" ht="17" x14ac:dyDescent="0.2">
      <c r="A701" t="s">
        <v>3620</v>
      </c>
      <c r="B701" s="1" t="s">
        <v>3621</v>
      </c>
      <c r="C701" t="s">
        <v>483</v>
      </c>
      <c r="D701" s="1" t="s">
        <v>2</v>
      </c>
      <c r="E701" t="b">
        <v>0</v>
      </c>
      <c r="F701">
        <v>14</v>
      </c>
      <c r="G701">
        <v>5</v>
      </c>
      <c r="H701" t="s">
        <v>11</v>
      </c>
      <c r="I701" t="b">
        <v>0</v>
      </c>
      <c r="J701" cm="1">
        <f t="array" ref="J701">sentimentCalc(B701)</f>
        <v>1</v>
      </c>
      <c r="K701" t="str" cm="1">
        <f t="array" ref="K701">sentimentCategory(J701)</f>
        <v>Positive</v>
      </c>
    </row>
    <row r="702" spans="1:11" ht="17" x14ac:dyDescent="0.2">
      <c r="A702" t="s">
        <v>7136</v>
      </c>
      <c r="B702" s="1" t="s">
        <v>7137</v>
      </c>
      <c r="C702" t="s">
        <v>289</v>
      </c>
      <c r="D702" s="1" t="s">
        <v>2</v>
      </c>
      <c r="E702" t="b">
        <v>0</v>
      </c>
      <c r="F702">
        <v>3637</v>
      </c>
      <c r="G702">
        <v>3735</v>
      </c>
      <c r="H702" t="s">
        <v>11</v>
      </c>
      <c r="I702" t="b">
        <v>0</v>
      </c>
      <c r="J702" cm="1">
        <f t="array" ref="J702">sentimentCalc(B702)</f>
        <v>0</v>
      </c>
      <c r="K702" t="str" cm="1">
        <f t="array" ref="K702">sentimentCategory(J702)</f>
        <v>Neutral</v>
      </c>
    </row>
    <row r="703" spans="1:11" ht="17" x14ac:dyDescent="0.2">
      <c r="A703" t="s">
        <v>2885</v>
      </c>
      <c r="B703" s="1" t="s">
        <v>2886</v>
      </c>
      <c r="C703" t="s">
        <v>2024</v>
      </c>
      <c r="D703" s="1" t="s">
        <v>2767</v>
      </c>
      <c r="E703" t="b">
        <v>0</v>
      </c>
      <c r="F703">
        <v>1322</v>
      </c>
      <c r="G703">
        <v>1009</v>
      </c>
      <c r="H703" t="s">
        <v>11</v>
      </c>
      <c r="I703" t="b">
        <v>0</v>
      </c>
      <c r="J703" cm="1">
        <f t="array" ref="J703">sentimentCalc(B703)</f>
        <v>0</v>
      </c>
      <c r="K703" t="str" cm="1">
        <f t="array" ref="K703">sentimentCategory(J703)</f>
        <v>Neutral</v>
      </c>
    </row>
    <row r="704" spans="1:11" ht="34" x14ac:dyDescent="0.2">
      <c r="A704" t="s">
        <v>585</v>
      </c>
      <c r="B704" s="1" t="s">
        <v>586</v>
      </c>
      <c r="C704" t="s">
        <v>587</v>
      </c>
      <c r="D704" s="1" t="s">
        <v>588</v>
      </c>
      <c r="E704" t="b">
        <v>0</v>
      </c>
      <c r="F704">
        <v>1</v>
      </c>
      <c r="G704">
        <v>0</v>
      </c>
      <c r="H704" t="s">
        <v>11</v>
      </c>
      <c r="I704" t="b">
        <v>0</v>
      </c>
      <c r="J704" cm="1">
        <f t="array" ref="J704">sentimentCalc(B704)</f>
        <v>0</v>
      </c>
      <c r="K704" t="str" cm="1">
        <f t="array" ref="K704">sentimentCategory(J704)</f>
        <v>Neutral</v>
      </c>
    </row>
    <row r="705" spans="1:11" ht="17" x14ac:dyDescent="0.2">
      <c r="A705" t="s">
        <v>1782</v>
      </c>
      <c r="B705" s="1" t="s">
        <v>1783</v>
      </c>
      <c r="C705" t="s">
        <v>1784</v>
      </c>
      <c r="D705" s="1" t="s">
        <v>2</v>
      </c>
      <c r="E705" t="b">
        <v>0</v>
      </c>
      <c r="F705">
        <v>619</v>
      </c>
      <c r="G705">
        <v>1376</v>
      </c>
      <c r="H705" t="s">
        <v>11</v>
      </c>
      <c r="I705" t="b">
        <v>0</v>
      </c>
      <c r="J705" cm="1">
        <f t="array" ref="J705">sentimentCalc(B705)</f>
        <v>1</v>
      </c>
      <c r="K705" t="str" cm="1">
        <f t="array" ref="K705">sentimentCategory(J705)</f>
        <v>Positive</v>
      </c>
    </row>
    <row r="706" spans="1:11" ht="17" x14ac:dyDescent="0.2">
      <c r="A706" t="s">
        <v>1187</v>
      </c>
      <c r="B706" s="1" t="s">
        <v>1188</v>
      </c>
      <c r="C706" t="s">
        <v>1189</v>
      </c>
      <c r="D706" s="1" t="s">
        <v>1190</v>
      </c>
      <c r="E706" t="b">
        <v>0</v>
      </c>
      <c r="F706">
        <v>7993</v>
      </c>
      <c r="G706">
        <v>410</v>
      </c>
      <c r="H706" t="s">
        <v>11</v>
      </c>
      <c r="I706" t="b">
        <v>0</v>
      </c>
      <c r="J706" cm="1">
        <f t="array" ref="J706">sentimentCalc(B706)</f>
        <v>0</v>
      </c>
      <c r="K706" t="str" cm="1">
        <f t="array" ref="K706">sentimentCategory(J706)</f>
        <v>Neutral</v>
      </c>
    </row>
    <row r="707" spans="1:11" ht="17" x14ac:dyDescent="0.2">
      <c r="A707" t="s">
        <v>7008</v>
      </c>
      <c r="B707" s="1" t="s">
        <v>7009</v>
      </c>
      <c r="C707" t="s">
        <v>94</v>
      </c>
      <c r="D707" s="1" t="s">
        <v>7010</v>
      </c>
      <c r="E707" t="b">
        <v>0</v>
      </c>
      <c r="F707">
        <v>360</v>
      </c>
      <c r="G707">
        <v>1610</v>
      </c>
      <c r="H707" t="s">
        <v>47</v>
      </c>
      <c r="I707" t="b">
        <v>0</v>
      </c>
      <c r="J707" cm="1">
        <f t="array" ref="J707">sentimentCalc(B707)</f>
        <v>1</v>
      </c>
      <c r="K707" t="str" cm="1">
        <f t="array" ref="K707">sentimentCategory(J707)</f>
        <v>Positive</v>
      </c>
    </row>
    <row r="708" spans="1:11" ht="34" x14ac:dyDescent="0.2">
      <c r="A708" t="s">
        <v>5822</v>
      </c>
      <c r="B708" s="1" t="s">
        <v>5823</v>
      </c>
      <c r="C708" t="s">
        <v>636</v>
      </c>
      <c r="D708" s="1" t="s">
        <v>2</v>
      </c>
      <c r="E708" t="b">
        <v>0</v>
      </c>
      <c r="F708">
        <v>3087</v>
      </c>
      <c r="G708">
        <v>553</v>
      </c>
      <c r="H708" t="s">
        <v>11</v>
      </c>
      <c r="I708" t="b">
        <v>0</v>
      </c>
      <c r="J708" cm="1">
        <f t="array" ref="J708">sentimentCalc(B708)</f>
        <v>2</v>
      </c>
      <c r="K708" t="str" cm="1">
        <f t="array" ref="K708">sentimentCategory(J708)</f>
        <v>Positive</v>
      </c>
    </row>
    <row r="709" spans="1:11" ht="17" x14ac:dyDescent="0.2">
      <c r="A709" t="s">
        <v>3797</v>
      </c>
      <c r="B709" s="1" t="s">
        <v>3798</v>
      </c>
      <c r="C709" t="s">
        <v>2098</v>
      </c>
      <c r="D709" s="1" t="s">
        <v>54</v>
      </c>
      <c r="E709" t="b">
        <v>1</v>
      </c>
      <c r="F709">
        <v>149787</v>
      </c>
      <c r="G709">
        <v>949</v>
      </c>
      <c r="H709" t="s">
        <v>3</v>
      </c>
      <c r="I709" t="b">
        <v>0</v>
      </c>
      <c r="J709" cm="1">
        <f t="array" ref="J709">sentimentCalc(B709)</f>
        <v>0</v>
      </c>
      <c r="K709" t="str" cm="1">
        <f t="array" ref="K709">sentimentCategory(J709)</f>
        <v>Neutral</v>
      </c>
    </row>
    <row r="710" spans="1:11" ht="17" x14ac:dyDescent="0.2">
      <c r="A710" t="s">
        <v>2963</v>
      </c>
      <c r="B710" s="1" t="s">
        <v>2964</v>
      </c>
      <c r="C710" t="s">
        <v>289</v>
      </c>
      <c r="D710" s="1" t="s">
        <v>2</v>
      </c>
      <c r="E710" t="b">
        <v>0</v>
      </c>
      <c r="F710">
        <v>3635</v>
      </c>
      <c r="G710">
        <v>3732</v>
      </c>
      <c r="H710" t="s">
        <v>11</v>
      </c>
      <c r="I710" t="b">
        <v>0</v>
      </c>
      <c r="J710" cm="1">
        <f t="array" ref="J710">sentimentCalc(B710)</f>
        <v>0</v>
      </c>
      <c r="K710" t="str" cm="1">
        <f t="array" ref="K710">sentimentCategory(J710)</f>
        <v>Neutral</v>
      </c>
    </row>
    <row r="711" spans="1:11" ht="17" x14ac:dyDescent="0.2">
      <c r="A711" t="s">
        <v>5386</v>
      </c>
      <c r="B711" s="1" t="s">
        <v>5387</v>
      </c>
      <c r="C711" t="s">
        <v>4537</v>
      </c>
      <c r="D711" s="1" t="s">
        <v>2716</v>
      </c>
      <c r="E711" t="b">
        <v>0</v>
      </c>
      <c r="F711">
        <v>5788</v>
      </c>
      <c r="G711">
        <v>6216</v>
      </c>
      <c r="H711" t="s">
        <v>11</v>
      </c>
      <c r="I711" t="b">
        <v>0</v>
      </c>
      <c r="J711" cm="1">
        <f t="array" ref="J711">sentimentCalc(B711)</f>
        <v>0</v>
      </c>
      <c r="K711" t="str" cm="1">
        <f t="array" ref="K711">sentimentCategory(J711)</f>
        <v>Neutral</v>
      </c>
    </row>
    <row r="712" spans="1:11" ht="17" x14ac:dyDescent="0.2">
      <c r="A712" t="s">
        <v>4857</v>
      </c>
      <c r="B712" s="1" t="s">
        <v>4858</v>
      </c>
      <c r="C712" t="s">
        <v>4750</v>
      </c>
      <c r="D712" s="1" t="s">
        <v>2</v>
      </c>
      <c r="E712" t="b">
        <v>0</v>
      </c>
      <c r="F712">
        <v>18</v>
      </c>
      <c r="G712">
        <v>107</v>
      </c>
      <c r="H712" t="s">
        <v>11</v>
      </c>
      <c r="I712" t="b">
        <v>0</v>
      </c>
      <c r="J712" cm="1">
        <f t="array" ref="J712">sentimentCalc(B712)</f>
        <v>0</v>
      </c>
      <c r="K712" t="str" cm="1">
        <f t="array" ref="K712">sentimentCategory(J712)</f>
        <v>Neutral</v>
      </c>
    </row>
    <row r="713" spans="1:11" ht="17" x14ac:dyDescent="0.2">
      <c r="A713" t="s">
        <v>5941</v>
      </c>
      <c r="B713" s="1" t="s">
        <v>5942</v>
      </c>
      <c r="C713" t="s">
        <v>5943</v>
      </c>
      <c r="D713" s="1" t="s">
        <v>5944</v>
      </c>
      <c r="E713" t="b">
        <v>0</v>
      </c>
      <c r="F713">
        <v>91</v>
      </c>
      <c r="G713">
        <v>129</v>
      </c>
      <c r="H713" t="s">
        <v>11</v>
      </c>
      <c r="I713" t="b">
        <v>0</v>
      </c>
      <c r="J713" cm="1">
        <f t="array" ref="J713">sentimentCalc(B713)</f>
        <v>-1</v>
      </c>
      <c r="K713" t="str" cm="1">
        <f t="array" ref="K713">sentimentCategory(J713)</f>
        <v>Negative</v>
      </c>
    </row>
    <row r="714" spans="1:11" ht="17" x14ac:dyDescent="0.2">
      <c r="A714" t="s">
        <v>5989</v>
      </c>
      <c r="B714" s="1" t="s">
        <v>5990</v>
      </c>
      <c r="C714" t="s">
        <v>4907</v>
      </c>
      <c r="D714" s="1" t="s">
        <v>5991</v>
      </c>
      <c r="E714" t="b">
        <v>0</v>
      </c>
      <c r="F714">
        <v>516</v>
      </c>
      <c r="G714">
        <v>493</v>
      </c>
      <c r="H714" t="s">
        <v>11</v>
      </c>
      <c r="I714" t="b">
        <v>0</v>
      </c>
      <c r="J714" cm="1">
        <f t="array" ref="J714">sentimentCalc(B714)</f>
        <v>0</v>
      </c>
      <c r="K714" t="str" cm="1">
        <f t="array" ref="K714">sentimentCategory(J714)</f>
        <v>Neutral</v>
      </c>
    </row>
    <row r="715" spans="1:11" ht="17" x14ac:dyDescent="0.2">
      <c r="A715" t="s">
        <v>520</v>
      </c>
      <c r="B715" s="1" t="s">
        <v>521</v>
      </c>
      <c r="C715" t="s">
        <v>522</v>
      </c>
      <c r="D715" s="1" t="s">
        <v>523</v>
      </c>
      <c r="E715" t="b">
        <v>0</v>
      </c>
      <c r="F715">
        <v>1431</v>
      </c>
      <c r="G715">
        <v>1784</v>
      </c>
      <c r="H715" t="s">
        <v>11</v>
      </c>
      <c r="I715" t="b">
        <v>0</v>
      </c>
      <c r="J715" cm="1">
        <f t="array" ref="J715">sentimentCalc(B715)</f>
        <v>0</v>
      </c>
      <c r="K715" t="str" cm="1">
        <f t="array" ref="K715">sentimentCategory(J715)</f>
        <v>Neutral</v>
      </c>
    </row>
    <row r="716" spans="1:11" ht="17" x14ac:dyDescent="0.2">
      <c r="A716" t="s">
        <v>7096</v>
      </c>
      <c r="B716" s="1" t="s">
        <v>7097</v>
      </c>
      <c r="C716" t="s">
        <v>5032</v>
      </c>
      <c r="D716" s="1" t="s">
        <v>487</v>
      </c>
      <c r="E716" t="b">
        <v>0</v>
      </c>
      <c r="F716">
        <v>285</v>
      </c>
      <c r="G716">
        <v>355</v>
      </c>
      <c r="H716" t="s">
        <v>11</v>
      </c>
      <c r="I716" t="b">
        <v>0</v>
      </c>
      <c r="J716" cm="1">
        <f t="array" ref="J716">sentimentCalc(B716)</f>
        <v>0</v>
      </c>
      <c r="K716" t="str" cm="1">
        <f t="array" ref="K716">sentimentCategory(J716)</f>
        <v>Neutral</v>
      </c>
    </row>
    <row r="717" spans="1:11" ht="17" x14ac:dyDescent="0.2">
      <c r="A717" t="s">
        <v>5045</v>
      </c>
      <c r="B717" s="1" t="s">
        <v>5046</v>
      </c>
      <c r="C717" t="s">
        <v>649</v>
      </c>
      <c r="D717" s="1" t="s">
        <v>2</v>
      </c>
      <c r="E717" t="b">
        <v>0</v>
      </c>
      <c r="F717">
        <v>38</v>
      </c>
      <c r="G717">
        <v>14</v>
      </c>
      <c r="H717" t="s">
        <v>31</v>
      </c>
      <c r="I717" t="b">
        <v>0</v>
      </c>
      <c r="J717" cm="1">
        <f t="array" ref="J717">sentimentCalc(B717)</f>
        <v>0</v>
      </c>
      <c r="K717" t="str" cm="1">
        <f t="array" ref="K717">sentimentCategory(J717)</f>
        <v>Neutral</v>
      </c>
    </row>
    <row r="718" spans="1:11" ht="34" x14ac:dyDescent="0.2">
      <c r="A718" t="s">
        <v>6336</v>
      </c>
      <c r="B718" s="1" t="s">
        <v>6337</v>
      </c>
      <c r="C718" t="s">
        <v>26</v>
      </c>
      <c r="D718" s="1" t="s">
        <v>6338</v>
      </c>
      <c r="E718" t="b">
        <v>0</v>
      </c>
      <c r="F718">
        <v>668</v>
      </c>
      <c r="G718">
        <v>784</v>
      </c>
      <c r="H718" t="s">
        <v>11</v>
      </c>
      <c r="I718" t="b">
        <v>0</v>
      </c>
      <c r="J718" cm="1">
        <f t="array" ref="J718">sentimentCalc(B718)</f>
        <v>0</v>
      </c>
      <c r="K718" t="str" cm="1">
        <f t="array" ref="K718">sentimentCategory(J718)</f>
        <v>Neutral</v>
      </c>
    </row>
    <row r="719" spans="1:11" ht="17" x14ac:dyDescent="0.2">
      <c r="A719" t="s">
        <v>1909</v>
      </c>
      <c r="B719" s="1" t="s">
        <v>1910</v>
      </c>
      <c r="C719" t="s">
        <v>1873</v>
      </c>
      <c r="D719" s="1" t="s">
        <v>2</v>
      </c>
      <c r="E719" t="b">
        <v>0</v>
      </c>
      <c r="F719">
        <v>14</v>
      </c>
      <c r="G719">
        <v>65</v>
      </c>
      <c r="H719" t="s">
        <v>11</v>
      </c>
      <c r="I719" t="b">
        <v>0</v>
      </c>
      <c r="J719" cm="1">
        <f t="array" ref="J719">sentimentCalc(B719)</f>
        <v>0</v>
      </c>
      <c r="K719" t="str" cm="1">
        <f t="array" ref="K719">sentimentCategory(J719)</f>
        <v>Neutral</v>
      </c>
    </row>
    <row r="720" spans="1:11" ht="17" x14ac:dyDescent="0.2">
      <c r="A720" t="s">
        <v>2156</v>
      </c>
      <c r="B720" s="1" t="s">
        <v>2157</v>
      </c>
      <c r="C720" t="s">
        <v>26</v>
      </c>
      <c r="D720" s="1" t="s">
        <v>2</v>
      </c>
      <c r="E720" t="b">
        <v>0</v>
      </c>
      <c r="F720">
        <v>3</v>
      </c>
      <c r="G720">
        <v>1</v>
      </c>
      <c r="H720" t="s">
        <v>11</v>
      </c>
      <c r="I720" t="b">
        <v>0</v>
      </c>
      <c r="J720" cm="1">
        <f t="array" ref="J720">sentimentCalc(B720)</f>
        <v>0</v>
      </c>
      <c r="K720" t="str" cm="1">
        <f t="array" ref="K720">sentimentCategory(J720)</f>
        <v>Neutral</v>
      </c>
    </row>
    <row r="721" spans="1:11" ht="34" x14ac:dyDescent="0.2">
      <c r="A721" t="s">
        <v>3890</v>
      </c>
      <c r="B721" s="1" t="s">
        <v>3891</v>
      </c>
      <c r="C721" t="s">
        <v>285</v>
      </c>
      <c r="D721" s="1" t="s">
        <v>286</v>
      </c>
      <c r="E721" t="b">
        <v>0</v>
      </c>
      <c r="F721">
        <v>228</v>
      </c>
      <c r="G721">
        <v>1</v>
      </c>
      <c r="H721" t="s">
        <v>11</v>
      </c>
      <c r="I721" t="b">
        <v>0</v>
      </c>
      <c r="J721" cm="1">
        <f t="array" ref="J721">sentimentCalc(B721)</f>
        <v>0</v>
      </c>
      <c r="K721" t="str" cm="1">
        <f t="array" ref="K721">sentimentCategory(J721)</f>
        <v>Neutral</v>
      </c>
    </row>
    <row r="722" spans="1:11" ht="34" x14ac:dyDescent="0.2">
      <c r="A722" t="s">
        <v>5324</v>
      </c>
      <c r="B722" s="1" t="s">
        <v>5325</v>
      </c>
      <c r="C722" t="s">
        <v>285</v>
      </c>
      <c r="D722" s="1" t="s">
        <v>286</v>
      </c>
      <c r="E722" t="b">
        <v>0</v>
      </c>
      <c r="F722">
        <v>227</v>
      </c>
      <c r="G722">
        <v>1</v>
      </c>
      <c r="H722" t="s">
        <v>11</v>
      </c>
      <c r="I722" t="b">
        <v>0</v>
      </c>
      <c r="J722" cm="1">
        <f t="array" ref="J722">sentimentCalc(B722)</f>
        <v>0</v>
      </c>
      <c r="K722" t="str" cm="1">
        <f t="array" ref="K722">sentimentCategory(J722)</f>
        <v>Neutral</v>
      </c>
    </row>
    <row r="723" spans="1:11" ht="34" x14ac:dyDescent="0.2">
      <c r="A723" t="s">
        <v>3496</v>
      </c>
      <c r="B723" s="1" t="s">
        <v>3499</v>
      </c>
      <c r="C723" t="s">
        <v>285</v>
      </c>
      <c r="D723" s="1" t="s">
        <v>286</v>
      </c>
      <c r="E723" t="b">
        <v>0</v>
      </c>
      <c r="F723">
        <v>228</v>
      </c>
      <c r="G723">
        <v>1</v>
      </c>
      <c r="H723" t="s">
        <v>11</v>
      </c>
      <c r="I723" t="b">
        <v>0</v>
      </c>
      <c r="J723" cm="1">
        <f t="array" ref="J723">sentimentCalc(B723)</f>
        <v>0</v>
      </c>
      <c r="K723" t="str" cm="1">
        <f t="array" ref="K723">sentimentCategory(J723)</f>
        <v>Neutral</v>
      </c>
    </row>
    <row r="724" spans="1:11" ht="34" x14ac:dyDescent="0.2">
      <c r="A724" t="s">
        <v>6415</v>
      </c>
      <c r="B724" s="1" t="s">
        <v>6416</v>
      </c>
      <c r="C724" t="s">
        <v>285</v>
      </c>
      <c r="D724" s="1" t="s">
        <v>286</v>
      </c>
      <c r="E724" t="b">
        <v>0</v>
      </c>
      <c r="F724">
        <v>227</v>
      </c>
      <c r="G724">
        <v>1</v>
      </c>
      <c r="H724" t="s">
        <v>11</v>
      </c>
      <c r="I724" t="b">
        <v>0</v>
      </c>
      <c r="J724" cm="1">
        <f t="array" ref="J724">sentimentCalc(B724)</f>
        <v>0</v>
      </c>
      <c r="K724" t="str" cm="1">
        <f t="array" ref="K724">sentimentCategory(J724)</f>
        <v>Neutral</v>
      </c>
    </row>
    <row r="725" spans="1:11" ht="34" x14ac:dyDescent="0.2">
      <c r="A725" t="s">
        <v>7050</v>
      </c>
      <c r="B725" s="1" t="s">
        <v>7052</v>
      </c>
      <c r="C725" t="s">
        <v>285</v>
      </c>
      <c r="D725" s="1" t="s">
        <v>286</v>
      </c>
      <c r="E725" t="b">
        <v>0</v>
      </c>
      <c r="F725">
        <v>227</v>
      </c>
      <c r="G725">
        <v>1</v>
      </c>
      <c r="H725" t="s">
        <v>11</v>
      </c>
      <c r="I725" t="b">
        <v>0</v>
      </c>
      <c r="J725" cm="1">
        <f t="array" ref="J725">sentimentCalc(B725)</f>
        <v>0</v>
      </c>
      <c r="K725" t="str" cm="1">
        <f t="array" ref="K725">sentimentCategory(J725)</f>
        <v>Neutral</v>
      </c>
    </row>
    <row r="726" spans="1:11" ht="34" x14ac:dyDescent="0.2">
      <c r="A726" t="s">
        <v>3087</v>
      </c>
      <c r="B726" s="1" t="s">
        <v>3088</v>
      </c>
      <c r="C726" t="s">
        <v>285</v>
      </c>
      <c r="D726" s="1" t="s">
        <v>286</v>
      </c>
      <c r="E726" t="b">
        <v>0</v>
      </c>
      <c r="F726">
        <v>228</v>
      </c>
      <c r="G726">
        <v>1</v>
      </c>
      <c r="H726" t="s">
        <v>11</v>
      </c>
      <c r="I726" t="b">
        <v>0</v>
      </c>
      <c r="J726" cm="1">
        <f t="array" ref="J726">sentimentCalc(B726)</f>
        <v>0</v>
      </c>
      <c r="K726" t="str" cm="1">
        <f t="array" ref="K726">sentimentCategory(J726)</f>
        <v>Neutral</v>
      </c>
    </row>
    <row r="727" spans="1:11" ht="34" x14ac:dyDescent="0.2">
      <c r="A727" t="s">
        <v>6773</v>
      </c>
      <c r="B727" s="1" t="s">
        <v>6775</v>
      </c>
      <c r="C727" t="s">
        <v>285</v>
      </c>
      <c r="D727" s="1" t="s">
        <v>286</v>
      </c>
      <c r="E727" t="b">
        <v>0</v>
      </c>
      <c r="F727">
        <v>227</v>
      </c>
      <c r="G727">
        <v>1</v>
      </c>
      <c r="H727" t="s">
        <v>11</v>
      </c>
      <c r="I727" t="b">
        <v>0</v>
      </c>
      <c r="J727" cm="1">
        <f t="array" ref="J727">sentimentCalc(B727)</f>
        <v>0</v>
      </c>
      <c r="K727" t="str" cm="1">
        <f t="array" ref="K727">sentimentCategory(J727)</f>
        <v>Neutral</v>
      </c>
    </row>
    <row r="728" spans="1:11" ht="17" x14ac:dyDescent="0.2">
      <c r="A728" t="s">
        <v>6767</v>
      </c>
      <c r="B728" s="1" t="s">
        <v>6768</v>
      </c>
      <c r="C728" t="s">
        <v>6769</v>
      </c>
      <c r="D728" s="1" t="s">
        <v>6770</v>
      </c>
      <c r="E728" t="b">
        <v>0</v>
      </c>
      <c r="F728">
        <v>2105</v>
      </c>
      <c r="G728">
        <v>3280</v>
      </c>
      <c r="H728" t="s">
        <v>11</v>
      </c>
      <c r="I728" t="b">
        <v>0</v>
      </c>
      <c r="J728" cm="1">
        <f t="array" ref="J728">sentimentCalc(B728)</f>
        <v>0</v>
      </c>
      <c r="K728" t="str" cm="1">
        <f t="array" ref="K728">sentimentCategory(J728)</f>
        <v>Neutral</v>
      </c>
    </row>
    <row r="729" spans="1:11" ht="17" x14ac:dyDescent="0.2">
      <c r="A729" t="s">
        <v>3868</v>
      </c>
      <c r="B729" s="1" t="s">
        <v>3869</v>
      </c>
      <c r="C729" t="s">
        <v>3870</v>
      </c>
      <c r="D729" s="1" t="s">
        <v>2</v>
      </c>
      <c r="E729" t="b">
        <v>0</v>
      </c>
      <c r="F729">
        <v>56</v>
      </c>
      <c r="G729">
        <v>314</v>
      </c>
      <c r="H729" t="s">
        <v>11</v>
      </c>
      <c r="I729" t="b">
        <v>0</v>
      </c>
      <c r="J729" cm="1">
        <f t="array" ref="J729">sentimentCalc(B729)</f>
        <v>0</v>
      </c>
      <c r="K729" t="str" cm="1">
        <f t="array" ref="K729">sentimentCategory(J729)</f>
        <v>Neutral</v>
      </c>
    </row>
    <row r="730" spans="1:11" ht="34" x14ac:dyDescent="0.2">
      <c r="A730" t="s">
        <v>5739</v>
      </c>
      <c r="B730" s="1" t="s">
        <v>5740</v>
      </c>
      <c r="C730" t="s">
        <v>215</v>
      </c>
      <c r="D730" s="1" t="s">
        <v>5741</v>
      </c>
      <c r="E730" t="b">
        <v>0</v>
      </c>
      <c r="F730">
        <v>465</v>
      </c>
      <c r="G730">
        <v>111</v>
      </c>
      <c r="H730" t="s">
        <v>11</v>
      </c>
      <c r="I730" t="b">
        <v>0</v>
      </c>
      <c r="J730" cm="1">
        <f t="array" ref="J730">sentimentCalc(B730)</f>
        <v>1</v>
      </c>
      <c r="K730" t="str" cm="1">
        <f t="array" ref="K730">sentimentCategory(J730)</f>
        <v>Positive</v>
      </c>
    </row>
    <row r="731" spans="1:11" ht="17" x14ac:dyDescent="0.2">
      <c r="A731" t="s">
        <v>4015</v>
      </c>
      <c r="B731" s="1" t="s">
        <v>4016</v>
      </c>
      <c r="C731" t="s">
        <v>3999</v>
      </c>
      <c r="D731" s="1" t="s">
        <v>4000</v>
      </c>
      <c r="E731" t="b">
        <v>0</v>
      </c>
      <c r="F731">
        <v>2396</v>
      </c>
      <c r="G731">
        <v>500</v>
      </c>
      <c r="H731" t="s">
        <v>11</v>
      </c>
      <c r="I731" t="b">
        <v>0</v>
      </c>
      <c r="J731" cm="1">
        <f t="array" ref="J731">sentimentCalc(B731)</f>
        <v>0</v>
      </c>
      <c r="K731" t="str" cm="1">
        <f t="array" ref="K731">sentimentCategory(J731)</f>
        <v>Neutral</v>
      </c>
    </row>
    <row r="732" spans="1:11" ht="17" x14ac:dyDescent="0.2">
      <c r="A732" t="s">
        <v>6247</v>
      </c>
      <c r="B732" s="1" t="s">
        <v>6248</v>
      </c>
      <c r="C732" t="s">
        <v>6249</v>
      </c>
      <c r="D732" s="1" t="s">
        <v>2</v>
      </c>
      <c r="E732" t="b">
        <v>0</v>
      </c>
      <c r="F732">
        <v>1306</v>
      </c>
      <c r="G732">
        <v>1716</v>
      </c>
      <c r="H732" t="s">
        <v>11</v>
      </c>
      <c r="I732" t="b">
        <v>0</v>
      </c>
      <c r="J732" cm="1">
        <f t="array" ref="J732">sentimentCalc(B732)</f>
        <v>0</v>
      </c>
      <c r="K732" t="str" cm="1">
        <f t="array" ref="K732">sentimentCategory(J732)</f>
        <v>Neutral</v>
      </c>
    </row>
    <row r="733" spans="1:11" ht="17" x14ac:dyDescent="0.2">
      <c r="A733" t="s">
        <v>2034</v>
      </c>
      <c r="B733" s="1" t="s">
        <v>2035</v>
      </c>
      <c r="C733" t="s">
        <v>2036</v>
      </c>
      <c r="D733" s="1" t="s">
        <v>2</v>
      </c>
      <c r="E733" t="b">
        <v>0</v>
      </c>
      <c r="F733">
        <v>27</v>
      </c>
      <c r="G733">
        <v>168</v>
      </c>
      <c r="H733" t="s">
        <v>1088</v>
      </c>
      <c r="I733" t="b">
        <v>0</v>
      </c>
      <c r="J733" cm="1">
        <f t="array" ref="J733">sentimentCalc(B733)</f>
        <v>0</v>
      </c>
      <c r="K733" t="str" cm="1">
        <f t="array" ref="K733">sentimentCategory(J733)</f>
        <v>Neutral</v>
      </c>
    </row>
    <row r="734" spans="1:11" ht="34" x14ac:dyDescent="0.2">
      <c r="A734" t="s">
        <v>4719</v>
      </c>
      <c r="B734" s="1" t="s">
        <v>4720</v>
      </c>
      <c r="C734" t="s">
        <v>3964</v>
      </c>
      <c r="D734" s="1" t="s">
        <v>109</v>
      </c>
      <c r="E734" t="b">
        <v>0</v>
      </c>
      <c r="F734">
        <v>71</v>
      </c>
      <c r="G734">
        <v>179</v>
      </c>
      <c r="H734" t="s">
        <v>11</v>
      </c>
      <c r="I734" t="b">
        <v>0</v>
      </c>
      <c r="J734" cm="1">
        <f t="array" ref="J734">sentimentCalc(B734)</f>
        <v>0</v>
      </c>
      <c r="K734" t="str" cm="1">
        <f t="array" ref="K734">sentimentCategory(J734)</f>
        <v>Neutral</v>
      </c>
    </row>
    <row r="735" spans="1:11" ht="17" x14ac:dyDescent="0.2">
      <c r="A735" t="s">
        <v>4414</v>
      </c>
      <c r="B735" s="1" t="s">
        <v>4415</v>
      </c>
      <c r="C735" t="s">
        <v>4416</v>
      </c>
      <c r="D735" s="1" t="s">
        <v>4417</v>
      </c>
      <c r="E735" t="b">
        <v>0</v>
      </c>
      <c r="F735">
        <v>240</v>
      </c>
      <c r="G735">
        <v>154</v>
      </c>
      <c r="H735" t="s">
        <v>11</v>
      </c>
      <c r="I735" t="b">
        <v>0</v>
      </c>
      <c r="J735" cm="1">
        <f t="array" ref="J735">sentimentCalc(B735)</f>
        <v>0</v>
      </c>
      <c r="K735" t="str" cm="1">
        <f t="array" ref="K735">sentimentCategory(J735)</f>
        <v>Neutral</v>
      </c>
    </row>
    <row r="736" spans="1:11" ht="17" x14ac:dyDescent="0.2">
      <c r="A736" t="s">
        <v>5365</v>
      </c>
      <c r="B736" s="1" t="s">
        <v>5366</v>
      </c>
      <c r="C736" t="s">
        <v>173</v>
      </c>
      <c r="D736" s="1" t="s">
        <v>2</v>
      </c>
      <c r="E736" t="b">
        <v>0</v>
      </c>
      <c r="F736">
        <v>517</v>
      </c>
      <c r="G736">
        <v>411</v>
      </c>
      <c r="H736" t="s">
        <v>11</v>
      </c>
      <c r="I736" t="b">
        <v>0</v>
      </c>
      <c r="J736" cm="1">
        <f t="array" ref="J736">sentimentCalc(B736)</f>
        <v>0</v>
      </c>
      <c r="K736" t="str" cm="1">
        <f t="array" ref="K736">sentimentCategory(J736)</f>
        <v>Neutral</v>
      </c>
    </row>
    <row r="737" spans="1:11" ht="34" x14ac:dyDescent="0.2">
      <c r="A737" t="s">
        <v>929</v>
      </c>
      <c r="B737" s="1" t="s">
        <v>930</v>
      </c>
      <c r="C737" t="s">
        <v>891</v>
      </c>
      <c r="D737" s="1" t="s">
        <v>2</v>
      </c>
      <c r="E737" t="b">
        <v>0</v>
      </c>
      <c r="F737">
        <v>1564</v>
      </c>
      <c r="G737">
        <v>5000</v>
      </c>
      <c r="H737" t="s">
        <v>11</v>
      </c>
      <c r="I737" t="b">
        <v>0</v>
      </c>
      <c r="J737" cm="1">
        <f t="array" ref="J737">sentimentCalc(B737)</f>
        <v>-1</v>
      </c>
      <c r="K737" t="str" cm="1">
        <f t="array" ref="K737">sentimentCategory(J737)</f>
        <v>Negative</v>
      </c>
    </row>
    <row r="738" spans="1:11" ht="17" x14ac:dyDescent="0.2">
      <c r="A738" t="s">
        <v>4379</v>
      </c>
      <c r="B738" s="1" t="s">
        <v>4380</v>
      </c>
      <c r="C738" t="s">
        <v>1134</v>
      </c>
      <c r="D738" s="1" t="s">
        <v>2</v>
      </c>
      <c r="E738" t="b">
        <v>0</v>
      </c>
      <c r="F738">
        <v>4537</v>
      </c>
      <c r="G738">
        <v>398</v>
      </c>
      <c r="H738" t="s">
        <v>11</v>
      </c>
      <c r="I738" t="b">
        <v>0</v>
      </c>
      <c r="J738" cm="1">
        <f t="array" ref="J738">sentimentCalc(B738)</f>
        <v>0</v>
      </c>
      <c r="K738" t="str" cm="1">
        <f t="array" ref="K738">sentimentCategory(J738)</f>
        <v>Neutral</v>
      </c>
    </row>
    <row r="739" spans="1:11" ht="17" x14ac:dyDescent="0.2">
      <c r="A739" t="s">
        <v>2681</v>
      </c>
      <c r="B739" s="1" t="s">
        <v>2682</v>
      </c>
      <c r="C739" t="s">
        <v>564</v>
      </c>
      <c r="D739" s="1" t="s">
        <v>2</v>
      </c>
      <c r="E739" t="b">
        <v>0</v>
      </c>
      <c r="F739">
        <v>93</v>
      </c>
      <c r="G739">
        <v>2</v>
      </c>
      <c r="H739" t="s">
        <v>73</v>
      </c>
      <c r="I739" t="b">
        <v>0</v>
      </c>
      <c r="J739" cm="1">
        <f t="array" ref="J739">sentimentCalc(B739)</f>
        <v>0</v>
      </c>
      <c r="K739" t="str" cm="1">
        <f t="array" ref="K739">sentimentCategory(J739)</f>
        <v>Neutral</v>
      </c>
    </row>
    <row r="740" spans="1:11" ht="17" x14ac:dyDescent="0.2">
      <c r="A740" t="s">
        <v>2201</v>
      </c>
      <c r="B740" s="1" t="s">
        <v>2202</v>
      </c>
      <c r="C740" t="s">
        <v>289</v>
      </c>
      <c r="D740" s="1" t="s">
        <v>565</v>
      </c>
      <c r="E740" t="b">
        <v>0</v>
      </c>
      <c r="F740">
        <v>1032</v>
      </c>
      <c r="G740">
        <v>189</v>
      </c>
      <c r="H740" t="s">
        <v>11</v>
      </c>
      <c r="I740" t="b">
        <v>0</v>
      </c>
      <c r="J740" cm="1">
        <f t="array" ref="J740">sentimentCalc(B740)</f>
        <v>0</v>
      </c>
      <c r="K740" t="str" cm="1">
        <f t="array" ref="K740">sentimentCategory(J740)</f>
        <v>Neutral</v>
      </c>
    </row>
    <row r="741" spans="1:11" ht="17" x14ac:dyDescent="0.2">
      <c r="A741" t="s">
        <v>5766</v>
      </c>
      <c r="B741" s="1" t="s">
        <v>5767</v>
      </c>
      <c r="C741" t="s">
        <v>289</v>
      </c>
      <c r="D741" s="1" t="s">
        <v>565</v>
      </c>
      <c r="E741" t="b">
        <v>0</v>
      </c>
      <c r="F741">
        <v>1032</v>
      </c>
      <c r="G741">
        <v>189</v>
      </c>
      <c r="H741" t="s">
        <v>11</v>
      </c>
      <c r="I741" t="b">
        <v>0</v>
      </c>
      <c r="J741" cm="1">
        <f t="array" ref="J741">sentimentCalc(B741)</f>
        <v>0</v>
      </c>
      <c r="K741" t="str" cm="1">
        <f t="array" ref="K741">sentimentCategory(J741)</f>
        <v>Neutral</v>
      </c>
    </row>
    <row r="742" spans="1:11" ht="17" x14ac:dyDescent="0.2">
      <c r="A742" t="s">
        <v>6773</v>
      </c>
      <c r="B742" s="1" t="s">
        <v>6774</v>
      </c>
      <c r="C742" t="s">
        <v>289</v>
      </c>
      <c r="D742" s="1" t="s">
        <v>565</v>
      </c>
      <c r="E742" t="b">
        <v>0</v>
      </c>
      <c r="F742">
        <v>1032</v>
      </c>
      <c r="G742">
        <v>189</v>
      </c>
      <c r="H742" t="s">
        <v>11</v>
      </c>
      <c r="I742" t="b">
        <v>0</v>
      </c>
      <c r="J742" cm="1">
        <f t="array" ref="J742">sentimentCalc(B742)</f>
        <v>0</v>
      </c>
      <c r="K742" t="str" cm="1">
        <f t="array" ref="K742">sentimentCategory(J742)</f>
        <v>Neutral</v>
      </c>
    </row>
    <row r="743" spans="1:11" ht="17" x14ac:dyDescent="0.2">
      <c r="A743" t="s">
        <v>7017</v>
      </c>
      <c r="B743" s="1" t="s">
        <v>7018</v>
      </c>
      <c r="C743" t="s">
        <v>564</v>
      </c>
      <c r="D743" s="1" t="s">
        <v>2</v>
      </c>
      <c r="E743" t="b">
        <v>0</v>
      </c>
      <c r="F743">
        <v>19</v>
      </c>
      <c r="G743">
        <v>184</v>
      </c>
      <c r="H743" t="s">
        <v>641</v>
      </c>
      <c r="I743" t="b">
        <v>0</v>
      </c>
      <c r="J743" cm="1">
        <f t="array" ref="J743">sentimentCalc(B743)</f>
        <v>0</v>
      </c>
      <c r="K743" t="str" cm="1">
        <f t="array" ref="K743">sentimentCategory(J743)</f>
        <v>Neutral</v>
      </c>
    </row>
    <row r="744" spans="1:11" ht="17" x14ac:dyDescent="0.2">
      <c r="A744" t="s">
        <v>1491</v>
      </c>
      <c r="B744" s="1" t="s">
        <v>1492</v>
      </c>
      <c r="C744" t="s">
        <v>50</v>
      </c>
      <c r="D744" s="1" t="s">
        <v>51</v>
      </c>
      <c r="E744" t="b">
        <v>0</v>
      </c>
      <c r="F744">
        <v>629</v>
      </c>
      <c r="G744">
        <v>139</v>
      </c>
      <c r="H744" t="s">
        <v>11</v>
      </c>
      <c r="I744" t="b">
        <v>0</v>
      </c>
      <c r="J744" cm="1">
        <f t="array" ref="J744">sentimentCalc(B744)</f>
        <v>0</v>
      </c>
      <c r="K744" t="str" cm="1">
        <f t="array" ref="K744">sentimentCategory(J744)</f>
        <v>Neutral</v>
      </c>
    </row>
    <row r="745" spans="1:11" ht="17" x14ac:dyDescent="0.2">
      <c r="A745" t="s">
        <v>5873</v>
      </c>
      <c r="B745" s="1" t="s">
        <v>5874</v>
      </c>
      <c r="C745" t="s">
        <v>3431</v>
      </c>
      <c r="D745" s="1" t="s">
        <v>2</v>
      </c>
      <c r="E745" t="b">
        <v>0</v>
      </c>
      <c r="F745">
        <v>19</v>
      </c>
      <c r="G745">
        <v>57</v>
      </c>
      <c r="H745" t="s">
        <v>11</v>
      </c>
      <c r="I745" t="b">
        <v>0</v>
      </c>
      <c r="J745" cm="1">
        <f t="array" ref="J745">sentimentCalc(B745)</f>
        <v>0</v>
      </c>
      <c r="K745" t="str" cm="1">
        <f t="array" ref="K745">sentimentCategory(J745)</f>
        <v>Neutral</v>
      </c>
    </row>
    <row r="746" spans="1:11" ht="17" x14ac:dyDescent="0.2">
      <c r="A746" t="s">
        <v>5839</v>
      </c>
      <c r="B746" s="1" t="s">
        <v>5840</v>
      </c>
      <c r="C746" t="s">
        <v>5841</v>
      </c>
      <c r="D746" s="1" t="s">
        <v>5842</v>
      </c>
      <c r="E746" t="b">
        <v>0</v>
      </c>
      <c r="F746">
        <v>474</v>
      </c>
      <c r="G746">
        <v>626</v>
      </c>
      <c r="H746" t="s">
        <v>11</v>
      </c>
      <c r="I746" t="b">
        <v>0</v>
      </c>
      <c r="J746" cm="1">
        <f t="array" ref="J746">sentimentCalc(B746)</f>
        <v>0</v>
      </c>
      <c r="K746" t="str" cm="1">
        <f t="array" ref="K746">sentimentCategory(J746)</f>
        <v>Neutral</v>
      </c>
    </row>
    <row r="747" spans="1:11" ht="17" x14ac:dyDescent="0.2">
      <c r="A747" t="s">
        <v>1860</v>
      </c>
      <c r="B747" s="1" t="s">
        <v>1861</v>
      </c>
      <c r="C747" t="s">
        <v>1862</v>
      </c>
      <c r="D747" s="1" t="s">
        <v>1863</v>
      </c>
      <c r="E747" t="b">
        <v>0</v>
      </c>
      <c r="F747">
        <v>463</v>
      </c>
      <c r="G747">
        <v>222</v>
      </c>
      <c r="H747" t="s">
        <v>11</v>
      </c>
      <c r="I747" t="b">
        <v>0</v>
      </c>
      <c r="J747" cm="1">
        <f t="array" ref="J747">sentimentCalc(B747)</f>
        <v>1</v>
      </c>
      <c r="K747" t="str" cm="1">
        <f t="array" ref="K747">sentimentCategory(J747)</f>
        <v>Positive</v>
      </c>
    </row>
    <row r="748" spans="1:11" ht="17" x14ac:dyDescent="0.2">
      <c r="A748" t="s">
        <v>5361</v>
      </c>
      <c r="B748" s="1" t="s">
        <v>5362</v>
      </c>
      <c r="C748" t="s">
        <v>516</v>
      </c>
      <c r="D748" s="1" t="s">
        <v>1844</v>
      </c>
      <c r="E748" t="b">
        <v>0</v>
      </c>
      <c r="F748">
        <v>239</v>
      </c>
      <c r="G748">
        <v>226</v>
      </c>
      <c r="H748" t="s">
        <v>11</v>
      </c>
      <c r="I748" t="b">
        <v>0</v>
      </c>
      <c r="J748" cm="1">
        <f t="array" ref="J748">sentimentCalc(B748)</f>
        <v>0</v>
      </c>
      <c r="K748" t="str" cm="1">
        <f t="array" ref="K748">sentimentCategory(J748)</f>
        <v>Neutral</v>
      </c>
    </row>
    <row r="749" spans="1:11" ht="17" x14ac:dyDescent="0.2">
      <c r="A749" t="s">
        <v>5811</v>
      </c>
      <c r="B749" s="1" t="s">
        <v>5812</v>
      </c>
      <c r="C749" t="s">
        <v>824</v>
      </c>
      <c r="D749" s="1" t="s">
        <v>2</v>
      </c>
      <c r="E749" t="b">
        <v>0</v>
      </c>
      <c r="F749">
        <v>204</v>
      </c>
      <c r="G749">
        <v>328</v>
      </c>
      <c r="H749" t="s">
        <v>11</v>
      </c>
      <c r="I749" t="b">
        <v>0</v>
      </c>
      <c r="J749" cm="1">
        <f t="array" ref="J749">sentimentCalc(B749)</f>
        <v>0</v>
      </c>
      <c r="K749" t="str" cm="1">
        <f t="array" ref="K749">sentimentCategory(J749)</f>
        <v>Neutral</v>
      </c>
    </row>
    <row r="750" spans="1:11" ht="17" x14ac:dyDescent="0.2">
      <c r="A750" t="s">
        <v>3098</v>
      </c>
      <c r="B750" s="1" t="s">
        <v>3099</v>
      </c>
      <c r="C750" t="s">
        <v>413</v>
      </c>
      <c r="D750" s="1" t="s">
        <v>477</v>
      </c>
      <c r="E750" t="b">
        <v>0</v>
      </c>
      <c r="F750">
        <v>888</v>
      </c>
      <c r="G750">
        <v>1573</v>
      </c>
      <c r="H750" t="s">
        <v>11</v>
      </c>
      <c r="I750" t="b">
        <v>0</v>
      </c>
      <c r="J750" cm="1">
        <f t="array" ref="J750">sentimentCalc(B750)</f>
        <v>0</v>
      </c>
      <c r="K750" t="str" cm="1">
        <f t="array" ref="K750">sentimentCategory(J750)</f>
        <v>Neutral</v>
      </c>
    </row>
    <row r="751" spans="1:11" ht="17" x14ac:dyDescent="0.2">
      <c r="A751" t="s">
        <v>6054</v>
      </c>
      <c r="B751" s="1" t="s">
        <v>6055</v>
      </c>
      <c r="C751" t="s">
        <v>6056</v>
      </c>
      <c r="D751" s="1" t="s">
        <v>2</v>
      </c>
      <c r="E751" t="b">
        <v>0</v>
      </c>
      <c r="F751">
        <v>3</v>
      </c>
      <c r="G751">
        <v>21</v>
      </c>
      <c r="H751" t="s">
        <v>11</v>
      </c>
      <c r="I751" t="b">
        <v>0</v>
      </c>
      <c r="J751" cm="1">
        <f t="array" ref="J751">sentimentCalc(B751)</f>
        <v>0</v>
      </c>
      <c r="K751" t="str" cm="1">
        <f t="array" ref="K751">sentimentCategory(J751)</f>
        <v>Neutral</v>
      </c>
    </row>
    <row r="752" spans="1:11" ht="17" x14ac:dyDescent="0.2">
      <c r="A752" t="s">
        <v>3684</v>
      </c>
      <c r="B752" s="1" t="s">
        <v>3685</v>
      </c>
      <c r="C752" t="s">
        <v>2642</v>
      </c>
      <c r="D752" s="1" t="s">
        <v>3686</v>
      </c>
      <c r="E752" t="b">
        <v>0</v>
      </c>
      <c r="F752">
        <v>39272</v>
      </c>
      <c r="G752">
        <v>193</v>
      </c>
      <c r="H752" t="s">
        <v>11</v>
      </c>
      <c r="I752" t="b">
        <v>0</v>
      </c>
      <c r="J752" cm="1">
        <f t="array" ref="J752">sentimentCalc(B752)</f>
        <v>0</v>
      </c>
      <c r="K752" t="str" cm="1">
        <f t="array" ref="K752">sentimentCategory(J752)</f>
        <v>Neutral</v>
      </c>
    </row>
    <row r="753" spans="1:11" ht="17" x14ac:dyDescent="0.2">
      <c r="A753" t="s">
        <v>511</v>
      </c>
      <c r="B753" s="1" t="s">
        <v>512</v>
      </c>
      <c r="C753" t="s">
        <v>513</v>
      </c>
      <c r="D753" s="1" t="s">
        <v>2</v>
      </c>
      <c r="E753" t="b">
        <v>0</v>
      </c>
      <c r="F753">
        <v>6759</v>
      </c>
      <c r="G753">
        <v>97</v>
      </c>
      <c r="H753" t="s">
        <v>370</v>
      </c>
      <c r="I753" t="b">
        <v>0</v>
      </c>
      <c r="J753" cm="1">
        <f t="array" ref="J753">sentimentCalc(B753)</f>
        <v>1</v>
      </c>
      <c r="K753" t="str" cm="1">
        <f t="array" ref="K753">sentimentCategory(J753)</f>
        <v>Positive</v>
      </c>
    </row>
    <row r="754" spans="1:11" ht="34" x14ac:dyDescent="0.2">
      <c r="A754" t="s">
        <v>4884</v>
      </c>
      <c r="B754" s="1" t="s">
        <v>4885</v>
      </c>
      <c r="C754" t="s">
        <v>4886</v>
      </c>
      <c r="D754" s="1" t="s">
        <v>2953</v>
      </c>
      <c r="E754" t="b">
        <v>0</v>
      </c>
      <c r="F754">
        <v>582</v>
      </c>
      <c r="G754">
        <v>1849</v>
      </c>
      <c r="H754" t="s">
        <v>11</v>
      </c>
      <c r="I754" t="b">
        <v>0</v>
      </c>
      <c r="J754" cm="1">
        <f t="array" ref="J754">sentimentCalc(B754)</f>
        <v>0</v>
      </c>
      <c r="K754" t="str" cm="1">
        <f t="array" ref="K754">sentimentCategory(J754)</f>
        <v>Neutral</v>
      </c>
    </row>
    <row r="755" spans="1:11" ht="17" x14ac:dyDescent="0.2">
      <c r="A755" t="s">
        <v>6179</v>
      </c>
      <c r="B755" s="1" t="s">
        <v>6180</v>
      </c>
      <c r="C755" t="s">
        <v>133</v>
      </c>
      <c r="D755" s="1" t="s">
        <v>6181</v>
      </c>
      <c r="E755" t="b">
        <v>0</v>
      </c>
      <c r="F755">
        <v>40</v>
      </c>
      <c r="G755">
        <v>141</v>
      </c>
      <c r="H755" t="s">
        <v>11</v>
      </c>
      <c r="I755" t="b">
        <v>0</v>
      </c>
      <c r="J755" cm="1">
        <f t="array" ref="J755">sentimentCalc(B755)</f>
        <v>1</v>
      </c>
      <c r="K755" t="str" cm="1">
        <f t="array" ref="K755">sentimentCategory(J755)</f>
        <v>Positive</v>
      </c>
    </row>
    <row r="756" spans="1:11" ht="17" x14ac:dyDescent="0.2">
      <c r="A756" t="s">
        <v>191</v>
      </c>
      <c r="B756" s="1" t="s">
        <v>192</v>
      </c>
      <c r="C756" t="s">
        <v>193</v>
      </c>
      <c r="D756" s="1" t="s">
        <v>194</v>
      </c>
      <c r="E756" t="b">
        <v>0</v>
      </c>
      <c r="F756">
        <v>593</v>
      </c>
      <c r="G756">
        <v>236</v>
      </c>
      <c r="H756" t="s">
        <v>11</v>
      </c>
      <c r="I756" t="b">
        <v>0</v>
      </c>
      <c r="J756" cm="1">
        <f t="array" ref="J756">sentimentCalc(B756)</f>
        <v>0</v>
      </c>
      <c r="K756" t="str" cm="1">
        <f t="array" ref="K756">sentimentCategory(J756)</f>
        <v>Neutral</v>
      </c>
    </row>
    <row r="757" spans="1:11" ht="34" x14ac:dyDescent="0.2">
      <c r="A757" t="s">
        <v>3420</v>
      </c>
      <c r="B757" s="1" t="s">
        <v>3421</v>
      </c>
      <c r="C757" t="s">
        <v>782</v>
      </c>
      <c r="D757" s="1" t="s">
        <v>3422</v>
      </c>
      <c r="E757" t="b">
        <v>0</v>
      </c>
      <c r="F757">
        <v>14775</v>
      </c>
      <c r="G757">
        <v>424</v>
      </c>
      <c r="H757" t="s">
        <v>11</v>
      </c>
      <c r="I757" t="b">
        <v>0</v>
      </c>
      <c r="J757" cm="1">
        <f t="array" ref="J757">sentimentCalc(B757)</f>
        <v>0</v>
      </c>
      <c r="K757" t="str" cm="1">
        <f t="array" ref="K757">sentimentCategory(J757)</f>
        <v>Neutral</v>
      </c>
    </row>
    <row r="758" spans="1:11" ht="34" x14ac:dyDescent="0.2">
      <c r="A758" t="s">
        <v>3276</v>
      </c>
      <c r="B758" s="1" t="s">
        <v>3277</v>
      </c>
      <c r="C758" t="s">
        <v>3278</v>
      </c>
      <c r="D758" s="1" t="s">
        <v>3279</v>
      </c>
      <c r="E758" t="b">
        <v>0</v>
      </c>
      <c r="F758">
        <v>5343</v>
      </c>
      <c r="G758">
        <v>1341</v>
      </c>
      <c r="H758" t="s">
        <v>11</v>
      </c>
      <c r="I758" t="b">
        <v>0</v>
      </c>
      <c r="J758" cm="1">
        <f t="array" ref="J758">sentimentCalc(B758)</f>
        <v>0</v>
      </c>
      <c r="K758" t="str" cm="1">
        <f t="array" ref="K758">sentimentCategory(J758)</f>
        <v>Neutral</v>
      </c>
    </row>
    <row r="759" spans="1:11" ht="17" x14ac:dyDescent="0.2">
      <c r="A759" t="s">
        <v>4814</v>
      </c>
      <c r="B759" s="1" t="s">
        <v>4815</v>
      </c>
      <c r="C759" t="s">
        <v>2604</v>
      </c>
      <c r="D759" s="1" t="s">
        <v>4816</v>
      </c>
      <c r="E759" t="b">
        <v>0</v>
      </c>
      <c r="F759">
        <v>17</v>
      </c>
      <c r="G759">
        <v>72</v>
      </c>
      <c r="H759" t="s">
        <v>110</v>
      </c>
      <c r="I759" t="b">
        <v>0</v>
      </c>
      <c r="J759" cm="1">
        <f t="array" ref="J759">sentimentCalc(B759)</f>
        <v>0</v>
      </c>
      <c r="K759" t="str" cm="1">
        <f t="array" ref="K759">sentimentCategory(J759)</f>
        <v>Neutral</v>
      </c>
    </row>
    <row r="760" spans="1:11" ht="17" x14ac:dyDescent="0.2">
      <c r="A760" t="s">
        <v>1534</v>
      </c>
      <c r="B760" s="1" t="s">
        <v>1535</v>
      </c>
      <c r="C760" t="s">
        <v>1536</v>
      </c>
      <c r="D760" s="1" t="s">
        <v>848</v>
      </c>
      <c r="E760" t="b">
        <v>0</v>
      </c>
      <c r="F760">
        <v>31</v>
      </c>
      <c r="G760">
        <v>106</v>
      </c>
      <c r="H760" t="s">
        <v>11</v>
      </c>
      <c r="I760" t="b">
        <v>0</v>
      </c>
      <c r="J760" cm="1">
        <f t="array" ref="J760">sentimentCalc(B760)</f>
        <v>-1</v>
      </c>
      <c r="K760" t="str" cm="1">
        <f t="array" ref="K760">sentimentCategory(J760)</f>
        <v>Negative</v>
      </c>
    </row>
    <row r="761" spans="1:11" ht="17" x14ac:dyDescent="0.2">
      <c r="A761" t="s">
        <v>2249</v>
      </c>
      <c r="B761" s="1" t="s">
        <v>2250</v>
      </c>
      <c r="C761" t="s">
        <v>2251</v>
      </c>
      <c r="D761" s="1" t="s">
        <v>2252</v>
      </c>
      <c r="E761" t="b">
        <v>0</v>
      </c>
      <c r="F761">
        <v>175</v>
      </c>
      <c r="G761">
        <v>189</v>
      </c>
      <c r="H761" t="s">
        <v>11</v>
      </c>
      <c r="I761" t="b">
        <v>0</v>
      </c>
      <c r="J761" cm="1">
        <f t="array" ref="J761">sentimentCalc(B761)</f>
        <v>1</v>
      </c>
      <c r="K761" t="str" cm="1">
        <f t="array" ref="K761">sentimentCategory(J761)</f>
        <v>Positive</v>
      </c>
    </row>
    <row r="762" spans="1:11" ht="17" x14ac:dyDescent="0.2">
      <c r="A762" t="s">
        <v>2214</v>
      </c>
      <c r="B762" s="1" t="s">
        <v>2215</v>
      </c>
      <c r="C762" t="s">
        <v>2216</v>
      </c>
      <c r="E762" t="b">
        <v>0</v>
      </c>
      <c r="F762">
        <v>9</v>
      </c>
      <c r="G762">
        <v>58</v>
      </c>
      <c r="H762" t="s">
        <v>1688</v>
      </c>
      <c r="I762" t="b">
        <v>0</v>
      </c>
      <c r="J762" cm="1">
        <f t="array" ref="J762">sentimentCalc(B762)</f>
        <v>1</v>
      </c>
      <c r="K762" t="str" cm="1">
        <f t="array" ref="K762">sentimentCategory(J762)</f>
        <v>Positive</v>
      </c>
    </row>
    <row r="763" spans="1:11" ht="17" x14ac:dyDescent="0.2">
      <c r="A763" t="s">
        <v>3025</v>
      </c>
      <c r="B763" s="1" t="s">
        <v>3026</v>
      </c>
      <c r="C763" t="s">
        <v>3027</v>
      </c>
      <c r="D763" s="1" t="s">
        <v>3028</v>
      </c>
      <c r="E763" t="b">
        <v>0</v>
      </c>
      <c r="F763">
        <v>24</v>
      </c>
      <c r="G763">
        <v>105</v>
      </c>
      <c r="H763" t="s">
        <v>11</v>
      </c>
      <c r="I763" t="b">
        <v>0</v>
      </c>
      <c r="J763" cm="1">
        <f t="array" ref="J763">sentimentCalc(B763)</f>
        <v>0</v>
      </c>
      <c r="K763" t="str" cm="1">
        <f t="array" ref="K763">sentimentCategory(J763)</f>
        <v>Neutral</v>
      </c>
    </row>
    <row r="764" spans="1:11" ht="17" x14ac:dyDescent="0.2">
      <c r="A764" t="s">
        <v>3697</v>
      </c>
      <c r="B764" s="1" t="s">
        <v>3698</v>
      </c>
      <c r="C764" t="s">
        <v>726</v>
      </c>
      <c r="D764" s="1" t="s">
        <v>261</v>
      </c>
      <c r="E764" t="b">
        <v>0</v>
      </c>
      <c r="F764">
        <v>5477</v>
      </c>
      <c r="G764">
        <v>109</v>
      </c>
      <c r="H764" t="s">
        <v>11</v>
      </c>
      <c r="I764" t="b">
        <v>0</v>
      </c>
      <c r="J764" cm="1">
        <f t="array" ref="J764">sentimentCalc(B764)</f>
        <v>0</v>
      </c>
      <c r="K764" t="str" cm="1">
        <f t="array" ref="K764">sentimentCategory(J764)</f>
        <v>Neutral</v>
      </c>
    </row>
    <row r="765" spans="1:11" ht="34" x14ac:dyDescent="0.2">
      <c r="A765" t="s">
        <v>3783</v>
      </c>
      <c r="B765" s="1" t="s">
        <v>3784</v>
      </c>
      <c r="C765" t="s">
        <v>3785</v>
      </c>
      <c r="D765" s="1" t="s">
        <v>3786</v>
      </c>
      <c r="E765" t="b">
        <v>0</v>
      </c>
      <c r="F765">
        <v>85</v>
      </c>
      <c r="G765">
        <v>342</v>
      </c>
      <c r="H765" t="s">
        <v>11</v>
      </c>
      <c r="I765" t="b">
        <v>0</v>
      </c>
      <c r="J765" cm="1">
        <f t="array" ref="J765">sentimentCalc(B765)</f>
        <v>-1</v>
      </c>
      <c r="K765" t="str" cm="1">
        <f t="array" ref="K765">sentimentCategory(J765)</f>
        <v>Negative</v>
      </c>
    </row>
    <row r="766" spans="1:11" ht="17" x14ac:dyDescent="0.2">
      <c r="A766" t="s">
        <v>5580</v>
      </c>
      <c r="B766" s="1" t="s">
        <v>5581</v>
      </c>
      <c r="C766" t="s">
        <v>3706</v>
      </c>
      <c r="D766" s="1" t="s">
        <v>588</v>
      </c>
      <c r="E766" t="b">
        <v>0</v>
      </c>
      <c r="F766">
        <v>3454</v>
      </c>
      <c r="G766">
        <v>2616</v>
      </c>
      <c r="H766" t="s">
        <v>11</v>
      </c>
      <c r="I766" t="b">
        <v>0</v>
      </c>
      <c r="J766" cm="1">
        <f t="array" ref="J766">sentimentCalc(B766)</f>
        <v>1</v>
      </c>
      <c r="K766" t="str" cm="1">
        <f t="array" ref="K766">sentimentCategory(J766)</f>
        <v>Positive</v>
      </c>
    </row>
    <row r="767" spans="1:11" ht="17" x14ac:dyDescent="0.2">
      <c r="A767" t="s">
        <v>5880</v>
      </c>
      <c r="B767" s="1" t="s">
        <v>5881</v>
      </c>
      <c r="C767" t="s">
        <v>5882</v>
      </c>
      <c r="D767" s="1" t="s">
        <v>4440</v>
      </c>
      <c r="E767" t="b">
        <v>0</v>
      </c>
      <c r="F767">
        <v>130</v>
      </c>
      <c r="G767">
        <v>225</v>
      </c>
      <c r="H767" t="s">
        <v>11</v>
      </c>
      <c r="I767" t="b">
        <v>0</v>
      </c>
      <c r="J767" cm="1">
        <f t="array" ref="J767">sentimentCalc(B767)</f>
        <v>1</v>
      </c>
      <c r="K767" t="str" cm="1">
        <f t="array" ref="K767">sentimentCategory(J767)</f>
        <v>Positive</v>
      </c>
    </row>
    <row r="768" spans="1:11" ht="34" x14ac:dyDescent="0.2">
      <c r="A768" t="s">
        <v>1559</v>
      </c>
      <c r="B768" s="1" t="s">
        <v>1560</v>
      </c>
      <c r="C768" t="s">
        <v>1561</v>
      </c>
      <c r="D768" s="1" t="s">
        <v>2</v>
      </c>
      <c r="E768" t="b">
        <v>0</v>
      </c>
      <c r="F768">
        <v>1035</v>
      </c>
      <c r="G768">
        <v>803</v>
      </c>
      <c r="H768" t="s">
        <v>11</v>
      </c>
      <c r="I768" t="b">
        <v>0</v>
      </c>
      <c r="J768" cm="1">
        <f t="array" ref="J768">sentimentCalc(B768)</f>
        <v>0</v>
      </c>
      <c r="K768" t="str" cm="1">
        <f t="array" ref="K768">sentimentCategory(J768)</f>
        <v>Neutral</v>
      </c>
    </row>
    <row r="769" spans="1:11" ht="34" x14ac:dyDescent="0.2">
      <c r="A769" t="s">
        <v>4742</v>
      </c>
      <c r="B769" s="1" t="s">
        <v>4743</v>
      </c>
      <c r="C769" t="s">
        <v>2675</v>
      </c>
      <c r="D769" s="1" t="s">
        <v>2</v>
      </c>
      <c r="E769" t="b">
        <v>0</v>
      </c>
      <c r="F769">
        <v>88</v>
      </c>
      <c r="G769">
        <v>362</v>
      </c>
      <c r="H769" t="s">
        <v>11</v>
      </c>
      <c r="I769" t="b">
        <v>0</v>
      </c>
      <c r="J769" cm="1">
        <f t="array" ref="J769">sentimentCalc(B769)</f>
        <v>0</v>
      </c>
      <c r="K769" t="str" cm="1">
        <f t="array" ref="K769">sentimentCategory(J769)</f>
        <v>Neutral</v>
      </c>
    </row>
    <row r="770" spans="1:11" ht="17" x14ac:dyDescent="0.2">
      <c r="A770" t="s">
        <v>6422</v>
      </c>
      <c r="B770" s="1" t="s">
        <v>6423</v>
      </c>
      <c r="C770" t="s">
        <v>3774</v>
      </c>
      <c r="D770" s="1" t="s">
        <v>2</v>
      </c>
      <c r="E770" t="b">
        <v>0</v>
      </c>
      <c r="F770">
        <v>326</v>
      </c>
      <c r="G770">
        <v>249</v>
      </c>
      <c r="H770" t="s">
        <v>11</v>
      </c>
      <c r="I770" t="b">
        <v>0</v>
      </c>
      <c r="J770" cm="1">
        <f t="array" ref="J770">sentimentCalc(B770)</f>
        <v>0</v>
      </c>
      <c r="K770" t="str" cm="1">
        <f t="array" ref="K770">sentimentCategory(J770)</f>
        <v>Neutral</v>
      </c>
    </row>
    <row r="771" spans="1:11" ht="17" x14ac:dyDescent="0.2">
      <c r="A771" t="s">
        <v>408</v>
      </c>
      <c r="B771" s="1" t="s">
        <v>409</v>
      </c>
      <c r="C771" t="s">
        <v>410</v>
      </c>
      <c r="D771" s="1" t="s">
        <v>2</v>
      </c>
      <c r="E771" t="b">
        <v>0</v>
      </c>
      <c r="F771">
        <v>38</v>
      </c>
      <c r="G771">
        <v>284</v>
      </c>
      <c r="H771" t="s">
        <v>11</v>
      </c>
      <c r="I771" t="b">
        <v>0</v>
      </c>
      <c r="J771" cm="1">
        <f t="array" ref="J771">sentimentCalc(B771)</f>
        <v>0</v>
      </c>
      <c r="K771" t="str" cm="1">
        <f t="array" ref="K771">sentimentCategory(J771)</f>
        <v>Neutral</v>
      </c>
    </row>
    <row r="772" spans="1:11" ht="17" x14ac:dyDescent="0.2">
      <c r="A772" t="s">
        <v>1574</v>
      </c>
      <c r="B772" s="1" t="s">
        <v>1575</v>
      </c>
      <c r="C772" t="s">
        <v>1008</v>
      </c>
      <c r="D772" s="1" t="s">
        <v>1576</v>
      </c>
      <c r="E772" t="b">
        <v>0</v>
      </c>
      <c r="F772">
        <v>2715</v>
      </c>
      <c r="G772">
        <v>142</v>
      </c>
      <c r="H772" t="s">
        <v>11</v>
      </c>
      <c r="I772" t="b">
        <v>0</v>
      </c>
      <c r="J772" cm="1">
        <f t="array" ref="J772">sentimentCalc(B772)</f>
        <v>0</v>
      </c>
      <c r="K772" t="str" cm="1">
        <f t="array" ref="K772">sentimentCategory(J772)</f>
        <v>Neutral</v>
      </c>
    </row>
    <row r="773" spans="1:11" ht="34" x14ac:dyDescent="0.2">
      <c r="A773" t="s">
        <v>1440</v>
      </c>
      <c r="B773" s="1" t="s">
        <v>1441</v>
      </c>
      <c r="C773" t="s">
        <v>1442</v>
      </c>
      <c r="D773" s="1" t="s">
        <v>1443</v>
      </c>
      <c r="E773" t="b">
        <v>0</v>
      </c>
      <c r="F773">
        <v>308</v>
      </c>
      <c r="G773">
        <v>257</v>
      </c>
      <c r="H773" t="s">
        <v>11</v>
      </c>
      <c r="I773" t="b">
        <v>0</v>
      </c>
      <c r="J773" cm="1">
        <f t="array" ref="J773">sentimentCalc(B773)</f>
        <v>0</v>
      </c>
      <c r="K773" t="str" cm="1">
        <f t="array" ref="K773">sentimentCategory(J773)</f>
        <v>Neutral</v>
      </c>
    </row>
    <row r="774" spans="1:11" ht="17" x14ac:dyDescent="0.2">
      <c r="A774" t="s">
        <v>3409</v>
      </c>
      <c r="B774" s="1" t="s">
        <v>3410</v>
      </c>
      <c r="C774" t="s">
        <v>3411</v>
      </c>
      <c r="D774" s="1" t="s">
        <v>3412</v>
      </c>
      <c r="E774" t="b">
        <v>0</v>
      </c>
      <c r="F774">
        <v>117</v>
      </c>
      <c r="G774">
        <v>269</v>
      </c>
      <c r="H774" t="s">
        <v>11</v>
      </c>
      <c r="I774" t="b">
        <v>0</v>
      </c>
      <c r="J774" cm="1">
        <f t="array" ref="J774">sentimentCalc(B774)</f>
        <v>0</v>
      </c>
      <c r="K774" t="str" cm="1">
        <f t="array" ref="K774">sentimentCategory(J774)</f>
        <v>Neutral</v>
      </c>
    </row>
    <row r="775" spans="1:11" ht="17" x14ac:dyDescent="0.2">
      <c r="A775" t="s">
        <v>4437</v>
      </c>
      <c r="B775" s="1" t="s">
        <v>4438</v>
      </c>
      <c r="C775" t="s">
        <v>4439</v>
      </c>
      <c r="D775" s="1" t="s">
        <v>4440</v>
      </c>
      <c r="E775" t="b">
        <v>0</v>
      </c>
      <c r="F775">
        <v>70</v>
      </c>
      <c r="G775">
        <v>134</v>
      </c>
      <c r="H775" t="s">
        <v>11</v>
      </c>
      <c r="I775" t="b">
        <v>0</v>
      </c>
      <c r="J775" cm="1">
        <f t="array" ref="J775">sentimentCalc(B775)</f>
        <v>0</v>
      </c>
      <c r="K775" t="str" cm="1">
        <f t="array" ref="K775">sentimentCategory(J775)</f>
        <v>Neutral</v>
      </c>
    </row>
    <row r="776" spans="1:11" ht="17" x14ac:dyDescent="0.2">
      <c r="A776" t="s">
        <v>3286</v>
      </c>
      <c r="B776" s="1" t="s">
        <v>3288</v>
      </c>
      <c r="C776" t="s">
        <v>3289</v>
      </c>
      <c r="D776" s="1" t="s">
        <v>701</v>
      </c>
      <c r="E776" t="b">
        <v>0</v>
      </c>
      <c r="F776">
        <v>7</v>
      </c>
      <c r="G776">
        <v>32</v>
      </c>
      <c r="H776" t="s">
        <v>11</v>
      </c>
      <c r="I776" t="b">
        <v>0</v>
      </c>
      <c r="J776" cm="1">
        <f t="array" ref="J776">sentimentCalc(B776)</f>
        <v>0</v>
      </c>
      <c r="K776" t="str" cm="1">
        <f t="array" ref="K776">sentimentCategory(J776)</f>
        <v>Neutral</v>
      </c>
    </row>
    <row r="777" spans="1:11" ht="34" x14ac:dyDescent="0.2">
      <c r="A777" t="s">
        <v>4841</v>
      </c>
      <c r="B777" s="1" t="s">
        <v>4842</v>
      </c>
      <c r="C777" t="s">
        <v>985</v>
      </c>
      <c r="D777" s="1" t="s">
        <v>4843</v>
      </c>
      <c r="E777" t="b">
        <v>0</v>
      </c>
      <c r="F777">
        <v>94</v>
      </c>
      <c r="G777">
        <v>235</v>
      </c>
      <c r="H777" t="s">
        <v>11</v>
      </c>
      <c r="I777" t="b">
        <v>0</v>
      </c>
      <c r="J777" cm="1">
        <f t="array" ref="J777">sentimentCalc(B777)</f>
        <v>0</v>
      </c>
      <c r="K777" t="str" cm="1">
        <f t="array" ref="K777">sentimentCategory(J777)</f>
        <v>Neutral</v>
      </c>
    </row>
    <row r="778" spans="1:11" ht="17" x14ac:dyDescent="0.2">
      <c r="A778" t="s">
        <v>4603</v>
      </c>
      <c r="B778" s="1" t="s">
        <v>4604</v>
      </c>
      <c r="C778" t="s">
        <v>4605</v>
      </c>
      <c r="D778" s="1" t="s">
        <v>2</v>
      </c>
      <c r="E778" t="b">
        <v>0</v>
      </c>
      <c r="F778">
        <v>25</v>
      </c>
      <c r="G778">
        <v>139</v>
      </c>
      <c r="H778" t="s">
        <v>11</v>
      </c>
      <c r="I778" t="b">
        <v>0</v>
      </c>
      <c r="J778" cm="1">
        <f t="array" ref="J778">sentimentCalc(B778)</f>
        <v>0</v>
      </c>
      <c r="K778" t="str" cm="1">
        <f t="array" ref="K778">sentimentCategory(J778)</f>
        <v>Neutral</v>
      </c>
    </row>
    <row r="779" spans="1:11" ht="17" x14ac:dyDescent="0.2">
      <c r="A779" t="s">
        <v>2048</v>
      </c>
      <c r="B779" s="1" t="s">
        <v>2049</v>
      </c>
      <c r="C779" t="s">
        <v>2050</v>
      </c>
      <c r="D779" s="1" t="s">
        <v>2</v>
      </c>
      <c r="E779" t="b">
        <v>0</v>
      </c>
      <c r="F779">
        <v>2</v>
      </c>
      <c r="G779">
        <v>14</v>
      </c>
      <c r="H779" t="s">
        <v>11</v>
      </c>
      <c r="I779" t="b">
        <v>0</v>
      </c>
      <c r="J779" cm="1">
        <f t="array" ref="J779">sentimentCalc(B779)</f>
        <v>1</v>
      </c>
      <c r="K779" t="str" cm="1">
        <f t="array" ref="K779">sentimentCategory(J779)</f>
        <v>Positive</v>
      </c>
    </row>
    <row r="780" spans="1:11" ht="34" x14ac:dyDescent="0.2">
      <c r="A780" t="s">
        <v>3849</v>
      </c>
      <c r="B780" s="1" t="s">
        <v>3850</v>
      </c>
      <c r="C780" t="s">
        <v>880</v>
      </c>
      <c r="D780" s="1" t="s">
        <v>2</v>
      </c>
      <c r="E780" t="b">
        <v>0</v>
      </c>
      <c r="F780">
        <v>216</v>
      </c>
      <c r="G780">
        <v>166</v>
      </c>
      <c r="H780" t="s">
        <v>11</v>
      </c>
      <c r="I780" t="b">
        <v>0</v>
      </c>
      <c r="J780" cm="1">
        <f t="array" ref="J780">sentimentCalc(B780)</f>
        <v>0</v>
      </c>
      <c r="K780" t="str" cm="1">
        <f t="array" ref="K780">sentimentCategory(J780)</f>
        <v>Neutral</v>
      </c>
    </row>
    <row r="781" spans="1:11" ht="17" x14ac:dyDescent="0.2">
      <c r="A781" t="s">
        <v>3892</v>
      </c>
      <c r="B781" s="1" t="s">
        <v>3893</v>
      </c>
      <c r="C781" t="s">
        <v>332</v>
      </c>
      <c r="D781" s="1" t="s">
        <v>1653</v>
      </c>
      <c r="E781" t="b">
        <v>0</v>
      </c>
      <c r="F781">
        <v>182</v>
      </c>
      <c r="G781">
        <v>838</v>
      </c>
      <c r="H781" t="s">
        <v>11</v>
      </c>
      <c r="I781" t="b">
        <v>0</v>
      </c>
      <c r="J781" cm="1">
        <f t="array" ref="J781">sentimentCalc(B781)</f>
        <v>0</v>
      </c>
      <c r="K781" t="str" cm="1">
        <f t="array" ref="K781">sentimentCategory(J781)</f>
        <v>Neutral</v>
      </c>
    </row>
    <row r="782" spans="1:11" ht="34" x14ac:dyDescent="0.2">
      <c r="A782" t="s">
        <v>6937</v>
      </c>
      <c r="B782" s="1" t="s">
        <v>6938</v>
      </c>
      <c r="C782" t="s">
        <v>3908</v>
      </c>
      <c r="D782" s="1" t="s">
        <v>6494</v>
      </c>
      <c r="E782" t="b">
        <v>0</v>
      </c>
      <c r="F782">
        <v>141</v>
      </c>
      <c r="G782">
        <v>439</v>
      </c>
      <c r="H782" t="s">
        <v>11</v>
      </c>
      <c r="I782" t="b">
        <v>0</v>
      </c>
      <c r="J782" cm="1">
        <f t="array" ref="J782">sentimentCalc(B782)</f>
        <v>0</v>
      </c>
      <c r="K782" t="str" cm="1">
        <f t="array" ref="K782">sentimentCategory(J782)</f>
        <v>Neutral</v>
      </c>
    </row>
    <row r="783" spans="1:11" ht="34" x14ac:dyDescent="0.2">
      <c r="A783" t="s">
        <v>1436</v>
      </c>
      <c r="B783" s="1" t="s">
        <v>1437</v>
      </c>
      <c r="C783" t="s">
        <v>181</v>
      </c>
      <c r="D783" s="1" t="s">
        <v>664</v>
      </c>
      <c r="E783" t="b">
        <v>1</v>
      </c>
      <c r="F783">
        <v>46263</v>
      </c>
      <c r="G783">
        <v>2125</v>
      </c>
      <c r="H783" t="s">
        <v>11</v>
      </c>
      <c r="I783" t="b">
        <v>0</v>
      </c>
      <c r="J783" cm="1">
        <f t="array" ref="J783">sentimentCalc(B783)</f>
        <v>0</v>
      </c>
      <c r="K783" t="str" cm="1">
        <f t="array" ref="K783">sentimentCategory(J783)</f>
        <v>Neutral</v>
      </c>
    </row>
    <row r="784" spans="1:11" ht="34" x14ac:dyDescent="0.2">
      <c r="A784" t="s">
        <v>5849</v>
      </c>
      <c r="B784" s="1" t="s">
        <v>5850</v>
      </c>
      <c r="C784" t="s">
        <v>992</v>
      </c>
      <c r="D784" s="1" t="s">
        <v>2</v>
      </c>
      <c r="E784" t="b">
        <v>0</v>
      </c>
      <c r="F784">
        <v>355</v>
      </c>
      <c r="G784">
        <v>880</v>
      </c>
      <c r="H784" t="s">
        <v>11</v>
      </c>
      <c r="I784" t="b">
        <v>0</v>
      </c>
      <c r="J784" cm="1">
        <f t="array" ref="J784">sentimentCalc(B784)</f>
        <v>0</v>
      </c>
      <c r="K784" t="str" cm="1">
        <f t="array" ref="K784">sentimentCategory(J784)</f>
        <v>Neutral</v>
      </c>
    </row>
    <row r="785" spans="1:11" ht="34" x14ac:dyDescent="0.2">
      <c r="A785" t="s">
        <v>3512</v>
      </c>
      <c r="B785" s="1" t="s">
        <v>3513</v>
      </c>
      <c r="C785" t="s">
        <v>3514</v>
      </c>
      <c r="D785" s="1" t="s">
        <v>2399</v>
      </c>
      <c r="E785" t="b">
        <v>0</v>
      </c>
      <c r="F785">
        <v>67</v>
      </c>
      <c r="G785">
        <v>44</v>
      </c>
      <c r="H785" t="s">
        <v>11</v>
      </c>
      <c r="I785" t="b">
        <v>0</v>
      </c>
      <c r="J785" cm="1">
        <f t="array" ref="J785">sentimentCalc(B785)</f>
        <v>-1</v>
      </c>
      <c r="K785" t="str" cm="1">
        <f t="array" ref="K785">sentimentCategory(J785)</f>
        <v>Negative</v>
      </c>
    </row>
    <row r="786" spans="1:11" ht="17" x14ac:dyDescent="0.2">
      <c r="A786" t="s">
        <v>5831</v>
      </c>
      <c r="B786" s="1" t="s">
        <v>5832</v>
      </c>
      <c r="C786" t="s">
        <v>5833</v>
      </c>
      <c r="D786" s="1" t="s">
        <v>2</v>
      </c>
      <c r="E786" t="b">
        <v>0</v>
      </c>
      <c r="F786">
        <v>53</v>
      </c>
      <c r="G786">
        <v>213</v>
      </c>
      <c r="H786" t="s">
        <v>11</v>
      </c>
      <c r="I786" t="b">
        <v>0</v>
      </c>
      <c r="J786" cm="1">
        <f t="array" ref="J786">sentimentCalc(B786)</f>
        <v>0</v>
      </c>
      <c r="K786" t="str" cm="1">
        <f t="array" ref="K786">sentimentCategory(J786)</f>
        <v>Neutral</v>
      </c>
    </row>
    <row r="787" spans="1:11" ht="17" x14ac:dyDescent="0.2">
      <c r="A787" t="s">
        <v>2865</v>
      </c>
      <c r="B787" s="1" t="s">
        <v>2866</v>
      </c>
      <c r="C787" t="s">
        <v>2867</v>
      </c>
      <c r="D787" s="1" t="s">
        <v>2</v>
      </c>
      <c r="E787" t="b">
        <v>0</v>
      </c>
      <c r="F787">
        <v>12</v>
      </c>
      <c r="G787">
        <v>85</v>
      </c>
      <c r="H787" t="s">
        <v>11</v>
      </c>
      <c r="I787" t="b">
        <v>0</v>
      </c>
      <c r="J787" cm="1">
        <f t="array" ref="J787">sentimentCalc(B787)</f>
        <v>0</v>
      </c>
      <c r="K787" t="str" cm="1">
        <f t="array" ref="K787">sentimentCategory(J787)</f>
        <v>Neutral</v>
      </c>
    </row>
    <row r="788" spans="1:11" ht="34" x14ac:dyDescent="0.2">
      <c r="A788" t="s">
        <v>474</v>
      </c>
      <c r="B788" s="1" t="s">
        <v>475</v>
      </c>
      <c r="C788" t="s">
        <v>476</v>
      </c>
      <c r="D788" s="1" t="s">
        <v>477</v>
      </c>
      <c r="E788" t="b">
        <v>0</v>
      </c>
      <c r="F788">
        <v>39</v>
      </c>
      <c r="G788">
        <v>179</v>
      </c>
      <c r="H788" t="s">
        <v>11</v>
      </c>
      <c r="I788" t="b">
        <v>0</v>
      </c>
      <c r="J788" cm="1">
        <f t="array" ref="J788">sentimentCalc(B788)</f>
        <v>-1</v>
      </c>
      <c r="K788" t="str" cm="1">
        <f t="array" ref="K788">sentimentCategory(J788)</f>
        <v>Negative</v>
      </c>
    </row>
    <row r="789" spans="1:11" ht="17" x14ac:dyDescent="0.2">
      <c r="A789" t="s">
        <v>3148</v>
      </c>
      <c r="B789" s="1" t="s">
        <v>3149</v>
      </c>
      <c r="C789" t="s">
        <v>3150</v>
      </c>
      <c r="D789" s="1" t="s">
        <v>19</v>
      </c>
      <c r="E789" t="b">
        <v>0</v>
      </c>
      <c r="F789">
        <v>241</v>
      </c>
      <c r="G789">
        <v>657</v>
      </c>
      <c r="H789" t="s">
        <v>83</v>
      </c>
      <c r="I789" t="b">
        <v>0</v>
      </c>
      <c r="J789" cm="1">
        <f t="array" ref="J789">sentimentCalc(B789)</f>
        <v>0</v>
      </c>
      <c r="K789" t="str" cm="1">
        <f t="array" ref="K789">sentimentCategory(J789)</f>
        <v>Neutral</v>
      </c>
    </row>
    <row r="790" spans="1:11" ht="17" x14ac:dyDescent="0.2">
      <c r="A790" t="s">
        <v>4108</v>
      </c>
      <c r="B790" s="1" t="s">
        <v>4109</v>
      </c>
      <c r="C790" t="s">
        <v>4110</v>
      </c>
      <c r="D790" s="1" t="s">
        <v>2</v>
      </c>
      <c r="E790" t="b">
        <v>0</v>
      </c>
      <c r="F790">
        <v>9</v>
      </c>
      <c r="G790">
        <v>57</v>
      </c>
      <c r="H790" t="s">
        <v>11</v>
      </c>
      <c r="I790" t="b">
        <v>0</v>
      </c>
      <c r="J790" cm="1">
        <f t="array" ref="J790">sentimentCalc(B790)</f>
        <v>1</v>
      </c>
      <c r="K790" t="str" cm="1">
        <f t="array" ref="K790">sentimentCategory(J790)</f>
        <v>Positive</v>
      </c>
    </row>
    <row r="791" spans="1:11" ht="17" x14ac:dyDescent="0.2">
      <c r="A791" t="s">
        <v>3993</v>
      </c>
      <c r="B791" s="1" t="s">
        <v>3994</v>
      </c>
      <c r="C791" t="s">
        <v>3995</v>
      </c>
      <c r="D791" s="1" t="s">
        <v>3996</v>
      </c>
      <c r="E791" t="b">
        <v>0</v>
      </c>
      <c r="F791">
        <v>1914</v>
      </c>
      <c r="G791">
        <v>674</v>
      </c>
      <c r="H791" t="s">
        <v>11</v>
      </c>
      <c r="I791" t="b">
        <v>0</v>
      </c>
      <c r="J791" cm="1">
        <f t="array" ref="J791">sentimentCalc(B791)</f>
        <v>0</v>
      </c>
      <c r="K791" t="str" cm="1">
        <f t="array" ref="K791">sentimentCategory(J791)</f>
        <v>Neutral</v>
      </c>
    </row>
    <row r="792" spans="1:11" ht="17" x14ac:dyDescent="0.2">
      <c r="A792" t="s">
        <v>6472</v>
      </c>
      <c r="B792" s="1" t="s">
        <v>6473</v>
      </c>
      <c r="C792" t="s">
        <v>3321</v>
      </c>
      <c r="D792" s="1" t="s">
        <v>6474</v>
      </c>
      <c r="E792" t="b">
        <v>0</v>
      </c>
      <c r="F792">
        <v>332</v>
      </c>
      <c r="G792">
        <v>332</v>
      </c>
      <c r="H792" t="s">
        <v>11</v>
      </c>
      <c r="I792" t="b">
        <v>0</v>
      </c>
      <c r="J792" cm="1">
        <f t="array" ref="J792">sentimentCalc(B792)</f>
        <v>0</v>
      </c>
      <c r="K792" t="str" cm="1">
        <f t="array" ref="K792">sentimentCategory(J792)</f>
        <v>Neutral</v>
      </c>
    </row>
    <row r="793" spans="1:11" ht="17" x14ac:dyDescent="0.2">
      <c r="A793" t="s">
        <v>6709</v>
      </c>
      <c r="B793" s="1" t="s">
        <v>6710</v>
      </c>
      <c r="C793" t="s">
        <v>6711</v>
      </c>
      <c r="D793" s="1" t="s">
        <v>477</v>
      </c>
      <c r="E793" t="b">
        <v>0</v>
      </c>
      <c r="F793">
        <v>1905</v>
      </c>
      <c r="G793">
        <v>743</v>
      </c>
      <c r="H793" t="s">
        <v>11</v>
      </c>
      <c r="I793" t="b">
        <v>0</v>
      </c>
      <c r="J793" cm="1">
        <f t="array" ref="J793">sentimentCalc(B793)</f>
        <v>0</v>
      </c>
      <c r="K793" t="str" cm="1">
        <f t="array" ref="K793">sentimentCategory(J793)</f>
        <v>Neutral</v>
      </c>
    </row>
    <row r="794" spans="1:11" ht="17" x14ac:dyDescent="0.2">
      <c r="A794" t="s">
        <v>6841</v>
      </c>
      <c r="B794" s="1" t="s">
        <v>6842</v>
      </c>
      <c r="C794" t="s">
        <v>373</v>
      </c>
      <c r="D794" s="1" t="s">
        <v>2716</v>
      </c>
      <c r="E794" t="b">
        <v>0</v>
      </c>
      <c r="F794">
        <v>6</v>
      </c>
      <c r="G794">
        <v>14</v>
      </c>
      <c r="H794" t="s">
        <v>359</v>
      </c>
      <c r="I794" t="b">
        <v>0</v>
      </c>
      <c r="J794" cm="1">
        <f t="array" ref="J794">sentimentCalc(B794)</f>
        <v>0</v>
      </c>
      <c r="K794" t="str" cm="1">
        <f t="array" ref="K794">sentimentCategory(J794)</f>
        <v>Neutral</v>
      </c>
    </row>
    <row r="795" spans="1:11" ht="34" x14ac:dyDescent="0.2">
      <c r="A795" t="s">
        <v>7242</v>
      </c>
      <c r="B795" s="1" t="s">
        <v>7243</v>
      </c>
      <c r="C795" t="s">
        <v>222</v>
      </c>
      <c r="D795" s="1" t="s">
        <v>2</v>
      </c>
      <c r="E795" t="b">
        <v>0</v>
      </c>
      <c r="F795">
        <v>7083</v>
      </c>
      <c r="G795">
        <v>1380</v>
      </c>
      <c r="H795" t="s">
        <v>11</v>
      </c>
      <c r="I795" t="b">
        <v>0</v>
      </c>
      <c r="J795" cm="1">
        <f t="array" ref="J795">sentimentCalc(B795)</f>
        <v>0</v>
      </c>
      <c r="K795" t="str" cm="1">
        <f t="array" ref="K795">sentimentCategory(J795)</f>
        <v>Neutral</v>
      </c>
    </row>
    <row r="796" spans="1:11" ht="17" x14ac:dyDescent="0.2">
      <c r="A796" t="s">
        <v>450</v>
      </c>
      <c r="B796" s="1" t="s">
        <v>451</v>
      </c>
      <c r="C796" t="s">
        <v>173</v>
      </c>
      <c r="D796" s="1" t="s">
        <v>452</v>
      </c>
      <c r="E796" t="b">
        <v>0</v>
      </c>
      <c r="F796">
        <v>436</v>
      </c>
      <c r="G796">
        <v>3796</v>
      </c>
      <c r="H796" t="s">
        <v>11</v>
      </c>
      <c r="I796" t="b">
        <v>0</v>
      </c>
      <c r="J796" cm="1">
        <f t="array" ref="J796">sentimentCalc(B796)</f>
        <v>1</v>
      </c>
      <c r="K796" t="str" cm="1">
        <f t="array" ref="K796">sentimentCategory(J796)</f>
        <v>Positive</v>
      </c>
    </row>
    <row r="797" spans="1:11" ht="17" x14ac:dyDescent="0.2">
      <c r="A797" t="s">
        <v>2091</v>
      </c>
      <c r="B797" s="1" t="s">
        <v>2093</v>
      </c>
      <c r="C797" t="s">
        <v>2094</v>
      </c>
      <c r="D797" s="1" t="s">
        <v>2095</v>
      </c>
      <c r="E797" t="b">
        <v>0</v>
      </c>
      <c r="F797">
        <v>86</v>
      </c>
      <c r="G797">
        <v>193</v>
      </c>
      <c r="H797" t="s">
        <v>11</v>
      </c>
      <c r="I797" t="b">
        <v>0</v>
      </c>
      <c r="J797" cm="1">
        <f t="array" ref="J797">sentimentCalc(B797)</f>
        <v>0</v>
      </c>
      <c r="K797" t="str" cm="1">
        <f t="array" ref="K797">sentimentCategory(J797)</f>
        <v>Neutral</v>
      </c>
    </row>
    <row r="798" spans="1:11" ht="17" x14ac:dyDescent="0.2">
      <c r="A798" t="s">
        <v>459</v>
      </c>
      <c r="B798" s="1" t="s">
        <v>460</v>
      </c>
      <c r="C798" t="s">
        <v>461</v>
      </c>
      <c r="D798" s="1" t="s">
        <v>2</v>
      </c>
      <c r="E798" t="b">
        <v>0</v>
      </c>
      <c r="F798">
        <v>18</v>
      </c>
      <c r="G798">
        <v>25</v>
      </c>
      <c r="H798" t="s">
        <v>11</v>
      </c>
      <c r="I798" t="b">
        <v>0</v>
      </c>
      <c r="J798" cm="1">
        <f t="array" ref="J798">sentimentCalc(B798)</f>
        <v>0</v>
      </c>
      <c r="K798" t="str" cm="1">
        <f t="array" ref="K798">sentimentCategory(J798)</f>
        <v>Neutral</v>
      </c>
    </row>
    <row r="799" spans="1:11" ht="17" x14ac:dyDescent="0.2">
      <c r="A799" t="s">
        <v>1792</v>
      </c>
      <c r="B799" s="1" t="s">
        <v>1793</v>
      </c>
      <c r="C799" t="s">
        <v>167</v>
      </c>
      <c r="D799" s="1" t="s">
        <v>1794</v>
      </c>
      <c r="E799" t="b">
        <v>0</v>
      </c>
      <c r="F799">
        <v>476</v>
      </c>
      <c r="G799">
        <v>180</v>
      </c>
      <c r="H799" t="s">
        <v>11</v>
      </c>
      <c r="I799" t="b">
        <v>0</v>
      </c>
      <c r="J799" cm="1">
        <f t="array" ref="J799">sentimentCalc(B799)</f>
        <v>0</v>
      </c>
      <c r="K799" t="str" cm="1">
        <f t="array" ref="K799">sentimentCategory(J799)</f>
        <v>Neutral</v>
      </c>
    </row>
    <row r="800" spans="1:11" ht="17" x14ac:dyDescent="0.2">
      <c r="A800" t="s">
        <v>1054</v>
      </c>
      <c r="B800" s="1" t="s">
        <v>1055</v>
      </c>
      <c r="C800" t="s">
        <v>125</v>
      </c>
      <c r="D800" s="1" t="s">
        <v>2</v>
      </c>
      <c r="E800" t="b">
        <v>0</v>
      </c>
      <c r="F800">
        <v>6778</v>
      </c>
      <c r="G800">
        <v>7171</v>
      </c>
      <c r="H800" t="s">
        <v>11</v>
      </c>
      <c r="I800" t="b">
        <v>0</v>
      </c>
      <c r="J800" cm="1">
        <f t="array" ref="J800">sentimentCalc(B800)</f>
        <v>0</v>
      </c>
      <c r="K800" t="str" cm="1">
        <f t="array" ref="K800">sentimentCategory(J800)</f>
        <v>Neutral</v>
      </c>
    </row>
    <row r="801" spans="1:11" ht="17" x14ac:dyDescent="0.2">
      <c r="A801" t="s">
        <v>134</v>
      </c>
      <c r="B801" s="1" t="s">
        <v>135</v>
      </c>
      <c r="C801" t="s">
        <v>136</v>
      </c>
      <c r="D801" s="1" t="s">
        <v>2</v>
      </c>
      <c r="E801" t="b">
        <v>0</v>
      </c>
      <c r="F801">
        <v>60</v>
      </c>
      <c r="G801">
        <v>475</v>
      </c>
      <c r="H801" t="s">
        <v>11</v>
      </c>
      <c r="I801" t="b">
        <v>0</v>
      </c>
      <c r="J801" cm="1">
        <f t="array" ref="J801">sentimentCalc(B801)</f>
        <v>0</v>
      </c>
      <c r="K801" t="str" cm="1">
        <f t="array" ref="K801">sentimentCategory(J801)</f>
        <v>Neutral</v>
      </c>
    </row>
    <row r="802" spans="1:11" ht="17" x14ac:dyDescent="0.2">
      <c r="A802" t="s">
        <v>4662</v>
      </c>
      <c r="B802" s="1" t="s">
        <v>4663</v>
      </c>
      <c r="C802" t="s">
        <v>4664</v>
      </c>
      <c r="D802" s="1" t="s">
        <v>4665</v>
      </c>
      <c r="E802" t="b">
        <v>0</v>
      </c>
      <c r="F802">
        <v>1711</v>
      </c>
      <c r="G802">
        <v>1323</v>
      </c>
      <c r="H802" t="s">
        <v>11</v>
      </c>
      <c r="I802" t="b">
        <v>0</v>
      </c>
      <c r="J802" cm="1">
        <f t="array" ref="J802">sentimentCalc(B802)</f>
        <v>0</v>
      </c>
      <c r="K802" t="str" cm="1">
        <f t="array" ref="K802">sentimentCategory(J802)</f>
        <v>Neutral</v>
      </c>
    </row>
    <row r="803" spans="1:11" ht="17" x14ac:dyDescent="0.2">
      <c r="A803" t="s">
        <v>2414</v>
      </c>
      <c r="B803" s="1" t="s">
        <v>2415</v>
      </c>
      <c r="C803" t="s">
        <v>1405</v>
      </c>
      <c r="D803" s="1" t="s">
        <v>61</v>
      </c>
      <c r="E803" t="b">
        <v>0</v>
      </c>
      <c r="F803">
        <v>357</v>
      </c>
      <c r="G803">
        <v>2284</v>
      </c>
      <c r="H803" t="s">
        <v>11</v>
      </c>
      <c r="I803" t="b">
        <v>0</v>
      </c>
      <c r="J803" cm="1">
        <f t="array" ref="J803">sentimentCalc(B803)</f>
        <v>1</v>
      </c>
      <c r="K803" t="str" cm="1">
        <f t="array" ref="K803">sentimentCategory(J803)</f>
        <v>Positive</v>
      </c>
    </row>
    <row r="804" spans="1:11" ht="34" x14ac:dyDescent="0.2">
      <c r="A804" t="s">
        <v>32</v>
      </c>
      <c r="B804" s="1" t="s">
        <v>33</v>
      </c>
      <c r="C804" t="s">
        <v>34</v>
      </c>
      <c r="D804" s="1" t="s">
        <v>35</v>
      </c>
      <c r="E804" t="b">
        <v>1</v>
      </c>
      <c r="F804">
        <v>38820</v>
      </c>
      <c r="G804">
        <v>2224</v>
      </c>
      <c r="H804" t="s">
        <v>11</v>
      </c>
      <c r="I804" t="b">
        <v>0</v>
      </c>
      <c r="J804" cm="1">
        <f t="array" ref="J804">sentimentCalc(B804)</f>
        <v>0</v>
      </c>
      <c r="K804" t="str" cm="1">
        <f t="array" ref="K804">sentimentCategory(J804)</f>
        <v>Neutral</v>
      </c>
    </row>
    <row r="805" spans="1:11" ht="17" x14ac:dyDescent="0.2">
      <c r="A805" t="s">
        <v>7118</v>
      </c>
      <c r="B805" s="1" t="s">
        <v>7119</v>
      </c>
      <c r="C805" t="s">
        <v>2740</v>
      </c>
      <c r="D805" s="1" t="s">
        <v>3539</v>
      </c>
      <c r="E805" t="b">
        <v>0</v>
      </c>
      <c r="F805">
        <v>1080</v>
      </c>
      <c r="G805">
        <v>935</v>
      </c>
      <c r="H805" t="s">
        <v>11</v>
      </c>
      <c r="I805" t="b">
        <v>0</v>
      </c>
      <c r="J805" cm="1">
        <f t="array" ref="J805">sentimentCalc(B805)</f>
        <v>1</v>
      </c>
      <c r="K805" t="str" cm="1">
        <f t="array" ref="K805">sentimentCategory(J805)</f>
        <v>Positive</v>
      </c>
    </row>
    <row r="806" spans="1:11" ht="34" x14ac:dyDescent="0.2">
      <c r="A806" t="s">
        <v>4123</v>
      </c>
      <c r="B806" s="1" t="s">
        <v>4124</v>
      </c>
      <c r="C806" t="s">
        <v>554</v>
      </c>
      <c r="D806" s="1" t="s">
        <v>4125</v>
      </c>
      <c r="E806" t="b">
        <v>0</v>
      </c>
      <c r="F806">
        <v>249</v>
      </c>
      <c r="G806">
        <v>299</v>
      </c>
      <c r="H806" t="s">
        <v>11</v>
      </c>
      <c r="I806" t="b">
        <v>0</v>
      </c>
      <c r="J806" cm="1">
        <f t="array" ref="J806">sentimentCalc(B806)</f>
        <v>-1</v>
      </c>
      <c r="K806" t="str" cm="1">
        <f t="array" ref="K806">sentimentCategory(J806)</f>
        <v>Negative</v>
      </c>
    </row>
    <row r="807" spans="1:11" ht="17" x14ac:dyDescent="0.2">
      <c r="A807" t="s">
        <v>1164</v>
      </c>
      <c r="B807" s="1" t="s">
        <v>1166</v>
      </c>
      <c r="C807" t="s">
        <v>992</v>
      </c>
      <c r="D807" s="1" t="s">
        <v>1167</v>
      </c>
      <c r="E807" t="b">
        <v>0</v>
      </c>
      <c r="F807">
        <v>360</v>
      </c>
      <c r="G807">
        <v>248</v>
      </c>
      <c r="H807" t="s">
        <v>11</v>
      </c>
      <c r="I807" t="b">
        <v>0</v>
      </c>
      <c r="J807" cm="1">
        <f t="array" ref="J807">sentimentCalc(B807)</f>
        <v>0</v>
      </c>
      <c r="K807" t="str" cm="1">
        <f t="array" ref="K807">sentimentCategory(J807)</f>
        <v>Neutral</v>
      </c>
    </row>
    <row r="808" spans="1:11" ht="17" x14ac:dyDescent="0.2">
      <c r="A808" t="s">
        <v>5992</v>
      </c>
      <c r="B808" s="1" t="s">
        <v>5993</v>
      </c>
      <c r="C808" t="s">
        <v>5994</v>
      </c>
      <c r="D808" s="1" t="s">
        <v>5995</v>
      </c>
      <c r="E808" t="b">
        <v>0</v>
      </c>
      <c r="F808">
        <v>838</v>
      </c>
      <c r="G808">
        <v>740</v>
      </c>
      <c r="H808" t="s">
        <v>11</v>
      </c>
      <c r="I808" t="b">
        <v>0</v>
      </c>
      <c r="J808" cm="1">
        <f t="array" ref="J808">sentimentCalc(B808)</f>
        <v>0</v>
      </c>
      <c r="K808" t="str" cm="1">
        <f t="array" ref="K808">sentimentCategory(J808)</f>
        <v>Neutral</v>
      </c>
    </row>
    <row r="809" spans="1:11" ht="17" x14ac:dyDescent="0.2">
      <c r="A809" t="s">
        <v>2416</v>
      </c>
      <c r="B809" s="1" t="s">
        <v>2417</v>
      </c>
      <c r="C809" t="s">
        <v>587</v>
      </c>
      <c r="D809" s="1" t="s">
        <v>2418</v>
      </c>
      <c r="E809" t="b">
        <v>0</v>
      </c>
      <c r="F809">
        <v>691</v>
      </c>
      <c r="G809">
        <v>221</v>
      </c>
      <c r="H809" t="s">
        <v>11</v>
      </c>
      <c r="I809" t="b">
        <v>0</v>
      </c>
      <c r="J809" cm="1">
        <f t="array" ref="J809">sentimentCalc(B809)</f>
        <v>0</v>
      </c>
      <c r="K809" t="str" cm="1">
        <f t="array" ref="K809">sentimentCategory(J809)</f>
        <v>Neutral</v>
      </c>
    </row>
    <row r="810" spans="1:11" ht="34" x14ac:dyDescent="0.2">
      <c r="A810" t="s">
        <v>4391</v>
      </c>
      <c r="B810" s="1" t="s">
        <v>4392</v>
      </c>
      <c r="C810" t="s">
        <v>1058</v>
      </c>
      <c r="D810" s="1" t="s">
        <v>2</v>
      </c>
      <c r="E810" t="b">
        <v>0</v>
      </c>
      <c r="F810">
        <v>2514</v>
      </c>
      <c r="G810">
        <v>3016</v>
      </c>
      <c r="H810" t="s">
        <v>31</v>
      </c>
      <c r="I810" t="b">
        <v>0</v>
      </c>
      <c r="J810" cm="1">
        <f t="array" ref="J810">sentimentCalc(B810)</f>
        <v>0</v>
      </c>
      <c r="K810" t="str" cm="1">
        <f t="array" ref="K810">sentimentCategory(J810)</f>
        <v>Neutral</v>
      </c>
    </row>
    <row r="811" spans="1:11" ht="17" x14ac:dyDescent="0.2">
      <c r="A811" t="s">
        <v>2537</v>
      </c>
      <c r="B811" s="1" t="s">
        <v>2538</v>
      </c>
      <c r="C811" t="s">
        <v>2539</v>
      </c>
      <c r="D811" s="1" t="s">
        <v>2</v>
      </c>
      <c r="E811" t="b">
        <v>0</v>
      </c>
      <c r="F811">
        <v>19</v>
      </c>
      <c r="G811">
        <v>43</v>
      </c>
      <c r="H811" t="s">
        <v>11</v>
      </c>
      <c r="I811" t="b">
        <v>0</v>
      </c>
      <c r="J811" cm="1">
        <f t="array" ref="J811">sentimentCalc(B811)</f>
        <v>0</v>
      </c>
      <c r="K811" t="str" cm="1">
        <f t="array" ref="K811">sentimentCategory(J811)</f>
        <v>Neutral</v>
      </c>
    </row>
    <row r="812" spans="1:11" ht="17" x14ac:dyDescent="0.2">
      <c r="A812" t="s">
        <v>4505</v>
      </c>
      <c r="B812" s="1" t="s">
        <v>4506</v>
      </c>
      <c r="C812" t="s">
        <v>1263</v>
      </c>
      <c r="D812" s="1" t="s">
        <v>2</v>
      </c>
      <c r="E812" t="b">
        <v>0</v>
      </c>
      <c r="F812">
        <v>450</v>
      </c>
      <c r="G812">
        <v>977</v>
      </c>
      <c r="H812" t="s">
        <v>11</v>
      </c>
      <c r="I812" t="b">
        <v>0</v>
      </c>
      <c r="J812" cm="1">
        <f t="array" ref="J812">sentimentCalc(B812)</f>
        <v>0</v>
      </c>
      <c r="K812" t="str" cm="1">
        <f t="array" ref="K812">sentimentCategory(J812)</f>
        <v>Neutral</v>
      </c>
    </row>
    <row r="813" spans="1:11" ht="34" x14ac:dyDescent="0.2">
      <c r="A813" t="s">
        <v>4090</v>
      </c>
      <c r="B813" s="1" t="s">
        <v>4091</v>
      </c>
      <c r="C813" t="s">
        <v>173</v>
      </c>
      <c r="D813" s="1" t="s">
        <v>2</v>
      </c>
      <c r="E813" t="b">
        <v>0</v>
      </c>
      <c r="F813">
        <v>137</v>
      </c>
      <c r="G813">
        <v>180</v>
      </c>
      <c r="H813" t="s">
        <v>11</v>
      </c>
      <c r="I813" t="b">
        <v>0</v>
      </c>
      <c r="J813" cm="1">
        <f t="array" ref="J813">sentimentCalc(B813)</f>
        <v>-1</v>
      </c>
      <c r="K813" t="str" cm="1">
        <f t="array" ref="K813">sentimentCategory(J813)</f>
        <v>Negative</v>
      </c>
    </row>
    <row r="814" spans="1:11" ht="17" x14ac:dyDescent="0.2">
      <c r="A814" t="s">
        <v>2070</v>
      </c>
      <c r="B814" s="1" t="s">
        <v>2071</v>
      </c>
      <c r="C814" t="s">
        <v>297</v>
      </c>
      <c r="D814" s="1" t="s">
        <v>2072</v>
      </c>
      <c r="E814" t="b">
        <v>0</v>
      </c>
      <c r="F814">
        <v>176</v>
      </c>
      <c r="G814">
        <v>433</v>
      </c>
      <c r="H814" t="s">
        <v>11</v>
      </c>
      <c r="I814" t="b">
        <v>0</v>
      </c>
      <c r="J814" cm="1">
        <f t="array" ref="J814">sentimentCalc(B814)</f>
        <v>0</v>
      </c>
      <c r="K814" t="str" cm="1">
        <f t="array" ref="K814">sentimentCategory(J814)</f>
        <v>Neutral</v>
      </c>
    </row>
    <row r="815" spans="1:11" ht="17" x14ac:dyDescent="0.2">
      <c r="A815" t="s">
        <v>962</v>
      </c>
      <c r="B815" s="1" t="s">
        <v>963</v>
      </c>
      <c r="C815" t="s">
        <v>222</v>
      </c>
      <c r="D815" s="1" t="s">
        <v>223</v>
      </c>
      <c r="E815" t="b">
        <v>0</v>
      </c>
      <c r="F815">
        <v>9223</v>
      </c>
      <c r="G815">
        <v>7169</v>
      </c>
      <c r="H815" t="s">
        <v>11</v>
      </c>
      <c r="I815" t="b">
        <v>0</v>
      </c>
      <c r="J815" cm="1">
        <f t="array" ref="J815">sentimentCalc(B815)</f>
        <v>0</v>
      </c>
      <c r="K815" t="str" cm="1">
        <f t="array" ref="K815">sentimentCategory(J815)</f>
        <v>Neutral</v>
      </c>
    </row>
    <row r="816" spans="1:11" ht="34" x14ac:dyDescent="0.2">
      <c r="A816" t="s">
        <v>4633</v>
      </c>
      <c r="B816" s="1" t="s">
        <v>4634</v>
      </c>
      <c r="C816" t="s">
        <v>1263</v>
      </c>
      <c r="D816" s="1" t="s">
        <v>2276</v>
      </c>
      <c r="E816" t="b">
        <v>0</v>
      </c>
      <c r="F816">
        <v>1102</v>
      </c>
      <c r="G816">
        <v>431</v>
      </c>
      <c r="H816" t="s">
        <v>11</v>
      </c>
      <c r="I816" t="b">
        <v>0</v>
      </c>
      <c r="J816" cm="1">
        <f t="array" ref="J816">sentimentCalc(B816)</f>
        <v>0</v>
      </c>
      <c r="K816" t="str" cm="1">
        <f t="array" ref="K816">sentimentCategory(J816)</f>
        <v>Neutral</v>
      </c>
    </row>
    <row r="817" spans="1:11" ht="17" x14ac:dyDescent="0.2">
      <c r="A817" t="s">
        <v>6144</v>
      </c>
      <c r="B817" s="1" t="s">
        <v>6145</v>
      </c>
      <c r="C817" t="s">
        <v>6146</v>
      </c>
      <c r="D817" s="1" t="s">
        <v>6147</v>
      </c>
      <c r="E817" t="b">
        <v>0</v>
      </c>
      <c r="F817">
        <v>352</v>
      </c>
      <c r="G817">
        <v>589</v>
      </c>
      <c r="H817" t="s">
        <v>11</v>
      </c>
      <c r="I817" t="b">
        <v>0</v>
      </c>
      <c r="J817" cm="1">
        <f t="array" ref="J817">sentimentCalc(B817)</f>
        <v>1</v>
      </c>
      <c r="K817" t="str" cm="1">
        <f t="array" ref="K817">sentimentCategory(J817)</f>
        <v>Positive</v>
      </c>
    </row>
    <row r="818" spans="1:11" ht="17" x14ac:dyDescent="0.2">
      <c r="A818" t="s">
        <v>6535</v>
      </c>
      <c r="B818" s="1" t="s">
        <v>6536</v>
      </c>
      <c r="C818" t="s">
        <v>6537</v>
      </c>
      <c r="D818" s="1" t="s">
        <v>2</v>
      </c>
      <c r="E818" t="b">
        <v>0</v>
      </c>
      <c r="F818">
        <v>50</v>
      </c>
      <c r="G818">
        <v>130</v>
      </c>
      <c r="H818" t="s">
        <v>262</v>
      </c>
      <c r="I818" t="b">
        <v>0</v>
      </c>
      <c r="J818" cm="1">
        <f t="array" ref="J818">sentimentCalc(B818)</f>
        <v>0</v>
      </c>
      <c r="K818" t="str" cm="1">
        <f t="array" ref="K818">sentimentCategory(J818)</f>
        <v>Neutral</v>
      </c>
    </row>
    <row r="819" spans="1:11" ht="17" x14ac:dyDescent="0.2">
      <c r="A819" t="s">
        <v>4113</v>
      </c>
      <c r="B819" s="1" t="s">
        <v>4114</v>
      </c>
      <c r="C819" t="s">
        <v>4115</v>
      </c>
      <c r="D819" s="1" t="s">
        <v>4116</v>
      </c>
      <c r="E819" t="b">
        <v>0</v>
      </c>
      <c r="F819">
        <v>1536</v>
      </c>
      <c r="G819">
        <v>3077</v>
      </c>
      <c r="H819" t="s">
        <v>11</v>
      </c>
      <c r="I819" t="b">
        <v>0</v>
      </c>
      <c r="J819" cm="1">
        <f t="array" ref="J819">sentimentCalc(B819)</f>
        <v>0</v>
      </c>
      <c r="K819" t="str" cm="1">
        <f t="array" ref="K819">sentimentCategory(J819)</f>
        <v>Neutral</v>
      </c>
    </row>
    <row r="820" spans="1:11" ht="17" x14ac:dyDescent="0.2">
      <c r="A820" t="s">
        <v>4950</v>
      </c>
      <c r="B820" s="1" t="s">
        <v>4951</v>
      </c>
      <c r="C820" t="s">
        <v>529</v>
      </c>
      <c r="D820" s="1" t="s">
        <v>4952</v>
      </c>
      <c r="E820" t="b">
        <v>0</v>
      </c>
      <c r="F820">
        <v>22095</v>
      </c>
      <c r="G820">
        <v>273</v>
      </c>
      <c r="H820" t="s">
        <v>11</v>
      </c>
      <c r="I820" t="b">
        <v>0</v>
      </c>
      <c r="J820" cm="1">
        <f t="array" ref="J820">sentimentCalc(B820)</f>
        <v>0</v>
      </c>
      <c r="K820" t="str" cm="1">
        <f t="array" ref="K820">sentimentCategory(J820)</f>
        <v>Neutral</v>
      </c>
    </row>
    <row r="821" spans="1:11" ht="17" x14ac:dyDescent="0.2">
      <c r="A821" t="s">
        <v>4653</v>
      </c>
      <c r="B821" s="1" t="s">
        <v>4654</v>
      </c>
      <c r="C821" t="s">
        <v>4655</v>
      </c>
      <c r="D821" s="1" t="s">
        <v>4656</v>
      </c>
      <c r="E821" t="b">
        <v>0</v>
      </c>
      <c r="F821">
        <v>5169</v>
      </c>
      <c r="G821">
        <v>2709</v>
      </c>
      <c r="H821" t="s">
        <v>11</v>
      </c>
      <c r="I821" t="b">
        <v>0</v>
      </c>
      <c r="J821" cm="1">
        <f t="array" ref="J821">sentimentCalc(B821)</f>
        <v>1</v>
      </c>
      <c r="K821" t="str" cm="1">
        <f t="array" ref="K821">sentimentCategory(J821)</f>
        <v>Positive</v>
      </c>
    </row>
    <row r="822" spans="1:11" ht="17" x14ac:dyDescent="0.2">
      <c r="A822" t="s">
        <v>2517</v>
      </c>
      <c r="B822" s="1" t="s">
        <v>2518</v>
      </c>
      <c r="C822" t="s">
        <v>121</v>
      </c>
      <c r="D822" s="1" t="s">
        <v>2</v>
      </c>
      <c r="E822" t="b">
        <v>0</v>
      </c>
      <c r="F822">
        <v>218</v>
      </c>
      <c r="G822">
        <v>126</v>
      </c>
      <c r="H822" t="s">
        <v>122</v>
      </c>
      <c r="I822" t="b">
        <v>0</v>
      </c>
      <c r="J822" cm="1">
        <f t="array" ref="J822">sentimentCalc(B822)</f>
        <v>0</v>
      </c>
      <c r="K822" t="str" cm="1">
        <f t="array" ref="K822">sentimentCategory(J822)</f>
        <v>Neutral</v>
      </c>
    </row>
    <row r="823" spans="1:11" ht="34" x14ac:dyDescent="0.2">
      <c r="A823" t="s">
        <v>1071</v>
      </c>
      <c r="B823" s="1" t="s">
        <v>1072</v>
      </c>
      <c r="C823" t="s">
        <v>607</v>
      </c>
      <c r="D823" s="1" t="s">
        <v>1073</v>
      </c>
      <c r="E823" t="b">
        <v>0</v>
      </c>
      <c r="F823">
        <v>0</v>
      </c>
      <c r="G823">
        <v>32</v>
      </c>
      <c r="H823" t="s">
        <v>641</v>
      </c>
      <c r="I823" t="b">
        <v>0</v>
      </c>
      <c r="J823" cm="1">
        <f t="array" ref="J823">sentimentCalc(B823)</f>
        <v>0</v>
      </c>
      <c r="K823" t="str" cm="1">
        <f t="array" ref="K823">sentimentCategory(J823)</f>
        <v>Neutral</v>
      </c>
    </row>
    <row r="824" spans="1:11" ht="17" x14ac:dyDescent="0.2">
      <c r="A824" t="s">
        <v>4247</v>
      </c>
      <c r="B824" s="1" t="s">
        <v>4249</v>
      </c>
      <c r="C824" t="s">
        <v>186</v>
      </c>
      <c r="D824" s="1" t="s">
        <v>2</v>
      </c>
      <c r="E824" t="b">
        <v>0</v>
      </c>
      <c r="F824">
        <v>2868</v>
      </c>
      <c r="G824">
        <v>6</v>
      </c>
      <c r="H824" t="s">
        <v>11</v>
      </c>
      <c r="I824" t="b">
        <v>0</v>
      </c>
      <c r="J824" cm="1">
        <f t="array" ref="J824">sentimentCalc(B824)</f>
        <v>0</v>
      </c>
      <c r="K824" t="str" cm="1">
        <f t="array" ref="K824">sentimentCategory(J824)</f>
        <v>Neutral</v>
      </c>
    </row>
    <row r="825" spans="1:11" ht="34" x14ac:dyDescent="0.2">
      <c r="A825" t="s">
        <v>3864</v>
      </c>
      <c r="B825" s="1" t="s">
        <v>3865</v>
      </c>
      <c r="C825" t="s">
        <v>275</v>
      </c>
      <c r="D825" s="1" t="s">
        <v>565</v>
      </c>
      <c r="E825" t="b">
        <v>0</v>
      </c>
      <c r="F825">
        <v>299</v>
      </c>
      <c r="G825">
        <v>310</v>
      </c>
      <c r="H825" t="s">
        <v>11</v>
      </c>
      <c r="I825" t="b">
        <v>0</v>
      </c>
      <c r="J825" cm="1">
        <f t="array" ref="J825">sentimentCalc(B825)</f>
        <v>0</v>
      </c>
      <c r="K825" t="str" cm="1">
        <f t="array" ref="K825">sentimentCategory(J825)</f>
        <v>Neutral</v>
      </c>
    </row>
    <row r="826" spans="1:11" ht="34" x14ac:dyDescent="0.2">
      <c r="A826" t="s">
        <v>6700</v>
      </c>
      <c r="B826" s="1" t="s">
        <v>6701</v>
      </c>
      <c r="C826" t="s">
        <v>432</v>
      </c>
      <c r="D826" s="1" t="s">
        <v>2</v>
      </c>
      <c r="E826" t="b">
        <v>0</v>
      </c>
      <c r="F826">
        <v>12</v>
      </c>
      <c r="G826">
        <v>1</v>
      </c>
      <c r="H826" t="s">
        <v>11</v>
      </c>
      <c r="I826" t="b">
        <v>0</v>
      </c>
      <c r="J826" cm="1">
        <f t="array" ref="J826">sentimentCalc(B826)</f>
        <v>0</v>
      </c>
      <c r="K826" t="str" cm="1">
        <f t="array" ref="K826">sentimentCategory(J826)</f>
        <v>Neutral</v>
      </c>
    </row>
    <row r="827" spans="1:11" ht="17" x14ac:dyDescent="0.2">
      <c r="A827" t="s">
        <v>2143</v>
      </c>
      <c r="B827" s="1" t="s">
        <v>2144</v>
      </c>
      <c r="C827" t="s">
        <v>2145</v>
      </c>
      <c r="D827" s="1" t="s">
        <v>2146</v>
      </c>
      <c r="E827" t="b">
        <v>0</v>
      </c>
      <c r="F827">
        <v>288</v>
      </c>
      <c r="G827">
        <v>998</v>
      </c>
      <c r="H827" t="s">
        <v>11</v>
      </c>
      <c r="I827" t="b">
        <v>0</v>
      </c>
      <c r="J827" cm="1">
        <f t="array" ref="J827">sentimentCalc(B827)</f>
        <v>1</v>
      </c>
      <c r="K827" t="str" cm="1">
        <f t="array" ref="K827">sentimentCategory(J827)</f>
        <v>Positive</v>
      </c>
    </row>
    <row r="828" spans="1:11" ht="17" x14ac:dyDescent="0.2">
      <c r="A828" t="s">
        <v>1650</v>
      </c>
      <c r="B828" s="1" t="s">
        <v>1651</v>
      </c>
      <c r="C828" t="s">
        <v>1652</v>
      </c>
      <c r="D828" s="1" t="s">
        <v>1653</v>
      </c>
      <c r="E828" t="b">
        <v>0</v>
      </c>
      <c r="F828">
        <v>33981</v>
      </c>
      <c r="G828">
        <v>9443</v>
      </c>
      <c r="H828" t="s">
        <v>11</v>
      </c>
      <c r="I828" t="b">
        <v>0</v>
      </c>
      <c r="J828" cm="1">
        <f t="array" ref="J828">sentimentCalc(B828)</f>
        <v>0</v>
      </c>
      <c r="K828" t="str" cm="1">
        <f t="array" ref="K828">sentimentCategory(J828)</f>
        <v>Neutral</v>
      </c>
    </row>
    <row r="829" spans="1:11" ht="17" x14ac:dyDescent="0.2">
      <c r="A829" t="s">
        <v>1482</v>
      </c>
      <c r="B829" s="1" t="s">
        <v>1483</v>
      </c>
      <c r="C829" t="s">
        <v>782</v>
      </c>
      <c r="D829" s="1" t="s">
        <v>1484</v>
      </c>
      <c r="E829" t="b">
        <v>0</v>
      </c>
      <c r="F829">
        <v>105</v>
      </c>
      <c r="G829">
        <v>637</v>
      </c>
      <c r="H829" t="s">
        <v>370</v>
      </c>
      <c r="I829" t="b">
        <v>0</v>
      </c>
      <c r="J829" cm="1">
        <f t="array" ref="J829">sentimentCalc(B829)</f>
        <v>0</v>
      </c>
      <c r="K829" t="str" cm="1">
        <f t="array" ref="K829">sentimentCategory(J829)</f>
        <v>Neutral</v>
      </c>
    </row>
    <row r="830" spans="1:11" ht="34" x14ac:dyDescent="0.2">
      <c r="A830" t="s">
        <v>7204</v>
      </c>
      <c r="B830" s="1" t="s">
        <v>7205</v>
      </c>
      <c r="C830" t="s">
        <v>7206</v>
      </c>
      <c r="D830" s="1" t="s">
        <v>477</v>
      </c>
      <c r="E830" t="b">
        <v>0</v>
      </c>
      <c r="F830">
        <v>2100</v>
      </c>
      <c r="G830">
        <v>241</v>
      </c>
      <c r="H830" t="s">
        <v>11</v>
      </c>
      <c r="I830" t="b">
        <v>0</v>
      </c>
      <c r="J830" cm="1">
        <f t="array" ref="J830">sentimentCalc(B830)</f>
        <v>0</v>
      </c>
      <c r="K830" t="str" cm="1">
        <f t="array" ref="K830">sentimentCategory(J830)</f>
        <v>Neutral</v>
      </c>
    </row>
    <row r="831" spans="1:11" ht="17" x14ac:dyDescent="0.2">
      <c r="A831" t="s">
        <v>1729</v>
      </c>
      <c r="B831" s="1" t="s">
        <v>1730</v>
      </c>
      <c r="C831" t="s">
        <v>1731</v>
      </c>
      <c r="D831" s="1" t="s">
        <v>1732</v>
      </c>
      <c r="E831" t="b">
        <v>0</v>
      </c>
      <c r="F831">
        <v>676</v>
      </c>
      <c r="G831">
        <v>4999</v>
      </c>
      <c r="H831" t="s">
        <v>11</v>
      </c>
      <c r="I831" t="b">
        <v>0</v>
      </c>
      <c r="J831" cm="1">
        <f t="array" ref="J831">sentimentCalc(B831)</f>
        <v>0</v>
      </c>
      <c r="K831" t="str" cm="1">
        <f t="array" ref="K831">sentimentCategory(J831)</f>
        <v>Neutral</v>
      </c>
    </row>
    <row r="832" spans="1:11" ht="17" x14ac:dyDescent="0.2">
      <c r="A832" t="s">
        <v>3493</v>
      </c>
      <c r="B832" s="1" t="s">
        <v>3494</v>
      </c>
      <c r="C832" t="s">
        <v>564</v>
      </c>
      <c r="D832" s="1" t="s">
        <v>565</v>
      </c>
      <c r="E832" t="b">
        <v>0</v>
      </c>
      <c r="F832">
        <v>998</v>
      </c>
      <c r="G832">
        <v>1</v>
      </c>
      <c r="H832" t="s">
        <v>359</v>
      </c>
      <c r="I832" t="b">
        <v>0</v>
      </c>
      <c r="J832" cm="1">
        <f t="array" ref="J832">sentimentCalc(B832)</f>
        <v>0</v>
      </c>
      <c r="K832" t="str" cm="1">
        <f t="array" ref="K832">sentimentCategory(J832)</f>
        <v>Neutral</v>
      </c>
    </row>
    <row r="833" spans="1:11" ht="17" x14ac:dyDescent="0.2">
      <c r="A833" t="s">
        <v>2689</v>
      </c>
      <c r="B833" s="1" t="s">
        <v>2690</v>
      </c>
      <c r="C833" t="s">
        <v>2691</v>
      </c>
      <c r="D833" s="1" t="s">
        <v>61</v>
      </c>
      <c r="E833" t="b">
        <v>0</v>
      </c>
      <c r="F833">
        <v>232</v>
      </c>
      <c r="G833">
        <v>109</v>
      </c>
      <c r="H833" t="s">
        <v>11</v>
      </c>
      <c r="I833" t="b">
        <v>0</v>
      </c>
      <c r="J833" cm="1">
        <f t="array" ref="J833">sentimentCalc(B833)</f>
        <v>0</v>
      </c>
      <c r="K833" t="str" cm="1">
        <f t="array" ref="K833">sentimentCategory(J833)</f>
        <v>Neutral</v>
      </c>
    </row>
    <row r="834" spans="1:11" ht="17" x14ac:dyDescent="0.2">
      <c r="A834" t="s">
        <v>27</v>
      </c>
      <c r="B834" s="1" t="s">
        <v>28</v>
      </c>
      <c r="C834" t="s">
        <v>29</v>
      </c>
      <c r="D834" s="1" t="s">
        <v>30</v>
      </c>
      <c r="E834" t="b">
        <v>0</v>
      </c>
      <c r="F834">
        <v>690</v>
      </c>
      <c r="G834">
        <v>1012</v>
      </c>
      <c r="H834" t="s">
        <v>31</v>
      </c>
      <c r="I834" t="b">
        <v>0</v>
      </c>
      <c r="J834" cm="1">
        <f t="array" ref="J834">sentimentCalc(B834)</f>
        <v>0</v>
      </c>
      <c r="K834" t="str" cm="1">
        <f t="array" ref="K834">sentimentCategory(J834)</f>
        <v>Neutral</v>
      </c>
    </row>
    <row r="835" spans="1:11" ht="34" x14ac:dyDescent="0.2">
      <c r="A835" t="s">
        <v>621</v>
      </c>
      <c r="B835" s="1" t="s">
        <v>622</v>
      </c>
      <c r="C835" t="s">
        <v>623</v>
      </c>
      <c r="D835" s="1" t="s">
        <v>624</v>
      </c>
      <c r="E835" t="b">
        <v>0</v>
      </c>
      <c r="F835">
        <v>3565</v>
      </c>
      <c r="G835">
        <v>88</v>
      </c>
      <c r="H835" t="s">
        <v>11</v>
      </c>
      <c r="I835" t="b">
        <v>0</v>
      </c>
      <c r="J835" cm="1">
        <f t="array" ref="J835">sentimentCalc(B835)</f>
        <v>0</v>
      </c>
      <c r="K835" t="str" cm="1">
        <f t="array" ref="K835">sentimentCategory(J835)</f>
        <v>Neutral</v>
      </c>
    </row>
    <row r="836" spans="1:11" ht="34" x14ac:dyDescent="0.2">
      <c r="A836" t="s">
        <v>598</v>
      </c>
      <c r="B836" s="1" t="s">
        <v>599</v>
      </c>
      <c r="C836" t="s">
        <v>600</v>
      </c>
      <c r="D836" s="1" t="s">
        <v>601</v>
      </c>
      <c r="E836" t="b">
        <v>0</v>
      </c>
      <c r="F836">
        <v>2120</v>
      </c>
      <c r="G836">
        <v>4146</v>
      </c>
      <c r="H836" t="s">
        <v>11</v>
      </c>
      <c r="I836" t="b">
        <v>0</v>
      </c>
      <c r="J836" cm="1">
        <f t="array" ref="J836">sentimentCalc(B836)</f>
        <v>2</v>
      </c>
      <c r="K836" t="str" cm="1">
        <f t="array" ref="K836">sentimentCategory(J836)</f>
        <v>Positive</v>
      </c>
    </row>
    <row r="837" spans="1:11" ht="34" x14ac:dyDescent="0.2">
      <c r="A837" t="s">
        <v>1265</v>
      </c>
      <c r="B837" s="1" t="s">
        <v>1266</v>
      </c>
      <c r="C837" t="s">
        <v>600</v>
      </c>
      <c r="D837" s="1" t="s">
        <v>601</v>
      </c>
      <c r="E837" t="b">
        <v>0</v>
      </c>
      <c r="F837">
        <v>2121</v>
      </c>
      <c r="G837">
        <v>4146</v>
      </c>
      <c r="H837" t="s">
        <v>11</v>
      </c>
      <c r="I837" t="b">
        <v>0</v>
      </c>
      <c r="J837" cm="1">
        <f t="array" ref="J837">sentimentCalc(B837)</f>
        <v>2</v>
      </c>
      <c r="K837" t="str" cm="1">
        <f t="array" ref="K837">sentimentCategory(J837)</f>
        <v>Positive</v>
      </c>
    </row>
    <row r="838" spans="1:11" ht="17" x14ac:dyDescent="0.2">
      <c r="A838" t="s">
        <v>1243</v>
      </c>
      <c r="B838" s="1" t="s">
        <v>1244</v>
      </c>
      <c r="C838" t="s">
        <v>1245</v>
      </c>
      <c r="D838" s="1" t="s">
        <v>316</v>
      </c>
      <c r="E838" t="b">
        <v>0</v>
      </c>
      <c r="F838">
        <v>26</v>
      </c>
      <c r="G838">
        <v>21</v>
      </c>
      <c r="H838" t="s">
        <v>11</v>
      </c>
      <c r="I838" t="b">
        <v>0</v>
      </c>
      <c r="J838" cm="1">
        <f t="array" ref="J838">sentimentCalc(B838)</f>
        <v>0</v>
      </c>
      <c r="K838" t="str" cm="1">
        <f t="array" ref="K838">sentimentCategory(J838)</f>
        <v>Neutral</v>
      </c>
    </row>
    <row r="839" spans="1:11" ht="17" x14ac:dyDescent="0.2">
      <c r="A839" t="s">
        <v>5072</v>
      </c>
      <c r="B839" s="1" t="s">
        <v>5073</v>
      </c>
      <c r="C839" t="s">
        <v>45</v>
      </c>
      <c r="D839" s="1" t="s">
        <v>61</v>
      </c>
      <c r="E839" t="b">
        <v>0</v>
      </c>
      <c r="F839">
        <v>1965</v>
      </c>
      <c r="G839">
        <v>4605</v>
      </c>
      <c r="H839" t="s">
        <v>11</v>
      </c>
      <c r="I839" t="b">
        <v>0</v>
      </c>
      <c r="J839" cm="1">
        <f t="array" ref="J839">sentimentCalc(B839)</f>
        <v>0</v>
      </c>
      <c r="K839" t="str" cm="1">
        <f t="array" ref="K839">sentimentCategory(J839)</f>
        <v>Neutral</v>
      </c>
    </row>
    <row r="840" spans="1:11" ht="34" x14ac:dyDescent="0.2">
      <c r="A840" t="s">
        <v>5017</v>
      </c>
      <c r="B840" s="1" t="s">
        <v>5018</v>
      </c>
      <c r="C840" t="s">
        <v>600</v>
      </c>
      <c r="D840" s="1" t="s">
        <v>601</v>
      </c>
      <c r="E840" t="b">
        <v>0</v>
      </c>
      <c r="F840">
        <v>2122</v>
      </c>
      <c r="G840">
        <v>4146</v>
      </c>
      <c r="H840" t="s">
        <v>11</v>
      </c>
      <c r="I840" t="b">
        <v>0</v>
      </c>
      <c r="J840" cm="1">
        <f t="array" ref="J840">sentimentCalc(B840)</f>
        <v>2</v>
      </c>
      <c r="K840" t="str" cm="1">
        <f t="array" ref="K840">sentimentCategory(J840)</f>
        <v>Positive</v>
      </c>
    </row>
    <row r="841" spans="1:11" ht="17" x14ac:dyDescent="0.2">
      <c r="A841" t="s">
        <v>5057</v>
      </c>
      <c r="B841" s="1" t="s">
        <v>5058</v>
      </c>
      <c r="C841" t="s">
        <v>5059</v>
      </c>
      <c r="D841" s="1" t="s">
        <v>2</v>
      </c>
      <c r="E841" t="b">
        <v>0</v>
      </c>
      <c r="F841">
        <v>11</v>
      </c>
      <c r="G841">
        <v>0</v>
      </c>
      <c r="H841" t="s">
        <v>110</v>
      </c>
      <c r="I841" t="b">
        <v>0</v>
      </c>
      <c r="J841" cm="1">
        <f t="array" ref="J841">sentimentCalc(B841)</f>
        <v>0</v>
      </c>
      <c r="K841" t="str" cm="1">
        <f t="array" ref="K841">sentimentCategory(J841)</f>
        <v>Neutral</v>
      </c>
    </row>
    <row r="842" spans="1:11" ht="34" x14ac:dyDescent="0.2">
      <c r="A842" t="s">
        <v>3515</v>
      </c>
      <c r="B842" s="1" t="s">
        <v>3516</v>
      </c>
      <c r="C842" t="s">
        <v>600</v>
      </c>
      <c r="D842" s="1" t="s">
        <v>601</v>
      </c>
      <c r="E842" t="b">
        <v>0</v>
      </c>
      <c r="F842">
        <v>2121</v>
      </c>
      <c r="G842">
        <v>4145</v>
      </c>
      <c r="H842" t="s">
        <v>11</v>
      </c>
      <c r="I842" t="b">
        <v>0</v>
      </c>
      <c r="J842" cm="1">
        <f t="array" ref="J842">sentimentCalc(B842)</f>
        <v>2</v>
      </c>
      <c r="K842" t="str" cm="1">
        <f t="array" ref="K842">sentimentCategory(J842)</f>
        <v>Positive</v>
      </c>
    </row>
    <row r="843" spans="1:11" ht="17" x14ac:dyDescent="0.2">
      <c r="A843" t="s">
        <v>3532</v>
      </c>
      <c r="B843" s="1" t="s">
        <v>3533</v>
      </c>
      <c r="C843" t="s">
        <v>1405</v>
      </c>
      <c r="D843" s="1" t="s">
        <v>2</v>
      </c>
      <c r="E843" t="b">
        <v>0</v>
      </c>
      <c r="F843">
        <v>272</v>
      </c>
      <c r="G843">
        <v>910</v>
      </c>
      <c r="H843" t="s">
        <v>11</v>
      </c>
      <c r="I843" t="b">
        <v>0</v>
      </c>
      <c r="J843" cm="1">
        <f t="array" ref="J843">sentimentCalc(B843)</f>
        <v>0</v>
      </c>
      <c r="K843" t="str" cm="1">
        <f t="array" ref="K843">sentimentCategory(J843)</f>
        <v>Neutral</v>
      </c>
    </row>
    <row r="844" spans="1:11" ht="34" x14ac:dyDescent="0.2">
      <c r="A844" t="s">
        <v>1948</v>
      </c>
      <c r="B844" s="1" t="s">
        <v>1949</v>
      </c>
      <c r="C844" t="s">
        <v>600</v>
      </c>
      <c r="D844" s="1" t="s">
        <v>601</v>
      </c>
      <c r="E844" t="b">
        <v>0</v>
      </c>
      <c r="F844">
        <v>2121</v>
      </c>
      <c r="G844">
        <v>4146</v>
      </c>
      <c r="H844" t="s">
        <v>11</v>
      </c>
      <c r="I844" t="b">
        <v>0</v>
      </c>
      <c r="J844" cm="1">
        <f t="array" ref="J844">sentimentCalc(B844)</f>
        <v>2</v>
      </c>
      <c r="K844" t="str" cm="1">
        <f t="array" ref="K844">sentimentCategory(J844)</f>
        <v>Positive</v>
      </c>
    </row>
    <row r="845" spans="1:11" ht="17" x14ac:dyDescent="0.2">
      <c r="A845" t="s">
        <v>1929</v>
      </c>
      <c r="B845" s="1" t="s">
        <v>1930</v>
      </c>
      <c r="C845" t="s">
        <v>1931</v>
      </c>
      <c r="D845" s="1" t="s">
        <v>1932</v>
      </c>
      <c r="E845" t="b">
        <v>0</v>
      </c>
      <c r="F845">
        <v>156</v>
      </c>
      <c r="G845">
        <v>219</v>
      </c>
      <c r="H845" t="s">
        <v>370</v>
      </c>
      <c r="I845" t="b">
        <v>0</v>
      </c>
      <c r="J845" cm="1">
        <f t="array" ref="J845">sentimentCalc(B845)</f>
        <v>0</v>
      </c>
      <c r="K845" t="str" cm="1">
        <f t="array" ref="K845">sentimentCategory(J845)</f>
        <v>Neutral</v>
      </c>
    </row>
    <row r="846" spans="1:11" ht="34" x14ac:dyDescent="0.2">
      <c r="A846" t="s">
        <v>7075</v>
      </c>
      <c r="B846" s="1" t="s">
        <v>7076</v>
      </c>
      <c r="C846" t="s">
        <v>600</v>
      </c>
      <c r="D846" s="1" t="s">
        <v>601</v>
      </c>
      <c r="E846" t="b">
        <v>0</v>
      </c>
      <c r="F846">
        <v>2134</v>
      </c>
      <c r="G846">
        <v>4158</v>
      </c>
      <c r="H846" t="s">
        <v>11</v>
      </c>
      <c r="I846" t="b">
        <v>0</v>
      </c>
      <c r="J846" cm="1">
        <f t="array" ref="J846">sentimentCalc(B846)</f>
        <v>2</v>
      </c>
      <c r="K846" t="str" cm="1">
        <f t="array" ref="K846">sentimentCategory(J846)</f>
        <v>Positive</v>
      </c>
    </row>
    <row r="847" spans="1:11" ht="17" x14ac:dyDescent="0.2">
      <c r="A847" t="s">
        <v>7160</v>
      </c>
      <c r="B847" s="1" t="s">
        <v>7161</v>
      </c>
      <c r="C847" t="s">
        <v>4731</v>
      </c>
      <c r="D847" s="1" t="s">
        <v>5642</v>
      </c>
      <c r="E847" t="b">
        <v>0</v>
      </c>
      <c r="F847">
        <v>312</v>
      </c>
      <c r="G847">
        <v>1006</v>
      </c>
      <c r="H847" t="s">
        <v>110</v>
      </c>
      <c r="I847" t="b">
        <v>0</v>
      </c>
      <c r="J847" cm="1">
        <f t="array" ref="J847">sentimentCalc(B847)</f>
        <v>0</v>
      </c>
      <c r="K847" t="str" cm="1">
        <f t="array" ref="K847">sentimentCategory(J847)</f>
        <v>Neutral</v>
      </c>
    </row>
    <row r="848" spans="1:11" ht="34" x14ac:dyDescent="0.2">
      <c r="A848" t="s">
        <v>6470</v>
      </c>
      <c r="B848" s="1" t="s">
        <v>6471</v>
      </c>
      <c r="C848" t="s">
        <v>623</v>
      </c>
      <c r="D848" s="1" t="s">
        <v>624</v>
      </c>
      <c r="E848" t="b">
        <v>0</v>
      </c>
      <c r="F848">
        <v>3563</v>
      </c>
      <c r="G848">
        <v>88</v>
      </c>
      <c r="H848" t="s">
        <v>11</v>
      </c>
      <c r="I848" t="b">
        <v>0</v>
      </c>
      <c r="J848" cm="1">
        <f t="array" ref="J848">sentimentCalc(B848)</f>
        <v>1</v>
      </c>
      <c r="K848" t="str" cm="1">
        <f t="array" ref="K848">sentimentCategory(J848)</f>
        <v>Positive</v>
      </c>
    </row>
    <row r="849" spans="1:11" ht="34" x14ac:dyDescent="0.2">
      <c r="A849" t="s">
        <v>6487</v>
      </c>
      <c r="B849" s="1" t="s">
        <v>6488</v>
      </c>
      <c r="C849" t="s">
        <v>600</v>
      </c>
      <c r="D849" s="1" t="s">
        <v>601</v>
      </c>
      <c r="E849" t="b">
        <v>0</v>
      </c>
      <c r="F849">
        <v>2134</v>
      </c>
      <c r="G849">
        <v>4158</v>
      </c>
      <c r="H849" t="s">
        <v>11</v>
      </c>
      <c r="I849" t="b">
        <v>0</v>
      </c>
      <c r="J849" cm="1">
        <f t="array" ref="J849">sentimentCalc(B849)</f>
        <v>2</v>
      </c>
      <c r="K849" t="str" cm="1">
        <f t="array" ref="K849">sentimentCategory(J849)</f>
        <v>Positive</v>
      </c>
    </row>
    <row r="850" spans="1:11" ht="17" x14ac:dyDescent="0.2">
      <c r="A850" t="s">
        <v>6438</v>
      </c>
      <c r="B850" s="1" t="s">
        <v>6439</v>
      </c>
      <c r="C850" t="s">
        <v>6249</v>
      </c>
      <c r="D850" s="1" t="s">
        <v>61</v>
      </c>
      <c r="E850" t="b">
        <v>0</v>
      </c>
      <c r="F850">
        <v>2476</v>
      </c>
      <c r="G850">
        <v>4848</v>
      </c>
      <c r="H850" t="s">
        <v>11</v>
      </c>
      <c r="I850" t="b">
        <v>0</v>
      </c>
      <c r="J850" cm="1">
        <f t="array" ref="J850">sentimentCalc(B850)</f>
        <v>0</v>
      </c>
      <c r="K850" t="str" cm="1">
        <f t="array" ref="K850">sentimentCategory(J850)</f>
        <v>Neutral</v>
      </c>
    </row>
    <row r="851" spans="1:11" ht="34" x14ac:dyDescent="0.2">
      <c r="A851" t="s">
        <v>4335</v>
      </c>
      <c r="B851" s="1" t="s">
        <v>4336</v>
      </c>
      <c r="C851" t="s">
        <v>623</v>
      </c>
      <c r="D851" s="1" t="s">
        <v>624</v>
      </c>
      <c r="E851" t="b">
        <v>0</v>
      </c>
      <c r="F851">
        <v>3563</v>
      </c>
      <c r="G851">
        <v>88</v>
      </c>
      <c r="H851" t="s">
        <v>11</v>
      </c>
      <c r="I851" t="b">
        <v>0</v>
      </c>
      <c r="J851" cm="1">
        <f t="array" ref="J851">sentimentCalc(B851)</f>
        <v>0</v>
      </c>
      <c r="K851" t="str" cm="1">
        <f t="array" ref="K851">sentimentCategory(J851)</f>
        <v>Neutral</v>
      </c>
    </row>
    <row r="852" spans="1:11" ht="34" x14ac:dyDescent="0.2">
      <c r="A852" t="s">
        <v>4347</v>
      </c>
      <c r="B852" s="1" t="s">
        <v>4348</v>
      </c>
      <c r="C852" t="s">
        <v>600</v>
      </c>
      <c r="D852" s="1" t="s">
        <v>601</v>
      </c>
      <c r="E852" t="b">
        <v>0</v>
      </c>
      <c r="F852">
        <v>2120</v>
      </c>
      <c r="G852">
        <v>4146</v>
      </c>
      <c r="H852" t="s">
        <v>11</v>
      </c>
      <c r="I852" t="b">
        <v>0</v>
      </c>
      <c r="J852" cm="1">
        <f t="array" ref="J852">sentimentCalc(B852)</f>
        <v>2</v>
      </c>
      <c r="K852" t="str" cm="1">
        <f t="array" ref="K852">sentimentCategory(J852)</f>
        <v>Positive</v>
      </c>
    </row>
    <row r="853" spans="1:11" ht="17" x14ac:dyDescent="0.2">
      <c r="A853" t="s">
        <v>4322</v>
      </c>
      <c r="B853" s="1" t="s">
        <v>4323</v>
      </c>
      <c r="C853" t="s">
        <v>4324</v>
      </c>
      <c r="D853" s="1" t="s">
        <v>2</v>
      </c>
      <c r="E853" t="b">
        <v>0</v>
      </c>
      <c r="F853">
        <v>211</v>
      </c>
      <c r="G853">
        <v>315</v>
      </c>
      <c r="H853" t="s">
        <v>11</v>
      </c>
      <c r="I853" t="b">
        <v>0</v>
      </c>
      <c r="J853" cm="1">
        <f t="array" ref="J853">sentimentCalc(B853)</f>
        <v>0</v>
      </c>
      <c r="K853" t="str" cm="1">
        <f t="array" ref="K853">sentimentCategory(J853)</f>
        <v>Neutral</v>
      </c>
    </row>
    <row r="854" spans="1:11" ht="17" x14ac:dyDescent="0.2">
      <c r="A854" t="s">
        <v>2744</v>
      </c>
      <c r="B854" s="1" t="s">
        <v>2745</v>
      </c>
      <c r="C854" t="s">
        <v>2173</v>
      </c>
      <c r="D854" s="1" t="s">
        <v>2746</v>
      </c>
      <c r="E854" t="b">
        <v>0</v>
      </c>
      <c r="F854">
        <v>381</v>
      </c>
      <c r="G854">
        <v>594</v>
      </c>
      <c r="H854" t="s">
        <v>11</v>
      </c>
      <c r="I854" t="b">
        <v>0</v>
      </c>
      <c r="J854" cm="1">
        <f t="array" ref="J854">sentimentCalc(B854)</f>
        <v>0</v>
      </c>
      <c r="K854" t="str" cm="1">
        <f t="array" ref="K854">sentimentCategory(J854)</f>
        <v>Neutral</v>
      </c>
    </row>
    <row r="855" spans="1:11" ht="34" x14ac:dyDescent="0.2">
      <c r="A855" t="s">
        <v>2727</v>
      </c>
      <c r="B855" s="1" t="s">
        <v>2728</v>
      </c>
      <c r="C855" t="s">
        <v>600</v>
      </c>
      <c r="D855" s="1" t="s">
        <v>601</v>
      </c>
      <c r="E855" t="b">
        <v>0</v>
      </c>
      <c r="F855">
        <v>2121</v>
      </c>
      <c r="G855">
        <v>4145</v>
      </c>
      <c r="H855" t="s">
        <v>11</v>
      </c>
      <c r="I855" t="b">
        <v>0</v>
      </c>
      <c r="J855" cm="1">
        <f t="array" ref="J855">sentimentCalc(B855)</f>
        <v>2</v>
      </c>
      <c r="K855" t="str" cm="1">
        <f t="array" ref="K855">sentimentCategory(J855)</f>
        <v>Positive</v>
      </c>
    </row>
    <row r="856" spans="1:11" ht="17" x14ac:dyDescent="0.2">
      <c r="A856" t="s">
        <v>2720</v>
      </c>
      <c r="B856" s="1" t="s">
        <v>2721</v>
      </c>
      <c r="C856" t="s">
        <v>564</v>
      </c>
      <c r="D856" s="1" t="s">
        <v>322</v>
      </c>
      <c r="E856" t="b">
        <v>0</v>
      </c>
      <c r="F856">
        <v>441</v>
      </c>
      <c r="G856">
        <v>416</v>
      </c>
      <c r="H856" t="s">
        <v>11</v>
      </c>
      <c r="I856" t="b">
        <v>0</v>
      </c>
      <c r="J856" cm="1">
        <f t="array" ref="J856">sentimentCalc(B856)</f>
        <v>0</v>
      </c>
      <c r="K856" t="str" cm="1">
        <f t="array" ref="K856">sentimentCategory(J856)</f>
        <v>Neutral</v>
      </c>
    </row>
    <row r="857" spans="1:11" ht="34" x14ac:dyDescent="0.2">
      <c r="A857" t="s">
        <v>5673</v>
      </c>
      <c r="B857" s="1" t="s">
        <v>5674</v>
      </c>
      <c r="C857" t="s">
        <v>600</v>
      </c>
      <c r="D857" s="1" t="s">
        <v>601</v>
      </c>
      <c r="E857" t="b">
        <v>0</v>
      </c>
      <c r="F857">
        <v>2123</v>
      </c>
      <c r="G857">
        <v>4146</v>
      </c>
      <c r="H857" t="s">
        <v>11</v>
      </c>
      <c r="I857" t="b">
        <v>0</v>
      </c>
      <c r="J857" cm="1">
        <f t="array" ref="J857">sentimentCalc(B857)</f>
        <v>2</v>
      </c>
      <c r="K857" t="str" cm="1">
        <f t="array" ref="K857">sentimentCategory(J857)</f>
        <v>Positive</v>
      </c>
    </row>
    <row r="858" spans="1:11" ht="34" x14ac:dyDescent="0.2">
      <c r="A858" t="s">
        <v>5689</v>
      </c>
      <c r="B858" s="1" t="s">
        <v>5690</v>
      </c>
      <c r="C858" t="s">
        <v>623</v>
      </c>
      <c r="D858" s="1" t="s">
        <v>624</v>
      </c>
      <c r="E858" t="b">
        <v>0</v>
      </c>
      <c r="F858">
        <v>3563</v>
      </c>
      <c r="G858">
        <v>88</v>
      </c>
      <c r="H858" t="s">
        <v>11</v>
      </c>
      <c r="I858" t="b">
        <v>0</v>
      </c>
      <c r="J858" cm="1">
        <f t="array" ref="J858">sentimentCalc(B858)</f>
        <v>0</v>
      </c>
      <c r="K858" t="str" cm="1">
        <f t="array" ref="K858">sentimentCategory(J858)</f>
        <v>Neutral</v>
      </c>
    </row>
    <row r="859" spans="1:11" ht="17" x14ac:dyDescent="0.2">
      <c r="A859" t="s">
        <v>5697</v>
      </c>
      <c r="B859" s="1" t="s">
        <v>5698</v>
      </c>
      <c r="C859" t="s">
        <v>5699</v>
      </c>
      <c r="D859" s="1" t="s">
        <v>5700</v>
      </c>
      <c r="E859" t="b">
        <v>0</v>
      </c>
      <c r="F859">
        <v>200</v>
      </c>
      <c r="G859">
        <v>661</v>
      </c>
      <c r="H859" t="s">
        <v>11</v>
      </c>
      <c r="I859" t="b">
        <v>0</v>
      </c>
      <c r="J859" cm="1">
        <f t="array" ref="J859">sentimentCalc(B859)</f>
        <v>0</v>
      </c>
      <c r="K859" t="str" cm="1">
        <f t="array" ref="K859">sentimentCategory(J859)</f>
        <v>Neutral</v>
      </c>
    </row>
    <row r="860" spans="1:11" ht="17" x14ac:dyDescent="0.2">
      <c r="A860" t="s">
        <v>6498</v>
      </c>
      <c r="B860" s="1" t="s">
        <v>6499</v>
      </c>
      <c r="C860" t="s">
        <v>2112</v>
      </c>
      <c r="D860" s="1" t="s">
        <v>6500</v>
      </c>
      <c r="E860" t="b">
        <v>0</v>
      </c>
      <c r="F860">
        <v>450</v>
      </c>
      <c r="G860">
        <v>1820</v>
      </c>
      <c r="H860" t="s">
        <v>110</v>
      </c>
      <c r="I860" t="b">
        <v>0</v>
      </c>
      <c r="J860" cm="1">
        <f t="array" ref="J860">sentimentCalc(B860)</f>
        <v>0</v>
      </c>
      <c r="K860" t="str" cm="1">
        <f t="array" ref="K860">sentimentCategory(J860)</f>
        <v>Neutral</v>
      </c>
    </row>
    <row r="861" spans="1:11" ht="17" x14ac:dyDescent="0.2">
      <c r="A861" t="s">
        <v>1215</v>
      </c>
      <c r="B861" s="1" t="s">
        <v>1216</v>
      </c>
      <c r="C861" t="s">
        <v>1217</v>
      </c>
      <c r="D861" s="1" t="s">
        <v>1218</v>
      </c>
      <c r="E861" t="b">
        <v>0</v>
      </c>
      <c r="F861">
        <v>1134</v>
      </c>
      <c r="G861">
        <v>1615</v>
      </c>
      <c r="H861" t="s">
        <v>11</v>
      </c>
      <c r="I861" t="b">
        <v>0</v>
      </c>
      <c r="J861" cm="1">
        <f t="array" ref="J861">sentimentCalc(B861)</f>
        <v>0</v>
      </c>
      <c r="K861" t="str" cm="1">
        <f t="array" ref="K861">sentimentCategory(J861)</f>
        <v>Neutral</v>
      </c>
    </row>
    <row r="862" spans="1:11" ht="17" x14ac:dyDescent="0.2">
      <c r="A862" t="s">
        <v>1958</v>
      </c>
      <c r="B862" s="1" t="s">
        <v>1959</v>
      </c>
      <c r="C862" t="s">
        <v>627</v>
      </c>
      <c r="D862" s="1" t="s">
        <v>1960</v>
      </c>
      <c r="E862" t="b">
        <v>0</v>
      </c>
      <c r="F862">
        <v>495</v>
      </c>
      <c r="G862">
        <v>1111</v>
      </c>
      <c r="H862" t="s">
        <v>11</v>
      </c>
      <c r="I862" t="b">
        <v>0</v>
      </c>
      <c r="J862" cm="1">
        <f t="array" ref="J862">sentimentCalc(B862)</f>
        <v>0</v>
      </c>
      <c r="K862" t="str" cm="1">
        <f t="array" ref="K862">sentimentCategory(J862)</f>
        <v>Neutral</v>
      </c>
    </row>
    <row r="863" spans="1:11" ht="17" x14ac:dyDescent="0.2">
      <c r="A863" t="s">
        <v>7113</v>
      </c>
      <c r="B863" s="1" t="s">
        <v>7114</v>
      </c>
      <c r="C863" t="s">
        <v>1217</v>
      </c>
      <c r="D863" s="1" t="s">
        <v>1218</v>
      </c>
      <c r="E863" t="b">
        <v>0</v>
      </c>
      <c r="F863">
        <v>1132</v>
      </c>
      <c r="G863">
        <v>1616</v>
      </c>
      <c r="H863" t="s">
        <v>11</v>
      </c>
      <c r="I863" t="b">
        <v>0</v>
      </c>
      <c r="J863" cm="1">
        <f t="array" ref="J863">sentimentCalc(B863)</f>
        <v>0</v>
      </c>
      <c r="K863" t="str" cm="1">
        <f t="array" ref="K863">sentimentCategory(J863)</f>
        <v>Neutral</v>
      </c>
    </row>
    <row r="864" spans="1:11" ht="17" x14ac:dyDescent="0.2">
      <c r="A864" t="s">
        <v>4317</v>
      </c>
      <c r="B864" s="1" t="s">
        <v>4318</v>
      </c>
      <c r="C864" t="s">
        <v>1217</v>
      </c>
      <c r="D864" s="1" t="s">
        <v>1218</v>
      </c>
      <c r="E864" t="b">
        <v>0</v>
      </c>
      <c r="F864">
        <v>1133</v>
      </c>
      <c r="G864">
        <v>1615</v>
      </c>
      <c r="H864" t="s">
        <v>11</v>
      </c>
      <c r="I864" t="b">
        <v>0</v>
      </c>
      <c r="J864" cm="1">
        <f t="array" ref="J864">sentimentCalc(B864)</f>
        <v>0</v>
      </c>
      <c r="K864" t="str" cm="1">
        <f t="array" ref="K864">sentimentCategory(J864)</f>
        <v>Neutral</v>
      </c>
    </row>
    <row r="865" spans="1:11" ht="34" x14ac:dyDescent="0.2">
      <c r="A865" t="s">
        <v>4339</v>
      </c>
      <c r="B865" s="1" t="s">
        <v>4340</v>
      </c>
      <c r="C865" t="s">
        <v>193</v>
      </c>
      <c r="D865" s="1" t="s">
        <v>4341</v>
      </c>
      <c r="E865" t="b">
        <v>0</v>
      </c>
      <c r="F865">
        <v>10164</v>
      </c>
      <c r="G865">
        <v>0</v>
      </c>
      <c r="H865" t="s">
        <v>11</v>
      </c>
      <c r="I865" t="b">
        <v>0</v>
      </c>
      <c r="J865" cm="1">
        <f t="array" ref="J865">sentimentCalc(B865)</f>
        <v>0</v>
      </c>
      <c r="K865" t="str" cm="1">
        <f t="array" ref="K865">sentimentCategory(J865)</f>
        <v>Neutral</v>
      </c>
    </row>
    <row r="866" spans="1:11" ht="17" x14ac:dyDescent="0.2">
      <c r="A866" t="s">
        <v>2738</v>
      </c>
      <c r="B866" s="1" t="s">
        <v>2739</v>
      </c>
      <c r="C866" t="s">
        <v>1217</v>
      </c>
      <c r="D866" s="1" t="s">
        <v>1218</v>
      </c>
      <c r="E866" t="b">
        <v>0</v>
      </c>
      <c r="F866">
        <v>1133</v>
      </c>
      <c r="G866">
        <v>1615</v>
      </c>
      <c r="H866" t="s">
        <v>11</v>
      </c>
      <c r="I866" t="b">
        <v>0</v>
      </c>
      <c r="J866" cm="1">
        <f t="array" ref="J866">sentimentCalc(B866)</f>
        <v>0</v>
      </c>
      <c r="K866" t="str" cm="1">
        <f t="array" ref="K866">sentimentCategory(J866)</f>
        <v>Neutral</v>
      </c>
    </row>
    <row r="867" spans="1:11" ht="17" x14ac:dyDescent="0.2">
      <c r="A867" t="s">
        <v>5701</v>
      </c>
      <c r="B867" s="1" t="s">
        <v>5702</v>
      </c>
      <c r="C867" t="s">
        <v>1217</v>
      </c>
      <c r="D867" s="1" t="s">
        <v>1218</v>
      </c>
      <c r="E867" t="b">
        <v>0</v>
      </c>
      <c r="F867">
        <v>1133</v>
      </c>
      <c r="G867">
        <v>1615</v>
      </c>
      <c r="H867" t="s">
        <v>11</v>
      </c>
      <c r="I867" t="b">
        <v>0</v>
      </c>
      <c r="J867" cm="1">
        <f t="array" ref="J867">sentimentCalc(B867)</f>
        <v>0</v>
      </c>
      <c r="K867" t="str" cm="1">
        <f t="array" ref="K867">sentimentCategory(J867)</f>
        <v>Neutral</v>
      </c>
    </row>
    <row r="868" spans="1:11" ht="17" x14ac:dyDescent="0.2">
      <c r="A868" t="s">
        <v>1956</v>
      </c>
      <c r="B868" s="1" t="s">
        <v>1957</v>
      </c>
      <c r="C868" t="s">
        <v>554</v>
      </c>
      <c r="D868" s="1" t="s">
        <v>61</v>
      </c>
      <c r="E868" t="b">
        <v>0</v>
      </c>
      <c r="F868">
        <v>95</v>
      </c>
      <c r="G868">
        <v>83</v>
      </c>
      <c r="H868" t="s">
        <v>11</v>
      </c>
      <c r="I868" t="b">
        <v>0</v>
      </c>
      <c r="J868" cm="1">
        <f t="array" ref="J868">sentimentCalc(B868)</f>
        <v>0</v>
      </c>
      <c r="K868" t="str" cm="1">
        <f t="array" ref="K868">sentimentCategory(J868)</f>
        <v>Neutral</v>
      </c>
    </row>
    <row r="869" spans="1:11" ht="17" x14ac:dyDescent="0.2">
      <c r="A869" t="s">
        <v>5023</v>
      </c>
      <c r="B869" s="1" t="s">
        <v>5024</v>
      </c>
      <c r="C869" t="s">
        <v>5025</v>
      </c>
      <c r="D869" s="1" t="s">
        <v>2</v>
      </c>
      <c r="E869" t="b">
        <v>0</v>
      </c>
      <c r="F869">
        <v>29</v>
      </c>
      <c r="G869">
        <v>180</v>
      </c>
      <c r="H869" t="s">
        <v>3</v>
      </c>
      <c r="I869" t="b">
        <v>0</v>
      </c>
      <c r="J869" cm="1">
        <f t="array" ref="J869">sentimentCalc(B869)</f>
        <v>0</v>
      </c>
      <c r="K869" t="str" cm="1">
        <f t="array" ref="K869">sentimentCategory(J869)</f>
        <v>Neutral</v>
      </c>
    </row>
    <row r="870" spans="1:11" ht="17" x14ac:dyDescent="0.2">
      <c r="A870" t="s">
        <v>423</v>
      </c>
      <c r="B870" s="1" t="s">
        <v>424</v>
      </c>
      <c r="C870" t="s">
        <v>425</v>
      </c>
      <c r="D870" s="1" t="s">
        <v>426</v>
      </c>
      <c r="E870" t="b">
        <v>0</v>
      </c>
      <c r="F870">
        <v>192</v>
      </c>
      <c r="G870">
        <v>141</v>
      </c>
      <c r="H870" t="s">
        <v>11</v>
      </c>
      <c r="I870" t="b">
        <v>0</v>
      </c>
      <c r="J870" cm="1">
        <f t="array" ref="J870">sentimentCalc(B870)</f>
        <v>0</v>
      </c>
      <c r="K870" t="str" cm="1">
        <f t="array" ref="K870">sentimentCategory(J870)</f>
        <v>Neutral</v>
      </c>
    </row>
    <row r="871" spans="1:11" ht="17" x14ac:dyDescent="0.2">
      <c r="A871" t="s">
        <v>4678</v>
      </c>
      <c r="B871" s="1" t="s">
        <v>4679</v>
      </c>
      <c r="C871" t="s">
        <v>4680</v>
      </c>
      <c r="D871" s="1" t="s">
        <v>4681</v>
      </c>
      <c r="E871" t="b">
        <v>0</v>
      </c>
      <c r="F871">
        <v>1393</v>
      </c>
      <c r="G871">
        <v>433</v>
      </c>
      <c r="H871" t="s">
        <v>11</v>
      </c>
      <c r="I871" t="b">
        <v>0</v>
      </c>
      <c r="J871" cm="1">
        <f t="array" ref="J871">sentimentCalc(B871)</f>
        <v>1</v>
      </c>
      <c r="K871" t="str" cm="1">
        <f t="array" ref="K871">sentimentCategory(J871)</f>
        <v>Positive</v>
      </c>
    </row>
    <row r="872" spans="1:11" ht="17" x14ac:dyDescent="0.2">
      <c r="A872" t="s">
        <v>3373</v>
      </c>
      <c r="B872" s="1" t="s">
        <v>3374</v>
      </c>
      <c r="C872" t="s">
        <v>1388</v>
      </c>
      <c r="D872" s="1" t="s">
        <v>2</v>
      </c>
      <c r="E872" t="b">
        <v>0</v>
      </c>
      <c r="F872">
        <v>10</v>
      </c>
      <c r="G872">
        <v>23</v>
      </c>
      <c r="H872" t="s">
        <v>11</v>
      </c>
      <c r="I872" t="b">
        <v>0</v>
      </c>
      <c r="J872" cm="1">
        <f t="array" ref="J872">sentimentCalc(B872)</f>
        <v>-1</v>
      </c>
      <c r="K872" t="str" cm="1">
        <f t="array" ref="K872">sentimentCategory(J872)</f>
        <v>Negative</v>
      </c>
    </row>
    <row r="873" spans="1:11" ht="17" x14ac:dyDescent="0.2">
      <c r="A873" t="s">
        <v>6956</v>
      </c>
      <c r="B873" s="1" t="s">
        <v>6957</v>
      </c>
      <c r="C873" t="s">
        <v>5414</v>
      </c>
      <c r="D873" s="1" t="s">
        <v>6958</v>
      </c>
      <c r="E873" t="b">
        <v>0</v>
      </c>
      <c r="F873">
        <v>613</v>
      </c>
      <c r="G873">
        <v>1262</v>
      </c>
      <c r="H873" t="s">
        <v>11</v>
      </c>
      <c r="I873" t="b">
        <v>0</v>
      </c>
      <c r="J873" cm="1">
        <f t="array" ref="J873">sentimentCalc(B873)</f>
        <v>0</v>
      </c>
      <c r="K873" t="str" cm="1">
        <f t="array" ref="K873">sentimentCategory(J873)</f>
        <v>Neutral</v>
      </c>
    </row>
    <row r="874" spans="1:11" ht="17" x14ac:dyDescent="0.2">
      <c r="A874" t="s">
        <v>5655</v>
      </c>
      <c r="B874" s="1" t="s">
        <v>5656</v>
      </c>
      <c r="C874" t="s">
        <v>1226</v>
      </c>
      <c r="D874" s="1" t="s">
        <v>1227</v>
      </c>
      <c r="E874" t="b">
        <v>0</v>
      </c>
      <c r="F874">
        <v>427</v>
      </c>
      <c r="G874">
        <v>768</v>
      </c>
      <c r="H874" t="s">
        <v>11</v>
      </c>
      <c r="I874" t="b">
        <v>0</v>
      </c>
      <c r="J874" cm="1">
        <f t="array" ref="J874">sentimentCalc(B874)</f>
        <v>0</v>
      </c>
      <c r="K874" t="str" cm="1">
        <f t="array" ref="K874">sentimentCategory(J874)</f>
        <v>Neutral</v>
      </c>
    </row>
    <row r="875" spans="1:11" ht="17" x14ac:dyDescent="0.2">
      <c r="A875" t="s">
        <v>1748</v>
      </c>
      <c r="B875" s="1" t="s">
        <v>1749</v>
      </c>
      <c r="C875" t="s">
        <v>1750</v>
      </c>
      <c r="D875" s="1" t="s">
        <v>61</v>
      </c>
      <c r="E875" t="b">
        <v>0</v>
      </c>
      <c r="F875">
        <v>2027</v>
      </c>
      <c r="G875">
        <v>331</v>
      </c>
      <c r="H875" t="s">
        <v>11</v>
      </c>
      <c r="I875" t="b">
        <v>0</v>
      </c>
      <c r="J875" cm="1">
        <f t="array" ref="J875">sentimentCalc(B875)</f>
        <v>0</v>
      </c>
      <c r="K875" t="str" cm="1">
        <f t="array" ref="K875">sentimentCategory(J875)</f>
        <v>Neutral</v>
      </c>
    </row>
    <row r="876" spans="1:11" ht="34" x14ac:dyDescent="0.2">
      <c r="A876" t="s">
        <v>3339</v>
      </c>
      <c r="B876" s="1" t="s">
        <v>3340</v>
      </c>
      <c r="C876" t="s">
        <v>3341</v>
      </c>
      <c r="D876" s="1" t="s">
        <v>3342</v>
      </c>
      <c r="E876" t="b">
        <v>0</v>
      </c>
      <c r="F876">
        <v>588</v>
      </c>
      <c r="G876">
        <v>433</v>
      </c>
      <c r="H876" t="s">
        <v>110</v>
      </c>
      <c r="I876" t="b">
        <v>0</v>
      </c>
      <c r="J876" cm="1">
        <f t="array" ref="J876">sentimentCalc(B876)</f>
        <v>1</v>
      </c>
      <c r="K876" t="str" cm="1">
        <f t="array" ref="K876">sentimentCategory(J876)</f>
        <v>Positive</v>
      </c>
    </row>
    <row r="877" spans="1:11" ht="34" x14ac:dyDescent="0.2">
      <c r="A877" t="s">
        <v>1450</v>
      </c>
      <c r="B877" s="1" t="s">
        <v>1451</v>
      </c>
      <c r="C877" t="s">
        <v>1452</v>
      </c>
      <c r="D877" s="1" t="s">
        <v>1453</v>
      </c>
      <c r="E877" t="b">
        <v>0</v>
      </c>
      <c r="F877">
        <v>95</v>
      </c>
      <c r="G877">
        <v>621</v>
      </c>
      <c r="H877" t="s">
        <v>11</v>
      </c>
      <c r="I877" t="b">
        <v>0</v>
      </c>
      <c r="J877" cm="1">
        <f t="array" ref="J877">sentimentCalc(B877)</f>
        <v>0</v>
      </c>
      <c r="K877" t="str" cm="1">
        <f t="array" ref="K877">sentimentCategory(J877)</f>
        <v>Neutral</v>
      </c>
    </row>
    <row r="878" spans="1:11" ht="34" x14ac:dyDescent="0.2">
      <c r="A878" t="s">
        <v>4982</v>
      </c>
      <c r="B878" s="1" t="s">
        <v>4983</v>
      </c>
      <c r="C878" t="s">
        <v>3365</v>
      </c>
      <c r="D878" s="1" t="s">
        <v>3366</v>
      </c>
      <c r="E878" t="b">
        <v>0</v>
      </c>
      <c r="F878">
        <v>43</v>
      </c>
      <c r="G878">
        <v>38</v>
      </c>
      <c r="H878" t="s">
        <v>11</v>
      </c>
      <c r="I878" t="b">
        <v>0</v>
      </c>
      <c r="J878" cm="1">
        <f t="array" ref="J878">sentimentCalc(B878)</f>
        <v>1</v>
      </c>
      <c r="K878" t="str" cm="1">
        <f t="array" ref="K878">sentimentCategory(J878)</f>
        <v>Positive</v>
      </c>
    </row>
    <row r="879" spans="1:11" ht="17" x14ac:dyDescent="0.2">
      <c r="A879" t="s">
        <v>5669</v>
      </c>
      <c r="B879" s="1" t="s">
        <v>5670</v>
      </c>
      <c r="C879" t="s">
        <v>5671</v>
      </c>
      <c r="D879" s="1" t="s">
        <v>5672</v>
      </c>
      <c r="E879" t="b">
        <v>0</v>
      </c>
      <c r="F879">
        <v>6003</v>
      </c>
      <c r="G879">
        <v>1353</v>
      </c>
      <c r="H879" t="s">
        <v>641</v>
      </c>
      <c r="I879" t="b">
        <v>0</v>
      </c>
      <c r="J879" cm="1">
        <f t="array" ref="J879">sentimentCalc(B879)</f>
        <v>0</v>
      </c>
      <c r="K879" t="str" cm="1">
        <f t="array" ref="K879">sentimentCategory(J879)</f>
        <v>Neutral</v>
      </c>
    </row>
    <row r="880" spans="1:11" ht="17" x14ac:dyDescent="0.2">
      <c r="A880" t="s">
        <v>1389</v>
      </c>
      <c r="B880" s="1" t="s">
        <v>1390</v>
      </c>
      <c r="C880" t="s">
        <v>167</v>
      </c>
      <c r="D880" s="1" t="s">
        <v>2</v>
      </c>
      <c r="E880" t="b">
        <v>0</v>
      </c>
      <c r="F880">
        <v>5</v>
      </c>
      <c r="G880">
        <v>52</v>
      </c>
      <c r="H880" t="s">
        <v>11</v>
      </c>
      <c r="I880" t="b">
        <v>0</v>
      </c>
      <c r="J880" cm="1">
        <f t="array" ref="J880">sentimentCalc(B880)</f>
        <v>0</v>
      </c>
      <c r="K880" t="str" cm="1">
        <f t="array" ref="K880">sentimentCategory(J880)</f>
        <v>Neutral</v>
      </c>
    </row>
    <row r="881" spans="1:11" ht="17" x14ac:dyDescent="0.2">
      <c r="A881" t="s">
        <v>6592</v>
      </c>
      <c r="B881" s="1" t="s">
        <v>6593</v>
      </c>
      <c r="C881" t="s">
        <v>6594</v>
      </c>
      <c r="D881" s="1" t="s">
        <v>2</v>
      </c>
      <c r="E881" t="b">
        <v>0</v>
      </c>
      <c r="F881">
        <v>32</v>
      </c>
      <c r="G881">
        <v>97</v>
      </c>
      <c r="H881" t="s">
        <v>11</v>
      </c>
      <c r="I881" t="b">
        <v>0</v>
      </c>
      <c r="J881" cm="1">
        <f t="array" ref="J881">sentimentCalc(B881)</f>
        <v>0</v>
      </c>
      <c r="K881" t="str" cm="1">
        <f t="array" ref="K881">sentimentCategory(J881)</f>
        <v>Neutral</v>
      </c>
    </row>
    <row r="882" spans="1:11" ht="17" x14ac:dyDescent="0.2">
      <c r="A882" t="s">
        <v>845</v>
      </c>
      <c r="B882" s="1" t="s">
        <v>846</v>
      </c>
      <c r="C882" t="s">
        <v>847</v>
      </c>
      <c r="D882" s="1" t="s">
        <v>848</v>
      </c>
      <c r="E882" t="b">
        <v>0</v>
      </c>
      <c r="F882">
        <v>1948</v>
      </c>
      <c r="G882">
        <v>4978</v>
      </c>
      <c r="H882" t="s">
        <v>11</v>
      </c>
      <c r="I882" t="b">
        <v>0</v>
      </c>
      <c r="J882" cm="1">
        <f t="array" ref="J882">sentimentCalc(B882)</f>
        <v>1</v>
      </c>
      <c r="K882" t="str" cm="1">
        <f t="array" ref="K882">sentimentCategory(J882)</f>
        <v>Positive</v>
      </c>
    </row>
    <row r="883" spans="1:11" ht="17" x14ac:dyDescent="0.2">
      <c r="A883" t="s">
        <v>543</v>
      </c>
      <c r="B883" s="1" t="s">
        <v>544</v>
      </c>
      <c r="C883" t="s">
        <v>545</v>
      </c>
      <c r="D883" s="1" t="s">
        <v>546</v>
      </c>
      <c r="E883" t="b">
        <v>0</v>
      </c>
      <c r="F883">
        <v>1461</v>
      </c>
      <c r="G883">
        <v>110</v>
      </c>
      <c r="H883" t="s">
        <v>11</v>
      </c>
      <c r="I883" t="b">
        <v>0</v>
      </c>
      <c r="J883" cm="1">
        <f t="array" ref="J883">sentimentCalc(B883)</f>
        <v>1</v>
      </c>
      <c r="K883" t="str" cm="1">
        <f t="array" ref="K883">sentimentCategory(J883)</f>
        <v>Positive</v>
      </c>
    </row>
    <row r="884" spans="1:11" ht="34" x14ac:dyDescent="0.2">
      <c r="A884" t="s">
        <v>4357</v>
      </c>
      <c r="B884" s="1" t="s">
        <v>4358</v>
      </c>
      <c r="C884" t="s">
        <v>4359</v>
      </c>
      <c r="D884" s="1" t="s">
        <v>1768</v>
      </c>
      <c r="E884" t="b">
        <v>0</v>
      </c>
      <c r="F884">
        <v>232</v>
      </c>
      <c r="G884">
        <v>177</v>
      </c>
      <c r="H884" t="s">
        <v>11</v>
      </c>
      <c r="I884" t="b">
        <v>0</v>
      </c>
      <c r="J884" cm="1">
        <f t="array" ref="J884">sentimentCalc(B884)</f>
        <v>0</v>
      </c>
      <c r="K884" t="str" cm="1">
        <f t="array" ref="K884">sentimentCategory(J884)</f>
        <v>Neutral</v>
      </c>
    </row>
    <row r="885" spans="1:11" ht="17" x14ac:dyDescent="0.2">
      <c r="A885" t="s">
        <v>3446</v>
      </c>
      <c r="B885" s="1" t="s">
        <v>3447</v>
      </c>
      <c r="C885" t="s">
        <v>1753</v>
      </c>
      <c r="D885" s="1" t="s">
        <v>2</v>
      </c>
      <c r="E885" t="b">
        <v>0</v>
      </c>
      <c r="F885">
        <v>7</v>
      </c>
      <c r="G885">
        <v>58</v>
      </c>
      <c r="H885" t="s">
        <v>11</v>
      </c>
      <c r="I885" t="b">
        <v>0</v>
      </c>
      <c r="J885" cm="1">
        <f t="array" ref="J885">sentimentCalc(B885)</f>
        <v>0</v>
      </c>
      <c r="K885" t="str" cm="1">
        <f t="array" ref="K885">sentimentCategory(J885)</f>
        <v>Neutral</v>
      </c>
    </row>
    <row r="886" spans="1:11" ht="34" x14ac:dyDescent="0.2">
      <c r="A886" t="s">
        <v>6655</v>
      </c>
      <c r="B886" s="1" t="s">
        <v>6656</v>
      </c>
      <c r="C886" t="s">
        <v>250</v>
      </c>
      <c r="D886" s="1" t="s">
        <v>2</v>
      </c>
      <c r="E886" t="b">
        <v>0</v>
      </c>
      <c r="F886">
        <v>647</v>
      </c>
      <c r="G886">
        <v>460</v>
      </c>
      <c r="H886" t="s">
        <v>11</v>
      </c>
      <c r="I886" t="b">
        <v>0</v>
      </c>
      <c r="J886" cm="1">
        <f t="array" ref="J886">sentimentCalc(B886)</f>
        <v>0</v>
      </c>
      <c r="K886" t="str" cm="1">
        <f t="array" ref="K886">sentimentCategory(J886)</f>
        <v>Neutral</v>
      </c>
    </row>
    <row r="887" spans="1:11" ht="34" x14ac:dyDescent="0.2">
      <c r="A887" t="s">
        <v>912</v>
      </c>
      <c r="B887" s="1" t="s">
        <v>913</v>
      </c>
      <c r="C887" t="s">
        <v>700</v>
      </c>
      <c r="D887" s="1" t="s">
        <v>914</v>
      </c>
      <c r="E887" t="b">
        <v>0</v>
      </c>
      <c r="F887">
        <v>214</v>
      </c>
      <c r="G887">
        <v>632</v>
      </c>
      <c r="H887" t="s">
        <v>11</v>
      </c>
      <c r="I887" t="b">
        <v>0</v>
      </c>
      <c r="J887" cm="1">
        <f t="array" ref="J887">sentimentCalc(B887)</f>
        <v>1</v>
      </c>
      <c r="K887" t="str" cm="1">
        <f t="array" ref="K887">sentimentCategory(J887)</f>
        <v>Positive</v>
      </c>
    </row>
    <row r="888" spans="1:11" ht="17" x14ac:dyDescent="0.2">
      <c r="A888" t="s">
        <v>5179</v>
      </c>
      <c r="B888" s="1" t="s">
        <v>5180</v>
      </c>
      <c r="C888" t="s">
        <v>3886</v>
      </c>
      <c r="D888" s="1" t="s">
        <v>2</v>
      </c>
      <c r="E888" t="b">
        <v>0</v>
      </c>
      <c r="F888">
        <v>102</v>
      </c>
      <c r="G888">
        <v>136</v>
      </c>
      <c r="H888" t="s">
        <v>11</v>
      </c>
      <c r="I888" t="b">
        <v>0</v>
      </c>
      <c r="J888" cm="1">
        <f t="array" ref="J888">sentimentCalc(B888)</f>
        <v>0</v>
      </c>
      <c r="K888" t="str" cm="1">
        <f t="array" ref="K888">sentimentCategory(J888)</f>
        <v>Neutral</v>
      </c>
    </row>
    <row r="889" spans="1:11" ht="17" x14ac:dyDescent="0.2">
      <c r="A889" t="s">
        <v>3468</v>
      </c>
      <c r="B889" s="1" t="s">
        <v>3469</v>
      </c>
      <c r="C889" t="s">
        <v>3470</v>
      </c>
      <c r="D889" s="1" t="s">
        <v>3471</v>
      </c>
      <c r="E889" t="b">
        <v>0</v>
      </c>
      <c r="F889">
        <v>1955</v>
      </c>
      <c r="G889">
        <v>202</v>
      </c>
      <c r="H889" t="s">
        <v>11</v>
      </c>
      <c r="I889" t="b">
        <v>0</v>
      </c>
      <c r="J889" cm="1">
        <f t="array" ref="J889">sentimentCalc(B889)</f>
        <v>0</v>
      </c>
      <c r="K889" t="str" cm="1">
        <f t="array" ref="K889">sentimentCategory(J889)</f>
        <v>Neutral</v>
      </c>
    </row>
    <row r="890" spans="1:11" ht="17" x14ac:dyDescent="0.2">
      <c r="A890" t="s">
        <v>4059</v>
      </c>
      <c r="B890" s="1" t="s">
        <v>4060</v>
      </c>
      <c r="C890" t="s">
        <v>4061</v>
      </c>
      <c r="D890" s="1" t="s">
        <v>4062</v>
      </c>
      <c r="E890" t="b">
        <v>0</v>
      </c>
      <c r="F890">
        <v>192</v>
      </c>
      <c r="G890">
        <v>215</v>
      </c>
      <c r="H890" t="s">
        <v>47</v>
      </c>
      <c r="I890" t="b">
        <v>0</v>
      </c>
      <c r="J890" cm="1">
        <f t="array" ref="J890">sentimentCalc(B890)</f>
        <v>0</v>
      </c>
      <c r="K890" t="str" cm="1">
        <f t="array" ref="K890">sentimentCategory(J890)</f>
        <v>Neutral</v>
      </c>
    </row>
    <row r="891" spans="1:11" ht="17" x14ac:dyDescent="0.2">
      <c r="A891" t="s">
        <v>4566</v>
      </c>
      <c r="B891" s="1" t="s">
        <v>4567</v>
      </c>
      <c r="C891" t="s">
        <v>1434</v>
      </c>
      <c r="D891" s="1" t="s">
        <v>2</v>
      </c>
      <c r="E891" t="b">
        <v>0</v>
      </c>
      <c r="F891">
        <v>240</v>
      </c>
      <c r="G891">
        <v>573</v>
      </c>
      <c r="H891" t="s">
        <v>11</v>
      </c>
      <c r="I891" t="b">
        <v>0</v>
      </c>
      <c r="J891" cm="1">
        <f t="array" ref="J891">sentimentCalc(B891)</f>
        <v>0</v>
      </c>
      <c r="K891" t="str" cm="1">
        <f t="array" ref="K891">sentimentCategory(J891)</f>
        <v>Neutral</v>
      </c>
    </row>
    <row r="892" spans="1:11" ht="17" x14ac:dyDescent="0.2">
      <c r="A892" t="s">
        <v>360</v>
      </c>
      <c r="B892" s="1" t="s">
        <v>361</v>
      </c>
      <c r="C892" t="s">
        <v>362</v>
      </c>
      <c r="D892" s="1" t="s">
        <v>363</v>
      </c>
      <c r="E892" t="b">
        <v>0</v>
      </c>
      <c r="F892">
        <v>1374</v>
      </c>
      <c r="G892">
        <v>294</v>
      </c>
      <c r="H892" t="s">
        <v>11</v>
      </c>
      <c r="I892" t="b">
        <v>0</v>
      </c>
      <c r="J892" cm="1">
        <f t="array" ref="J892">sentimentCalc(B892)</f>
        <v>0</v>
      </c>
      <c r="K892" t="str" cm="1">
        <f t="array" ref="K892">sentimentCategory(J892)</f>
        <v>Neutral</v>
      </c>
    </row>
    <row r="893" spans="1:11" ht="17" x14ac:dyDescent="0.2">
      <c r="A893" t="s">
        <v>1758</v>
      </c>
      <c r="B893" s="1" t="s">
        <v>1759</v>
      </c>
      <c r="C893" t="s">
        <v>1760</v>
      </c>
      <c r="D893" s="1" t="s">
        <v>2</v>
      </c>
      <c r="E893" t="b">
        <v>0</v>
      </c>
      <c r="F893">
        <v>61</v>
      </c>
      <c r="G893">
        <v>129</v>
      </c>
      <c r="H893" t="s">
        <v>11</v>
      </c>
      <c r="I893" t="b">
        <v>0</v>
      </c>
      <c r="J893" cm="1">
        <f t="array" ref="J893">sentimentCalc(B893)</f>
        <v>0</v>
      </c>
      <c r="K893" t="str" cm="1">
        <f t="array" ref="K893">sentimentCategory(J893)</f>
        <v>Neutral</v>
      </c>
    </row>
    <row r="894" spans="1:11" ht="17" x14ac:dyDescent="0.2">
      <c r="A894" t="s">
        <v>861</v>
      </c>
      <c r="B894" s="1" t="s">
        <v>862</v>
      </c>
      <c r="C894" t="s">
        <v>654</v>
      </c>
      <c r="E894" t="b">
        <v>0</v>
      </c>
      <c r="F894">
        <v>3316</v>
      </c>
      <c r="G894">
        <v>3347</v>
      </c>
      <c r="H894" t="s">
        <v>863</v>
      </c>
      <c r="I894" t="b">
        <v>0</v>
      </c>
      <c r="J894" cm="1">
        <f t="array" ref="J894">sentimentCalc(B894)</f>
        <v>0</v>
      </c>
      <c r="K894" t="str" cm="1">
        <f t="array" ref="K894">sentimentCategory(J894)</f>
        <v>Neutral</v>
      </c>
    </row>
    <row r="895" spans="1:11" ht="17" x14ac:dyDescent="0.2">
      <c r="A895" t="s">
        <v>4935</v>
      </c>
      <c r="B895" s="1" t="s">
        <v>4936</v>
      </c>
      <c r="C895" t="s">
        <v>271</v>
      </c>
      <c r="D895" s="1" t="s">
        <v>61</v>
      </c>
      <c r="E895" t="b">
        <v>0</v>
      </c>
      <c r="F895">
        <v>84</v>
      </c>
      <c r="G895">
        <v>118</v>
      </c>
      <c r="H895" t="s">
        <v>11</v>
      </c>
      <c r="I895" t="b">
        <v>0</v>
      </c>
      <c r="J895" cm="1">
        <f t="array" ref="J895">sentimentCalc(B895)</f>
        <v>0</v>
      </c>
      <c r="K895" t="str" cm="1">
        <f t="array" ref="K895">sentimentCategory(J895)</f>
        <v>Neutral</v>
      </c>
    </row>
    <row r="896" spans="1:11" ht="17" x14ac:dyDescent="0.2">
      <c r="A896" t="s">
        <v>4167</v>
      </c>
      <c r="B896" s="1" t="s">
        <v>4168</v>
      </c>
      <c r="C896" t="s">
        <v>4169</v>
      </c>
      <c r="D896" s="1" t="s">
        <v>2</v>
      </c>
      <c r="E896" t="b">
        <v>0</v>
      </c>
      <c r="F896">
        <v>83</v>
      </c>
      <c r="G896">
        <v>444</v>
      </c>
      <c r="H896" t="s">
        <v>11</v>
      </c>
      <c r="I896" t="b">
        <v>0</v>
      </c>
      <c r="J896" cm="1">
        <f t="array" ref="J896">sentimentCalc(B896)</f>
        <v>0</v>
      </c>
      <c r="K896" t="str" cm="1">
        <f t="array" ref="K896">sentimentCategory(J896)</f>
        <v>Neutral</v>
      </c>
    </row>
    <row r="897" spans="1:11" ht="17" x14ac:dyDescent="0.2">
      <c r="A897" t="s">
        <v>1526</v>
      </c>
      <c r="B897" s="1" t="s">
        <v>1527</v>
      </c>
      <c r="C897" t="s">
        <v>1521</v>
      </c>
      <c r="D897" s="1" t="s">
        <v>2</v>
      </c>
      <c r="E897" t="b">
        <v>0</v>
      </c>
      <c r="F897">
        <v>9642</v>
      </c>
      <c r="G897">
        <v>27</v>
      </c>
      <c r="H897" t="s">
        <v>11</v>
      </c>
      <c r="I897" t="b">
        <v>0</v>
      </c>
      <c r="J897" cm="1">
        <f t="array" ref="J897">sentimentCalc(B897)</f>
        <v>0</v>
      </c>
      <c r="K897" t="str" cm="1">
        <f t="array" ref="K897">sentimentCategory(J897)</f>
        <v>Neutral</v>
      </c>
    </row>
    <row r="898" spans="1:11" ht="34" x14ac:dyDescent="0.2">
      <c r="A898" t="s">
        <v>5724</v>
      </c>
      <c r="B898" s="1" t="s">
        <v>5725</v>
      </c>
      <c r="C898" t="s">
        <v>29</v>
      </c>
      <c r="D898" s="1" t="s">
        <v>39</v>
      </c>
      <c r="E898" t="b">
        <v>0</v>
      </c>
      <c r="F898">
        <v>345</v>
      </c>
      <c r="G898">
        <v>348</v>
      </c>
      <c r="H898" t="s">
        <v>11</v>
      </c>
      <c r="I898" t="b">
        <v>0</v>
      </c>
      <c r="J898" cm="1">
        <f t="array" ref="J898">sentimentCalc(B898)</f>
        <v>0</v>
      </c>
      <c r="K898" t="str" cm="1">
        <f t="array" ref="K898">sentimentCategory(J898)</f>
        <v>Neutral</v>
      </c>
    </row>
    <row r="899" spans="1:11" ht="17" x14ac:dyDescent="0.2">
      <c r="A899" t="s">
        <v>5040</v>
      </c>
      <c r="B899" s="1" t="s">
        <v>5041</v>
      </c>
      <c r="C899" t="s">
        <v>211</v>
      </c>
      <c r="D899" s="1" t="s">
        <v>2</v>
      </c>
      <c r="E899" t="b">
        <v>0</v>
      </c>
      <c r="F899">
        <v>525</v>
      </c>
      <c r="G899">
        <v>1435</v>
      </c>
      <c r="H899" t="s">
        <v>11</v>
      </c>
      <c r="I899" t="b">
        <v>0</v>
      </c>
      <c r="J899" cm="1">
        <f t="array" ref="J899">sentimentCalc(B899)</f>
        <v>1</v>
      </c>
      <c r="K899" t="str" cm="1">
        <f t="array" ref="K899">sentimentCategory(J899)</f>
        <v>Positive</v>
      </c>
    </row>
    <row r="900" spans="1:11" ht="17" x14ac:dyDescent="0.2">
      <c r="A900" t="s">
        <v>5845</v>
      </c>
      <c r="B900" s="1" t="s">
        <v>5846</v>
      </c>
      <c r="C900" t="s">
        <v>736</v>
      </c>
      <c r="D900" s="1" t="s">
        <v>1768</v>
      </c>
      <c r="E900" t="b">
        <v>0</v>
      </c>
      <c r="F900">
        <v>637</v>
      </c>
      <c r="G900">
        <v>327</v>
      </c>
      <c r="H900" t="s">
        <v>11</v>
      </c>
      <c r="I900" t="b">
        <v>0</v>
      </c>
      <c r="J900" cm="1">
        <f t="array" ref="J900">sentimentCalc(B900)</f>
        <v>0</v>
      </c>
      <c r="K900" t="str" cm="1">
        <f t="array" ref="K900">sentimentCategory(J900)</f>
        <v>Neutral</v>
      </c>
    </row>
    <row r="901" spans="1:11" ht="17" x14ac:dyDescent="0.2">
      <c r="A901" t="s">
        <v>2389</v>
      </c>
      <c r="B901" s="1" t="s">
        <v>2390</v>
      </c>
      <c r="C901" t="s">
        <v>2391</v>
      </c>
      <c r="D901" s="1" t="s">
        <v>2392</v>
      </c>
      <c r="E901" t="b">
        <v>1</v>
      </c>
      <c r="F901">
        <v>27785</v>
      </c>
      <c r="G901">
        <v>147</v>
      </c>
      <c r="H901" t="s">
        <v>11</v>
      </c>
      <c r="I901" t="b">
        <v>0</v>
      </c>
      <c r="J901" cm="1">
        <f t="array" ref="J901">sentimentCalc(B901)</f>
        <v>0</v>
      </c>
      <c r="K901" t="str" cm="1">
        <f t="array" ref="K901">sentimentCategory(J901)</f>
        <v>Neutral</v>
      </c>
    </row>
    <row r="902" spans="1:11" ht="17" x14ac:dyDescent="0.2">
      <c r="A902" t="s">
        <v>3221</v>
      </c>
      <c r="B902" s="1" t="s">
        <v>3222</v>
      </c>
      <c r="C902" t="s">
        <v>332</v>
      </c>
      <c r="D902" s="1" t="s">
        <v>3223</v>
      </c>
      <c r="E902" t="b">
        <v>0</v>
      </c>
      <c r="F902">
        <v>398</v>
      </c>
      <c r="G902">
        <v>1123</v>
      </c>
      <c r="H902" t="s">
        <v>11</v>
      </c>
      <c r="I902" t="b">
        <v>0</v>
      </c>
      <c r="J902" cm="1">
        <f t="array" ref="J902">sentimentCalc(B902)</f>
        <v>0</v>
      </c>
      <c r="K902" t="str" cm="1">
        <f t="array" ref="K902">sentimentCategory(J902)</f>
        <v>Neutral</v>
      </c>
    </row>
    <row r="903" spans="1:11" ht="17" x14ac:dyDescent="0.2">
      <c r="A903" t="s">
        <v>2951</v>
      </c>
      <c r="B903" s="1" t="s">
        <v>2952</v>
      </c>
      <c r="C903" t="s">
        <v>1008</v>
      </c>
      <c r="D903" s="1" t="s">
        <v>2953</v>
      </c>
      <c r="E903" t="b">
        <v>0</v>
      </c>
      <c r="F903">
        <v>59</v>
      </c>
      <c r="G903">
        <v>1300</v>
      </c>
      <c r="H903" t="s">
        <v>11</v>
      </c>
      <c r="I903" t="b">
        <v>0</v>
      </c>
      <c r="J903" cm="1">
        <f t="array" ref="J903">sentimentCalc(B903)</f>
        <v>0</v>
      </c>
      <c r="K903" t="str" cm="1">
        <f t="array" ref="K903">sentimentCategory(J903)</f>
        <v>Neutral</v>
      </c>
    </row>
    <row r="904" spans="1:11" ht="17" x14ac:dyDescent="0.2">
      <c r="A904" t="s">
        <v>2077</v>
      </c>
      <c r="B904" s="1" t="s">
        <v>2078</v>
      </c>
      <c r="C904" t="s">
        <v>391</v>
      </c>
      <c r="D904" s="1" t="s">
        <v>392</v>
      </c>
      <c r="E904" t="b">
        <v>0</v>
      </c>
      <c r="F904">
        <v>52</v>
      </c>
      <c r="G904">
        <v>242</v>
      </c>
      <c r="H904" t="s">
        <v>11</v>
      </c>
      <c r="I904" t="b">
        <v>0</v>
      </c>
      <c r="J904" cm="1">
        <f t="array" ref="J904">sentimentCalc(B904)</f>
        <v>1</v>
      </c>
      <c r="K904" t="str" cm="1">
        <f t="array" ref="K904">sentimentCategory(J904)</f>
        <v>Positive</v>
      </c>
    </row>
    <row r="905" spans="1:11" ht="17" x14ac:dyDescent="0.2">
      <c r="A905" t="s">
        <v>1108</v>
      </c>
      <c r="B905" s="1" t="s">
        <v>1109</v>
      </c>
      <c r="C905" t="s">
        <v>1008</v>
      </c>
      <c r="D905" s="1" t="s">
        <v>924</v>
      </c>
      <c r="E905" t="b">
        <v>0</v>
      </c>
      <c r="F905">
        <v>22</v>
      </c>
      <c r="G905">
        <v>95</v>
      </c>
      <c r="H905" t="s">
        <v>83</v>
      </c>
      <c r="I905" t="b">
        <v>0</v>
      </c>
      <c r="J905" cm="1">
        <f t="array" ref="J905">sentimentCalc(B905)</f>
        <v>0</v>
      </c>
      <c r="K905" t="str" cm="1">
        <f t="array" ref="K905">sentimentCategory(J905)</f>
        <v>Neutral</v>
      </c>
    </row>
    <row r="906" spans="1:11" ht="17" x14ac:dyDescent="0.2">
      <c r="A906" t="s">
        <v>2635</v>
      </c>
      <c r="B906" s="1" t="s">
        <v>2636</v>
      </c>
      <c r="C906" t="s">
        <v>1598</v>
      </c>
      <c r="D906" s="1" t="s">
        <v>2</v>
      </c>
      <c r="E906" t="b">
        <v>0</v>
      </c>
      <c r="F906">
        <v>9</v>
      </c>
      <c r="G906">
        <v>10</v>
      </c>
      <c r="H906" t="s">
        <v>47</v>
      </c>
      <c r="I906" t="b">
        <v>0</v>
      </c>
      <c r="J906" cm="1">
        <f t="array" ref="J906">sentimentCalc(B906)</f>
        <v>0</v>
      </c>
      <c r="K906" t="str" cm="1">
        <f t="array" ref="K906">sentimentCategory(J906)</f>
        <v>Neutral</v>
      </c>
    </row>
    <row r="907" spans="1:11" ht="34" x14ac:dyDescent="0.2">
      <c r="A907" t="s">
        <v>2830</v>
      </c>
      <c r="B907" s="1" t="s">
        <v>2831</v>
      </c>
      <c r="C907" t="s">
        <v>151</v>
      </c>
      <c r="D907" s="1" t="s">
        <v>2832</v>
      </c>
      <c r="E907" t="b">
        <v>0</v>
      </c>
      <c r="F907">
        <v>177</v>
      </c>
      <c r="G907">
        <v>179</v>
      </c>
      <c r="H907" t="s">
        <v>110</v>
      </c>
      <c r="I907" t="b">
        <v>0</v>
      </c>
      <c r="J907" cm="1">
        <f t="array" ref="J907">sentimentCalc(B907)</f>
        <v>0</v>
      </c>
      <c r="K907" t="str" cm="1">
        <f t="array" ref="K907">sentimentCategory(J907)</f>
        <v>Neutral</v>
      </c>
    </row>
    <row r="908" spans="1:11" ht="17" x14ac:dyDescent="0.2">
      <c r="A908" t="s">
        <v>2264</v>
      </c>
      <c r="B908" s="1" t="s">
        <v>2266</v>
      </c>
      <c r="C908" t="s">
        <v>1598</v>
      </c>
      <c r="D908" s="1" t="s">
        <v>2</v>
      </c>
      <c r="E908" t="b">
        <v>0</v>
      </c>
      <c r="F908">
        <v>4</v>
      </c>
      <c r="G908">
        <v>12</v>
      </c>
      <c r="H908" t="s">
        <v>11</v>
      </c>
      <c r="I908" t="b">
        <v>0</v>
      </c>
      <c r="J908" cm="1">
        <f t="array" ref="J908">sentimentCalc(B908)</f>
        <v>0</v>
      </c>
      <c r="K908" t="str" cm="1">
        <f t="array" ref="K908">sentimentCategory(J908)</f>
        <v>Neutral</v>
      </c>
    </row>
    <row r="909" spans="1:11" ht="17" x14ac:dyDescent="0.2">
      <c r="A909" t="s">
        <v>6879</v>
      </c>
      <c r="B909" s="1" t="s">
        <v>6880</v>
      </c>
      <c r="C909" t="s">
        <v>782</v>
      </c>
      <c r="D909" s="1" t="s">
        <v>6881</v>
      </c>
      <c r="E909" t="b">
        <v>0</v>
      </c>
      <c r="F909">
        <v>263</v>
      </c>
      <c r="G909">
        <v>1041</v>
      </c>
      <c r="H909" t="s">
        <v>11</v>
      </c>
      <c r="I909" t="b">
        <v>0</v>
      </c>
      <c r="J909" cm="1">
        <f t="array" ref="J909">sentimentCalc(B909)</f>
        <v>0</v>
      </c>
      <c r="K909" t="str" cm="1">
        <f t="array" ref="K909">sentimentCategory(J909)</f>
        <v>Neutral</v>
      </c>
    </row>
    <row r="910" spans="1:11" ht="17" x14ac:dyDescent="0.2">
      <c r="A910" t="s">
        <v>737</v>
      </c>
      <c r="B910" s="1" t="s">
        <v>738</v>
      </c>
      <c r="C910" t="s">
        <v>739</v>
      </c>
      <c r="D910" s="1" t="s">
        <v>740</v>
      </c>
      <c r="E910" t="b">
        <v>0</v>
      </c>
      <c r="F910">
        <v>11</v>
      </c>
      <c r="G910">
        <v>15</v>
      </c>
      <c r="H910" t="s">
        <v>11</v>
      </c>
      <c r="I910" t="b">
        <v>0</v>
      </c>
      <c r="J910" cm="1">
        <f t="array" ref="J910">sentimentCalc(B910)</f>
        <v>0</v>
      </c>
      <c r="K910" t="str" cm="1">
        <f t="array" ref="K910">sentimentCategory(J910)</f>
        <v>Neutral</v>
      </c>
    </row>
    <row r="911" spans="1:11" ht="17" x14ac:dyDescent="0.2">
      <c r="A911" t="s">
        <v>702</v>
      </c>
      <c r="B911" s="1" t="s">
        <v>703</v>
      </c>
      <c r="C911" t="s">
        <v>425</v>
      </c>
      <c r="D911" s="1" t="s">
        <v>426</v>
      </c>
      <c r="E911" t="b">
        <v>0</v>
      </c>
      <c r="F911">
        <v>192</v>
      </c>
      <c r="G911">
        <v>141</v>
      </c>
      <c r="H911" t="s">
        <v>11</v>
      </c>
      <c r="I911" t="b">
        <v>0</v>
      </c>
      <c r="J911" cm="1">
        <f t="array" ref="J911">sentimentCalc(B911)</f>
        <v>0</v>
      </c>
      <c r="K911" t="str" cm="1">
        <f t="array" ref="K911">sentimentCategory(J911)</f>
        <v>Neutral</v>
      </c>
    </row>
    <row r="912" spans="1:11" ht="17" x14ac:dyDescent="0.2">
      <c r="A912" t="s">
        <v>2210</v>
      </c>
      <c r="B912" s="1" t="s">
        <v>2211</v>
      </c>
      <c r="C912" t="s">
        <v>2212</v>
      </c>
      <c r="D912" s="1" t="s">
        <v>2213</v>
      </c>
      <c r="E912" t="b">
        <v>0</v>
      </c>
      <c r="F912">
        <v>90</v>
      </c>
      <c r="G912">
        <v>295</v>
      </c>
      <c r="H912" t="s">
        <v>11</v>
      </c>
      <c r="I912" t="b">
        <v>0</v>
      </c>
      <c r="J912" cm="1">
        <f t="array" ref="J912">sentimentCalc(B912)</f>
        <v>0</v>
      </c>
      <c r="K912" t="str" cm="1">
        <f t="array" ref="K912">sentimentCategory(J912)</f>
        <v>Neutral</v>
      </c>
    </row>
    <row r="913" spans="1:11" ht="17" x14ac:dyDescent="0.2">
      <c r="A913" t="s">
        <v>6726</v>
      </c>
      <c r="B913" s="1" t="s">
        <v>6727</v>
      </c>
      <c r="C913" t="s">
        <v>6728</v>
      </c>
      <c r="D913" s="1" t="s">
        <v>1768</v>
      </c>
      <c r="E913" t="b">
        <v>0</v>
      </c>
      <c r="F913">
        <v>78</v>
      </c>
      <c r="G913">
        <v>400</v>
      </c>
      <c r="H913" t="s">
        <v>11</v>
      </c>
      <c r="I913" t="b">
        <v>0</v>
      </c>
      <c r="J913" cm="1">
        <f t="array" ref="J913">sentimentCalc(B913)</f>
        <v>0</v>
      </c>
      <c r="K913" t="str" cm="1">
        <f t="array" ref="K913">sentimentCategory(J913)</f>
        <v>Neutral</v>
      </c>
    </row>
    <row r="914" spans="1:11" ht="17" x14ac:dyDescent="0.2">
      <c r="A914" t="s">
        <v>2559</v>
      </c>
      <c r="B914" s="1" t="s">
        <v>2560</v>
      </c>
      <c r="C914" t="s">
        <v>802</v>
      </c>
      <c r="D914" s="1" t="s">
        <v>2561</v>
      </c>
      <c r="E914" t="b">
        <v>0</v>
      </c>
      <c r="F914">
        <v>1984</v>
      </c>
      <c r="G914">
        <v>2599</v>
      </c>
      <c r="H914" t="s">
        <v>11</v>
      </c>
      <c r="I914" t="b">
        <v>0</v>
      </c>
      <c r="J914" cm="1">
        <f t="array" ref="J914">sentimentCalc(B914)</f>
        <v>1</v>
      </c>
      <c r="K914" t="str" cm="1">
        <f t="array" ref="K914">sentimentCategory(J914)</f>
        <v>Positive</v>
      </c>
    </row>
    <row r="915" spans="1:11" ht="17" x14ac:dyDescent="0.2">
      <c r="A915" t="s">
        <v>3582</v>
      </c>
      <c r="B915" s="1" t="s">
        <v>3583</v>
      </c>
      <c r="C915" t="s">
        <v>3584</v>
      </c>
      <c r="D915" s="1" t="s">
        <v>2</v>
      </c>
      <c r="E915" t="b">
        <v>0</v>
      </c>
      <c r="F915">
        <v>91</v>
      </c>
      <c r="G915">
        <v>83</v>
      </c>
      <c r="H915" t="s">
        <v>11</v>
      </c>
      <c r="I915" t="b">
        <v>0</v>
      </c>
      <c r="J915" cm="1">
        <f t="array" ref="J915">sentimentCalc(B915)</f>
        <v>0</v>
      </c>
      <c r="K915" t="str" cm="1">
        <f t="array" ref="K915">sentimentCategory(J915)</f>
        <v>Neutral</v>
      </c>
    </row>
    <row r="916" spans="1:11" ht="17" x14ac:dyDescent="0.2">
      <c r="A916" t="s">
        <v>1952</v>
      </c>
      <c r="B916" s="1" t="s">
        <v>1953</v>
      </c>
      <c r="C916" t="s">
        <v>1954</v>
      </c>
      <c r="D916" s="1" t="s">
        <v>1955</v>
      </c>
      <c r="E916" t="b">
        <v>0</v>
      </c>
      <c r="F916">
        <v>596</v>
      </c>
      <c r="G916">
        <v>53</v>
      </c>
      <c r="H916" t="s">
        <v>11</v>
      </c>
      <c r="I916" t="b">
        <v>0</v>
      </c>
      <c r="J916" cm="1">
        <f t="array" ref="J916">sentimentCalc(B916)</f>
        <v>0</v>
      </c>
      <c r="K916" t="str" cm="1">
        <f t="array" ref="K916">sentimentCategory(J916)</f>
        <v>Neutral</v>
      </c>
    </row>
    <row r="917" spans="1:11" ht="17" x14ac:dyDescent="0.2">
      <c r="A917" t="s">
        <v>6843</v>
      </c>
      <c r="B917" s="1" t="s">
        <v>6844</v>
      </c>
      <c r="C917" t="s">
        <v>6845</v>
      </c>
      <c r="D917" s="1" t="s">
        <v>2</v>
      </c>
      <c r="E917" t="b">
        <v>0</v>
      </c>
      <c r="F917">
        <v>34</v>
      </c>
      <c r="G917">
        <v>190</v>
      </c>
      <c r="H917" t="s">
        <v>11</v>
      </c>
      <c r="I917" t="b">
        <v>0</v>
      </c>
      <c r="J917" cm="1">
        <f t="array" ref="J917">sentimentCalc(B917)</f>
        <v>0</v>
      </c>
      <c r="K917" t="str" cm="1">
        <f t="array" ref="K917">sentimentCategory(J917)</f>
        <v>Neutral</v>
      </c>
    </row>
    <row r="918" spans="1:11" ht="17" x14ac:dyDescent="0.2">
      <c r="A918" t="s">
        <v>6373</v>
      </c>
      <c r="B918" s="1" t="s">
        <v>6374</v>
      </c>
      <c r="C918" t="s">
        <v>6375</v>
      </c>
      <c r="D918" s="1" t="s">
        <v>2</v>
      </c>
      <c r="E918" t="b">
        <v>0</v>
      </c>
      <c r="F918">
        <v>509</v>
      </c>
      <c r="G918">
        <v>1425</v>
      </c>
      <c r="H918" t="s">
        <v>11</v>
      </c>
      <c r="I918" t="b">
        <v>0</v>
      </c>
      <c r="J918" cm="1">
        <f t="array" ref="J918">sentimentCalc(B918)</f>
        <v>0</v>
      </c>
      <c r="K918" t="str" cm="1">
        <f t="array" ref="K918">sentimentCategory(J918)</f>
        <v>Neutral</v>
      </c>
    </row>
    <row r="919" spans="1:11" ht="17" x14ac:dyDescent="0.2">
      <c r="A919" t="s">
        <v>1412</v>
      </c>
      <c r="B919" s="1" t="s">
        <v>1413</v>
      </c>
      <c r="C919" t="s">
        <v>526</v>
      </c>
      <c r="D919" s="1" t="s">
        <v>2</v>
      </c>
      <c r="E919" t="b">
        <v>0</v>
      </c>
      <c r="F919">
        <v>0</v>
      </c>
      <c r="G919">
        <v>48</v>
      </c>
      <c r="H919" t="s">
        <v>11</v>
      </c>
      <c r="I919" t="b">
        <v>0</v>
      </c>
      <c r="J919" cm="1">
        <f t="array" ref="J919">sentimentCalc(B919)</f>
        <v>0</v>
      </c>
      <c r="K919" t="str" cm="1">
        <f t="array" ref="K919">sentimentCategory(J919)</f>
        <v>Neutral</v>
      </c>
    </row>
    <row r="920" spans="1:11" ht="17" x14ac:dyDescent="0.2">
      <c r="A920" t="s">
        <v>3271</v>
      </c>
      <c r="B920" s="1" t="s">
        <v>3272</v>
      </c>
      <c r="C920" t="s">
        <v>3273</v>
      </c>
      <c r="D920" s="1" t="s">
        <v>2</v>
      </c>
      <c r="E920" t="b">
        <v>0</v>
      </c>
      <c r="F920">
        <v>13</v>
      </c>
      <c r="G920">
        <v>126</v>
      </c>
      <c r="H920" t="s">
        <v>11</v>
      </c>
      <c r="I920" t="b">
        <v>0</v>
      </c>
      <c r="J920" cm="1">
        <f t="array" ref="J920">sentimentCalc(B920)</f>
        <v>0</v>
      </c>
      <c r="K920" t="str" cm="1">
        <f t="array" ref="K920">sentimentCategory(J920)</f>
        <v>Neutral</v>
      </c>
    </row>
    <row r="921" spans="1:11" ht="34" x14ac:dyDescent="0.2">
      <c r="A921" t="s">
        <v>2818</v>
      </c>
      <c r="B921" s="1" t="s">
        <v>2819</v>
      </c>
      <c r="C921" t="s">
        <v>2283</v>
      </c>
      <c r="D921" s="1" t="s">
        <v>2820</v>
      </c>
      <c r="E921" t="b">
        <v>0</v>
      </c>
      <c r="F921">
        <v>391</v>
      </c>
      <c r="G921">
        <v>1925</v>
      </c>
      <c r="H921" t="s">
        <v>11</v>
      </c>
      <c r="I921" t="b">
        <v>0</v>
      </c>
      <c r="J921" cm="1">
        <f t="array" ref="J921">sentimentCalc(B921)</f>
        <v>-1</v>
      </c>
      <c r="K921" t="str" cm="1">
        <f t="array" ref="K921">sentimentCategory(J921)</f>
        <v>Negative</v>
      </c>
    </row>
    <row r="922" spans="1:11" ht="17" x14ac:dyDescent="0.2">
      <c r="A922" t="s">
        <v>263</v>
      </c>
      <c r="B922" s="1" t="s">
        <v>264</v>
      </c>
      <c r="C922" t="s">
        <v>265</v>
      </c>
      <c r="D922" s="1" t="s">
        <v>2</v>
      </c>
      <c r="E922" t="b">
        <v>0</v>
      </c>
      <c r="F922">
        <v>3</v>
      </c>
      <c r="G922">
        <v>5</v>
      </c>
      <c r="H922" t="s">
        <v>11</v>
      </c>
      <c r="I922" t="b">
        <v>0</v>
      </c>
      <c r="J922" cm="1">
        <f t="array" ref="J922">sentimentCalc(B922)</f>
        <v>0</v>
      </c>
      <c r="K922" t="str" cm="1">
        <f t="array" ref="K922">sentimentCategory(J922)</f>
        <v>Neutral</v>
      </c>
    </row>
    <row r="923" spans="1:11" ht="17" x14ac:dyDescent="0.2">
      <c r="A923" t="s">
        <v>6007</v>
      </c>
      <c r="B923" s="1" t="s">
        <v>6008</v>
      </c>
      <c r="C923" t="s">
        <v>6009</v>
      </c>
      <c r="D923" s="1" t="s">
        <v>928</v>
      </c>
      <c r="E923" t="b">
        <v>0</v>
      </c>
      <c r="F923">
        <v>154</v>
      </c>
      <c r="G923">
        <v>208</v>
      </c>
      <c r="H923" t="s">
        <v>11</v>
      </c>
      <c r="I923" t="b">
        <v>0</v>
      </c>
      <c r="J923" cm="1">
        <f t="array" ref="J923">sentimentCalc(B923)</f>
        <v>0</v>
      </c>
      <c r="K923" t="str" cm="1">
        <f t="array" ref="K923">sentimentCategory(J923)</f>
        <v>Neutral</v>
      </c>
    </row>
    <row r="924" spans="1:11" ht="17" x14ac:dyDescent="0.2">
      <c r="A924" t="s">
        <v>5935</v>
      </c>
      <c r="B924" s="1" t="s">
        <v>5936</v>
      </c>
      <c r="C924" t="s">
        <v>275</v>
      </c>
      <c r="D924" s="1" t="s">
        <v>2</v>
      </c>
      <c r="E924" t="b">
        <v>0</v>
      </c>
      <c r="F924">
        <v>218</v>
      </c>
      <c r="G924">
        <v>606</v>
      </c>
      <c r="H924" t="s">
        <v>11</v>
      </c>
      <c r="I924" t="b">
        <v>0</v>
      </c>
      <c r="J924" cm="1">
        <f t="array" ref="J924">sentimentCalc(B924)</f>
        <v>0</v>
      </c>
      <c r="K924" t="str" cm="1">
        <f t="array" ref="K924">sentimentCategory(J924)</f>
        <v>Neutral</v>
      </c>
    </row>
    <row r="925" spans="1:11" ht="34" x14ac:dyDescent="0.2">
      <c r="A925" t="s">
        <v>3488</v>
      </c>
      <c r="B925" s="1" t="s">
        <v>3489</v>
      </c>
      <c r="C925" t="s">
        <v>1583</v>
      </c>
      <c r="D925" s="1" t="s">
        <v>3490</v>
      </c>
      <c r="E925" t="b">
        <v>0</v>
      </c>
      <c r="F925">
        <v>1008</v>
      </c>
      <c r="G925">
        <v>981</v>
      </c>
      <c r="H925" t="s">
        <v>11</v>
      </c>
      <c r="I925" t="b">
        <v>0</v>
      </c>
      <c r="J925" cm="1">
        <f t="array" ref="J925">sentimentCalc(B925)</f>
        <v>0</v>
      </c>
      <c r="K925" t="str" cm="1">
        <f t="array" ref="K925">sentimentCategory(J925)</f>
        <v>Neutral</v>
      </c>
    </row>
    <row r="926" spans="1:11" ht="17" x14ac:dyDescent="0.2">
      <c r="A926" t="s">
        <v>1596</v>
      </c>
      <c r="B926" s="1" t="s">
        <v>1597</v>
      </c>
      <c r="C926" t="s">
        <v>1598</v>
      </c>
      <c r="D926" s="1" t="s">
        <v>2</v>
      </c>
      <c r="E926" t="b">
        <v>0</v>
      </c>
      <c r="F926">
        <v>289</v>
      </c>
      <c r="G926">
        <v>70</v>
      </c>
      <c r="H926" t="s">
        <v>11</v>
      </c>
      <c r="I926" t="b">
        <v>0</v>
      </c>
      <c r="J926" cm="1">
        <f t="array" ref="J926">sentimentCalc(B926)</f>
        <v>0</v>
      </c>
      <c r="K926" t="str" cm="1">
        <f t="array" ref="K926">sentimentCategory(J926)</f>
        <v>Neutral</v>
      </c>
    </row>
    <row r="927" spans="1:11" ht="17" x14ac:dyDescent="0.2">
      <c r="A927" t="s">
        <v>248</v>
      </c>
      <c r="B927" s="1" t="s">
        <v>249</v>
      </c>
      <c r="C927" t="s">
        <v>250</v>
      </c>
      <c r="D927" s="1" t="s">
        <v>251</v>
      </c>
      <c r="E927" t="b">
        <v>0</v>
      </c>
      <c r="F927">
        <v>81</v>
      </c>
      <c r="G927">
        <v>64</v>
      </c>
      <c r="H927" t="s">
        <v>11</v>
      </c>
      <c r="I927" t="b">
        <v>0</v>
      </c>
      <c r="J927" cm="1">
        <f t="array" ref="J927">sentimentCalc(B927)</f>
        <v>0</v>
      </c>
      <c r="K927" t="str" cm="1">
        <f t="array" ref="K927">sentimentCategory(J927)</f>
        <v>Neutral</v>
      </c>
    </row>
    <row r="928" spans="1:11" ht="17" x14ac:dyDescent="0.2">
      <c r="A928" t="s">
        <v>232</v>
      </c>
      <c r="B928" s="1" t="s">
        <v>233</v>
      </c>
      <c r="C928" t="s">
        <v>234</v>
      </c>
      <c r="D928" s="1" t="s">
        <v>2</v>
      </c>
      <c r="E928" t="b">
        <v>0</v>
      </c>
      <c r="F928">
        <v>18</v>
      </c>
      <c r="G928">
        <v>17</v>
      </c>
      <c r="H928" t="s">
        <v>11</v>
      </c>
      <c r="I928" t="b">
        <v>0</v>
      </c>
      <c r="J928" cm="1">
        <f t="array" ref="J928">sentimentCalc(B928)</f>
        <v>0</v>
      </c>
      <c r="K928" t="str" cm="1">
        <f t="array" ref="K928">sentimentCategory(J928)</f>
        <v>Neutral</v>
      </c>
    </row>
    <row r="929" spans="1:11" ht="17" x14ac:dyDescent="0.2">
      <c r="A929" t="s">
        <v>2810</v>
      </c>
      <c r="B929" s="1" t="s">
        <v>2811</v>
      </c>
      <c r="C929" t="s">
        <v>1943</v>
      </c>
      <c r="D929" s="1" t="s">
        <v>2</v>
      </c>
      <c r="E929" t="b">
        <v>0</v>
      </c>
      <c r="F929">
        <v>281</v>
      </c>
      <c r="G929">
        <v>48</v>
      </c>
      <c r="H929" t="s">
        <v>11</v>
      </c>
      <c r="I929" t="b">
        <v>0</v>
      </c>
      <c r="J929" cm="1">
        <f t="array" ref="J929">sentimentCalc(B929)</f>
        <v>0</v>
      </c>
      <c r="K929" t="str" cm="1">
        <f t="array" ref="K929">sentimentCategory(J929)</f>
        <v>Neutral</v>
      </c>
    </row>
    <row r="930" spans="1:11" ht="17" x14ac:dyDescent="0.2">
      <c r="A930" t="s">
        <v>1391</v>
      </c>
      <c r="B930" s="1" t="s">
        <v>1392</v>
      </c>
      <c r="C930" t="s">
        <v>1206</v>
      </c>
      <c r="D930" s="1" t="s">
        <v>95</v>
      </c>
      <c r="E930" t="b">
        <v>0</v>
      </c>
      <c r="F930">
        <v>2050</v>
      </c>
      <c r="G930">
        <v>543</v>
      </c>
      <c r="H930" t="s">
        <v>11</v>
      </c>
      <c r="I930" t="b">
        <v>0</v>
      </c>
      <c r="J930" cm="1">
        <f t="array" ref="J930">sentimentCalc(B930)</f>
        <v>0</v>
      </c>
      <c r="K930" t="str" cm="1">
        <f t="array" ref="K930">sentimentCategory(J930)</f>
        <v>Neutral</v>
      </c>
    </row>
    <row r="931" spans="1:11" ht="17" x14ac:dyDescent="0.2">
      <c r="A931" t="s">
        <v>2995</v>
      </c>
      <c r="B931" s="1" t="s">
        <v>2996</v>
      </c>
      <c r="C931" t="s">
        <v>769</v>
      </c>
      <c r="D931" s="1" t="s">
        <v>2997</v>
      </c>
      <c r="E931" t="b">
        <v>0</v>
      </c>
      <c r="F931">
        <v>92</v>
      </c>
      <c r="G931">
        <v>78</v>
      </c>
      <c r="H931" t="s">
        <v>11</v>
      </c>
      <c r="I931" t="b">
        <v>0</v>
      </c>
      <c r="J931" cm="1">
        <f t="array" ref="J931">sentimentCalc(B931)</f>
        <v>0</v>
      </c>
      <c r="K931" t="str" cm="1">
        <f t="array" ref="K931">sentimentCategory(J931)</f>
        <v>Neutral</v>
      </c>
    </row>
    <row r="932" spans="1:11" ht="17" x14ac:dyDescent="0.2">
      <c r="A932" t="s">
        <v>3194</v>
      </c>
      <c r="B932" s="1" t="s">
        <v>3195</v>
      </c>
      <c r="C932" t="s">
        <v>45</v>
      </c>
      <c r="D932" s="1" t="s">
        <v>2</v>
      </c>
      <c r="E932" t="b">
        <v>0</v>
      </c>
      <c r="F932">
        <v>43</v>
      </c>
      <c r="G932">
        <v>100</v>
      </c>
      <c r="H932" t="s">
        <v>11</v>
      </c>
      <c r="I932" t="b">
        <v>0</v>
      </c>
      <c r="J932" cm="1">
        <f t="array" ref="J932">sentimentCalc(B932)</f>
        <v>0</v>
      </c>
      <c r="K932" t="str" cm="1">
        <f t="array" ref="K932">sentimentCategory(J932)</f>
        <v>Neutral</v>
      </c>
    </row>
    <row r="933" spans="1:11" ht="17" x14ac:dyDescent="0.2">
      <c r="A933" t="s">
        <v>1424</v>
      </c>
      <c r="B933" s="1" t="s">
        <v>1425</v>
      </c>
      <c r="C933" t="s">
        <v>1426</v>
      </c>
      <c r="D933" s="1" t="s">
        <v>2</v>
      </c>
      <c r="E933" t="b">
        <v>0</v>
      </c>
      <c r="F933">
        <v>29</v>
      </c>
      <c r="G933">
        <v>321</v>
      </c>
      <c r="H933" t="s">
        <v>11</v>
      </c>
      <c r="I933" t="b">
        <v>0</v>
      </c>
      <c r="J933" cm="1">
        <f t="array" ref="J933">sentimentCalc(B933)</f>
        <v>2</v>
      </c>
      <c r="K933" t="str" cm="1">
        <f t="array" ref="K933">sentimentCategory(J933)</f>
        <v>Positive</v>
      </c>
    </row>
    <row r="934" spans="1:11" ht="17" x14ac:dyDescent="0.2">
      <c r="A934" t="s">
        <v>4948</v>
      </c>
      <c r="B934" s="1" t="s">
        <v>4949</v>
      </c>
      <c r="C934" t="s">
        <v>2375</v>
      </c>
      <c r="D934" s="1" t="s">
        <v>2</v>
      </c>
      <c r="E934" t="b">
        <v>0</v>
      </c>
      <c r="F934">
        <v>88</v>
      </c>
      <c r="G934">
        <v>87</v>
      </c>
      <c r="H934" t="s">
        <v>11</v>
      </c>
      <c r="I934" t="b">
        <v>0</v>
      </c>
      <c r="J934" cm="1">
        <f t="array" ref="J934">sentimentCalc(B934)</f>
        <v>1</v>
      </c>
      <c r="K934" t="str" cm="1">
        <f t="array" ref="K934">sentimentCategory(J934)</f>
        <v>Positive</v>
      </c>
    </row>
    <row r="935" spans="1:11" ht="34" x14ac:dyDescent="0.2">
      <c r="A935" t="s">
        <v>977</v>
      </c>
      <c r="B935" s="1" t="s">
        <v>978</v>
      </c>
      <c r="C935" t="s">
        <v>979</v>
      </c>
      <c r="D935" s="1" t="s">
        <v>980</v>
      </c>
      <c r="E935" t="b">
        <v>0</v>
      </c>
      <c r="F935">
        <v>1</v>
      </c>
      <c r="G935">
        <v>16</v>
      </c>
      <c r="H935" t="s">
        <v>11</v>
      </c>
      <c r="I935" t="b">
        <v>0</v>
      </c>
      <c r="J935" cm="1">
        <f t="array" ref="J935">sentimentCalc(B935)</f>
        <v>2</v>
      </c>
      <c r="K935" t="str" cm="1">
        <f t="array" ref="K935">sentimentCategory(J935)</f>
        <v>Positive</v>
      </c>
    </row>
    <row r="936" spans="1:11" ht="17" x14ac:dyDescent="0.2">
      <c r="A936" t="s">
        <v>724</v>
      </c>
      <c r="B936" s="1" t="s">
        <v>725</v>
      </c>
      <c r="C936" t="s">
        <v>726</v>
      </c>
      <c r="D936" s="1" t="s">
        <v>2</v>
      </c>
      <c r="E936" t="b">
        <v>0</v>
      </c>
      <c r="F936">
        <v>80</v>
      </c>
      <c r="G936">
        <v>235</v>
      </c>
      <c r="H936" t="s">
        <v>11</v>
      </c>
      <c r="I936" t="b">
        <v>0</v>
      </c>
      <c r="J936" cm="1">
        <f t="array" ref="J936">sentimentCalc(B936)</f>
        <v>0</v>
      </c>
      <c r="K936" t="str" cm="1">
        <f t="array" ref="K936">sentimentCategory(J936)</f>
        <v>Neutral</v>
      </c>
    </row>
    <row r="937" spans="1:11" ht="17" x14ac:dyDescent="0.2">
      <c r="A937" t="s">
        <v>3794</v>
      </c>
      <c r="B937" s="1" t="s">
        <v>3795</v>
      </c>
      <c r="C937" t="s">
        <v>3796</v>
      </c>
      <c r="D937" s="1" t="s">
        <v>322</v>
      </c>
      <c r="E937" t="b">
        <v>0</v>
      </c>
      <c r="F937">
        <v>911</v>
      </c>
      <c r="G937">
        <v>258</v>
      </c>
      <c r="H937" t="s">
        <v>11</v>
      </c>
      <c r="I937" t="b">
        <v>0</v>
      </c>
      <c r="J937" cm="1">
        <f t="array" ref="J937">sentimentCalc(B937)</f>
        <v>0</v>
      </c>
      <c r="K937" t="str" cm="1">
        <f t="array" ref="K937">sentimentCategory(J937)</f>
        <v>Neutral</v>
      </c>
    </row>
    <row r="938" spans="1:11" ht="17" x14ac:dyDescent="0.2">
      <c r="A938" t="s">
        <v>5186</v>
      </c>
      <c r="B938" s="1" t="s">
        <v>5187</v>
      </c>
      <c r="C938" t="s">
        <v>458</v>
      </c>
      <c r="D938" s="1" t="s">
        <v>5188</v>
      </c>
      <c r="E938" t="b">
        <v>0</v>
      </c>
      <c r="F938">
        <v>82</v>
      </c>
      <c r="G938">
        <v>341</v>
      </c>
      <c r="H938" t="s">
        <v>11</v>
      </c>
      <c r="I938" t="b">
        <v>0</v>
      </c>
      <c r="J938" cm="1">
        <f t="array" ref="J938">sentimentCalc(B938)</f>
        <v>0</v>
      </c>
      <c r="K938" t="str" cm="1">
        <f t="array" ref="K938">sentimentCategory(J938)</f>
        <v>Neutral</v>
      </c>
    </row>
    <row r="939" spans="1:11" ht="34" x14ac:dyDescent="0.2">
      <c r="A939" t="s">
        <v>1294</v>
      </c>
      <c r="B939" s="1" t="s">
        <v>1295</v>
      </c>
      <c r="C939" t="s">
        <v>1296</v>
      </c>
      <c r="D939" s="1" t="s">
        <v>2</v>
      </c>
      <c r="E939" t="b">
        <v>0</v>
      </c>
      <c r="F939">
        <v>305</v>
      </c>
      <c r="G939">
        <v>449</v>
      </c>
      <c r="H939" t="s">
        <v>11</v>
      </c>
      <c r="I939" t="b">
        <v>0</v>
      </c>
      <c r="J939" cm="1">
        <f t="array" ref="J939">sentimentCalc(B939)</f>
        <v>0</v>
      </c>
      <c r="K939" t="str" cm="1">
        <f t="array" ref="K939">sentimentCategory(J939)</f>
        <v>Neutral</v>
      </c>
    </row>
    <row r="940" spans="1:11" ht="17" x14ac:dyDescent="0.2">
      <c r="A940" t="s">
        <v>4776</v>
      </c>
      <c r="B940" s="1" t="s">
        <v>4777</v>
      </c>
      <c r="C940" t="s">
        <v>4778</v>
      </c>
      <c r="D940" s="1" t="s">
        <v>4779</v>
      </c>
      <c r="E940" t="b">
        <v>0</v>
      </c>
      <c r="F940">
        <v>59</v>
      </c>
      <c r="G940">
        <v>105</v>
      </c>
      <c r="H940" t="s">
        <v>11</v>
      </c>
      <c r="I940" t="b">
        <v>0</v>
      </c>
      <c r="J940" cm="1">
        <f t="array" ref="J940">sentimentCalc(B940)</f>
        <v>0</v>
      </c>
      <c r="K940" t="str" cm="1">
        <f t="array" ref="K940">sentimentCategory(J940)</f>
        <v>Neutral</v>
      </c>
    </row>
    <row r="941" spans="1:11" ht="17" x14ac:dyDescent="0.2">
      <c r="A941" t="s">
        <v>706</v>
      </c>
      <c r="B941" s="1" t="s">
        <v>707</v>
      </c>
      <c r="C941" t="s">
        <v>708</v>
      </c>
      <c r="D941" s="1" t="s">
        <v>709</v>
      </c>
      <c r="E941" t="b">
        <v>0</v>
      </c>
      <c r="F941">
        <v>14</v>
      </c>
      <c r="G941">
        <v>138</v>
      </c>
      <c r="H941" t="s">
        <v>11</v>
      </c>
      <c r="I941" t="b">
        <v>0</v>
      </c>
      <c r="J941" cm="1">
        <f t="array" ref="J941">sentimentCalc(B941)</f>
        <v>-1</v>
      </c>
      <c r="K941" t="str" cm="1">
        <f t="array" ref="K941">sentimentCategory(J941)</f>
        <v>Negative</v>
      </c>
    </row>
    <row r="942" spans="1:11" ht="17" x14ac:dyDescent="0.2">
      <c r="A942" t="s">
        <v>6314</v>
      </c>
      <c r="B942" s="1" t="s">
        <v>6315</v>
      </c>
      <c r="C942" t="s">
        <v>6316</v>
      </c>
      <c r="D942" s="1" t="s">
        <v>6317</v>
      </c>
      <c r="E942" t="b">
        <v>0</v>
      </c>
      <c r="F942">
        <v>1610</v>
      </c>
      <c r="G942">
        <v>1967</v>
      </c>
      <c r="H942" t="s">
        <v>11</v>
      </c>
      <c r="I942" t="b">
        <v>0</v>
      </c>
      <c r="J942" cm="1">
        <f t="array" ref="J942">sentimentCalc(B942)</f>
        <v>-1</v>
      </c>
      <c r="K942" t="str" cm="1">
        <f t="array" ref="K942">sentimentCategory(J942)</f>
        <v>Negative</v>
      </c>
    </row>
    <row r="943" spans="1:11" ht="17" x14ac:dyDescent="0.2">
      <c r="A943" t="s">
        <v>1905</v>
      </c>
      <c r="B943" s="1" t="s">
        <v>1906</v>
      </c>
      <c r="C943" t="s">
        <v>1907</v>
      </c>
      <c r="D943" s="1" t="s">
        <v>1908</v>
      </c>
      <c r="E943" t="b">
        <v>0</v>
      </c>
      <c r="F943">
        <v>183</v>
      </c>
      <c r="G943">
        <v>153</v>
      </c>
      <c r="H943" t="s">
        <v>370</v>
      </c>
      <c r="I943" t="b">
        <v>0</v>
      </c>
      <c r="J943" cm="1">
        <f t="array" ref="J943">sentimentCalc(B943)</f>
        <v>0</v>
      </c>
      <c r="K943" t="str" cm="1">
        <f t="array" ref="K943">sentimentCategory(J943)</f>
        <v>Neutral</v>
      </c>
    </row>
    <row r="944" spans="1:11" ht="17" x14ac:dyDescent="0.2">
      <c r="A944" t="s">
        <v>3695</v>
      </c>
      <c r="B944" s="1" t="s">
        <v>3696</v>
      </c>
      <c r="C944" t="s">
        <v>3597</v>
      </c>
      <c r="D944" s="1" t="s">
        <v>3598</v>
      </c>
      <c r="E944" t="b">
        <v>0</v>
      </c>
      <c r="F944">
        <v>527</v>
      </c>
      <c r="G944">
        <v>274</v>
      </c>
      <c r="H944" t="s">
        <v>11</v>
      </c>
      <c r="I944" t="b">
        <v>0</v>
      </c>
      <c r="J944" cm="1">
        <f t="array" ref="J944">sentimentCalc(B944)</f>
        <v>0</v>
      </c>
      <c r="K944" t="str" cm="1">
        <f t="array" ref="K944">sentimentCategory(J944)</f>
        <v>Neutral</v>
      </c>
    </row>
    <row r="945" spans="1:11" ht="34" x14ac:dyDescent="0.2">
      <c r="A945" t="s">
        <v>993</v>
      </c>
      <c r="B945" s="1" t="s">
        <v>994</v>
      </c>
      <c r="C945" t="s">
        <v>995</v>
      </c>
      <c r="D945" s="1" t="s">
        <v>996</v>
      </c>
      <c r="E945" t="b">
        <v>0</v>
      </c>
      <c r="F945">
        <v>13055</v>
      </c>
      <c r="G945">
        <v>620</v>
      </c>
      <c r="H945" t="s">
        <v>11</v>
      </c>
      <c r="I945" t="b">
        <v>0</v>
      </c>
      <c r="J945" cm="1">
        <f t="array" ref="J945">sentimentCalc(B945)</f>
        <v>1</v>
      </c>
      <c r="K945" t="str" cm="1">
        <f t="array" ref="K945">sentimentCategory(J945)</f>
        <v>Positive</v>
      </c>
    </row>
    <row r="946" spans="1:11" ht="17" x14ac:dyDescent="0.2">
      <c r="A946" t="s">
        <v>3757</v>
      </c>
      <c r="B946" s="1" t="s">
        <v>3758</v>
      </c>
      <c r="C946" t="s">
        <v>181</v>
      </c>
      <c r="D946" s="1" t="s">
        <v>3759</v>
      </c>
      <c r="E946" t="b">
        <v>0</v>
      </c>
      <c r="F946">
        <v>810</v>
      </c>
      <c r="G946">
        <v>2979</v>
      </c>
      <c r="H946" t="s">
        <v>11</v>
      </c>
      <c r="I946" t="b">
        <v>0</v>
      </c>
      <c r="J946" cm="1">
        <f t="array" ref="J946">sentimentCalc(B946)</f>
        <v>0</v>
      </c>
      <c r="K946" t="str" cm="1">
        <f t="array" ref="K946">sentimentCategory(J946)</f>
        <v>Neutral</v>
      </c>
    </row>
    <row r="947" spans="1:11" ht="34" x14ac:dyDescent="0.2">
      <c r="A947" t="s">
        <v>5363</v>
      </c>
      <c r="B947" s="1" t="s">
        <v>5364</v>
      </c>
      <c r="C947" t="s">
        <v>2598</v>
      </c>
      <c r="D947" s="1" t="s">
        <v>701</v>
      </c>
      <c r="E947" t="b">
        <v>0</v>
      </c>
      <c r="F947">
        <v>4</v>
      </c>
      <c r="G947">
        <v>23</v>
      </c>
      <c r="H947" t="s">
        <v>11</v>
      </c>
      <c r="I947" t="b">
        <v>0</v>
      </c>
      <c r="J947" cm="1">
        <f t="array" ref="J947">sentimentCalc(B947)</f>
        <v>0</v>
      </c>
      <c r="K947" t="str" cm="1">
        <f t="array" ref="K947">sentimentCategory(J947)</f>
        <v>Neutral</v>
      </c>
    </row>
    <row r="948" spans="1:11" ht="17" x14ac:dyDescent="0.2">
      <c r="A948" t="s">
        <v>1682</v>
      </c>
      <c r="B948" s="1" t="s">
        <v>1683</v>
      </c>
      <c r="C948" t="s">
        <v>1684</v>
      </c>
      <c r="D948" s="1" t="s">
        <v>2</v>
      </c>
      <c r="E948" t="b">
        <v>0</v>
      </c>
      <c r="F948">
        <v>715</v>
      </c>
      <c r="G948">
        <v>557</v>
      </c>
      <c r="H948" t="s">
        <v>11</v>
      </c>
      <c r="I948" t="b">
        <v>0</v>
      </c>
      <c r="J948" cm="1">
        <f t="array" ref="J948">sentimentCalc(B948)</f>
        <v>0</v>
      </c>
      <c r="K948" t="str" cm="1">
        <f t="array" ref="K948">sentimentCategory(J948)</f>
        <v>Neutral</v>
      </c>
    </row>
    <row r="949" spans="1:11" ht="17" x14ac:dyDescent="0.2">
      <c r="A949" t="s">
        <v>1555</v>
      </c>
      <c r="B949" s="1" t="s">
        <v>1556</v>
      </c>
      <c r="C949" t="s">
        <v>1515</v>
      </c>
      <c r="D949" s="1" t="s">
        <v>2</v>
      </c>
      <c r="E949" t="b">
        <v>0</v>
      </c>
      <c r="F949">
        <v>0</v>
      </c>
      <c r="G949">
        <v>46</v>
      </c>
      <c r="H949" t="s">
        <v>11</v>
      </c>
      <c r="I949" t="b">
        <v>0</v>
      </c>
      <c r="J949" cm="1">
        <f t="array" ref="J949">sentimentCalc(B949)</f>
        <v>1</v>
      </c>
      <c r="K949" t="str" cm="1">
        <f t="array" ref="K949">sentimentCategory(J949)</f>
        <v>Positive</v>
      </c>
    </row>
    <row r="950" spans="1:11" ht="17" x14ac:dyDescent="0.2">
      <c r="A950" t="s">
        <v>5585</v>
      </c>
      <c r="B950" s="1" t="s">
        <v>5586</v>
      </c>
      <c r="C950" t="s">
        <v>442</v>
      </c>
      <c r="D950" s="1" t="s">
        <v>443</v>
      </c>
      <c r="E950" t="b">
        <v>0</v>
      </c>
      <c r="F950">
        <v>6124</v>
      </c>
      <c r="G950">
        <v>384</v>
      </c>
      <c r="H950" t="s">
        <v>11</v>
      </c>
      <c r="I950" t="b">
        <v>0</v>
      </c>
      <c r="J950" cm="1">
        <f t="array" ref="J950">sentimentCalc(B950)</f>
        <v>0</v>
      </c>
      <c r="K950" t="str" cm="1">
        <f t="array" ref="K950">sentimentCategory(J950)</f>
        <v>Neutral</v>
      </c>
    </row>
    <row r="951" spans="1:11" ht="17" x14ac:dyDescent="0.2">
      <c r="A951" t="s">
        <v>1132</v>
      </c>
      <c r="B951" s="1" t="s">
        <v>1133</v>
      </c>
      <c r="C951" t="s">
        <v>1134</v>
      </c>
      <c r="D951" s="1" t="s">
        <v>1135</v>
      </c>
      <c r="E951" t="b">
        <v>0</v>
      </c>
      <c r="F951">
        <v>451</v>
      </c>
      <c r="G951">
        <v>62</v>
      </c>
      <c r="H951" t="s">
        <v>11</v>
      </c>
      <c r="I951" t="b">
        <v>0</v>
      </c>
      <c r="J951" cm="1">
        <f t="array" ref="J951">sentimentCalc(B951)</f>
        <v>0</v>
      </c>
      <c r="K951" t="str" cm="1">
        <f t="array" ref="K951">sentimentCategory(J951)</f>
        <v>Neutral</v>
      </c>
    </row>
    <row r="952" spans="1:11" ht="17" x14ac:dyDescent="0.2">
      <c r="A952" t="s">
        <v>5875</v>
      </c>
      <c r="B952" s="1" t="s">
        <v>5876</v>
      </c>
      <c r="C952" t="s">
        <v>5877</v>
      </c>
      <c r="D952" s="1" t="s">
        <v>2</v>
      </c>
      <c r="E952" t="b">
        <v>0</v>
      </c>
      <c r="F952">
        <v>52</v>
      </c>
      <c r="G952">
        <v>114</v>
      </c>
      <c r="H952" t="s">
        <v>11</v>
      </c>
      <c r="I952" t="b">
        <v>0</v>
      </c>
      <c r="J952" cm="1">
        <f t="array" ref="J952">sentimentCalc(B952)</f>
        <v>0</v>
      </c>
      <c r="K952" t="str" cm="1">
        <f t="array" ref="K952">sentimentCategory(J952)</f>
        <v>Neutral</v>
      </c>
    </row>
    <row r="953" spans="1:11" ht="34" x14ac:dyDescent="0.2">
      <c r="A953" t="s">
        <v>2380</v>
      </c>
      <c r="B953" s="1" t="s">
        <v>2381</v>
      </c>
      <c r="C953" t="s">
        <v>2382</v>
      </c>
      <c r="D953" s="1" t="s">
        <v>2</v>
      </c>
      <c r="E953" t="b">
        <v>0</v>
      </c>
      <c r="F953">
        <v>51</v>
      </c>
      <c r="G953">
        <v>331</v>
      </c>
      <c r="H953" t="s">
        <v>11</v>
      </c>
      <c r="I953" t="b">
        <v>0</v>
      </c>
      <c r="J953" cm="1">
        <f t="array" ref="J953">sentimentCalc(B953)</f>
        <v>0</v>
      </c>
      <c r="K953" t="str" cm="1">
        <f t="array" ref="K953">sentimentCategory(J953)</f>
        <v>Neutral</v>
      </c>
    </row>
    <row r="954" spans="1:11" ht="34" x14ac:dyDescent="0.2">
      <c r="A954" t="s">
        <v>5406</v>
      </c>
      <c r="B954" s="1" t="s">
        <v>5407</v>
      </c>
      <c r="C954" t="s">
        <v>5408</v>
      </c>
      <c r="D954" s="1" t="s">
        <v>5409</v>
      </c>
      <c r="E954" t="b">
        <v>0</v>
      </c>
      <c r="F954">
        <v>6248</v>
      </c>
      <c r="G954">
        <v>516</v>
      </c>
      <c r="H954" t="s">
        <v>11</v>
      </c>
      <c r="I954" t="b">
        <v>0</v>
      </c>
      <c r="J954" cm="1">
        <f t="array" ref="J954">sentimentCalc(B954)</f>
        <v>0</v>
      </c>
      <c r="K954" t="str" cm="1">
        <f t="array" ref="K954">sentimentCategory(J954)</f>
        <v>Neutral</v>
      </c>
    </row>
    <row r="955" spans="1:11" ht="17" x14ac:dyDescent="0.2">
      <c r="A955" t="s">
        <v>5757</v>
      </c>
      <c r="B955" s="1" t="s">
        <v>5758</v>
      </c>
      <c r="C955" t="s">
        <v>1058</v>
      </c>
      <c r="D955" s="1" t="s">
        <v>2</v>
      </c>
      <c r="E955" t="b">
        <v>0</v>
      </c>
      <c r="F955">
        <v>2515</v>
      </c>
      <c r="G955">
        <v>3016</v>
      </c>
      <c r="H955" t="s">
        <v>31</v>
      </c>
      <c r="I955" t="b">
        <v>0</v>
      </c>
      <c r="J955" cm="1">
        <f t="array" ref="J955">sentimentCalc(B955)</f>
        <v>-1</v>
      </c>
      <c r="K955" t="str" cm="1">
        <f t="array" ref="K955">sentimentCategory(J955)</f>
        <v>Negative</v>
      </c>
    </row>
    <row r="956" spans="1:11" ht="17" x14ac:dyDescent="0.2">
      <c r="A956" t="s">
        <v>5208</v>
      </c>
      <c r="B956" s="1" t="s">
        <v>5209</v>
      </c>
      <c r="C956" t="s">
        <v>5210</v>
      </c>
      <c r="D956" s="1" t="s">
        <v>2</v>
      </c>
      <c r="E956" t="b">
        <v>0</v>
      </c>
      <c r="F956">
        <v>38</v>
      </c>
      <c r="G956">
        <v>282</v>
      </c>
      <c r="H956" t="s">
        <v>11</v>
      </c>
      <c r="I956" t="b">
        <v>0</v>
      </c>
      <c r="J956" cm="1">
        <f t="array" ref="J956">sentimentCalc(B956)</f>
        <v>-1</v>
      </c>
      <c r="K956" t="str" cm="1">
        <f t="array" ref="K956">sentimentCategory(J956)</f>
        <v>Negative</v>
      </c>
    </row>
    <row r="957" spans="1:11" ht="34" x14ac:dyDescent="0.2">
      <c r="A957" t="s">
        <v>3674</v>
      </c>
      <c r="B957" s="1" t="s">
        <v>3675</v>
      </c>
      <c r="C957" t="s">
        <v>2255</v>
      </c>
      <c r="D957" s="1" t="s">
        <v>212</v>
      </c>
      <c r="E957" t="b">
        <v>0</v>
      </c>
      <c r="F957">
        <v>153</v>
      </c>
      <c r="G957">
        <v>151</v>
      </c>
      <c r="H957" t="s">
        <v>11</v>
      </c>
      <c r="I957" t="b">
        <v>0</v>
      </c>
      <c r="J957" cm="1">
        <f t="array" ref="J957">sentimentCalc(B957)</f>
        <v>1</v>
      </c>
      <c r="K957" t="str" cm="1">
        <f t="array" ref="K957">sentimentCategory(J957)</f>
        <v>Positive</v>
      </c>
    </row>
    <row r="958" spans="1:11" ht="17" x14ac:dyDescent="0.2">
      <c r="A958" t="s">
        <v>3986</v>
      </c>
      <c r="B958" s="1" t="s">
        <v>3987</v>
      </c>
      <c r="C958" t="s">
        <v>211</v>
      </c>
      <c r="D958" s="1" t="s">
        <v>2</v>
      </c>
      <c r="E958" t="b">
        <v>0</v>
      </c>
      <c r="F958">
        <v>99</v>
      </c>
      <c r="G958">
        <v>228</v>
      </c>
      <c r="H958" t="s">
        <v>11</v>
      </c>
      <c r="I958" t="b">
        <v>0</v>
      </c>
      <c r="J958" cm="1">
        <f t="array" ref="J958">sentimentCalc(B958)</f>
        <v>0</v>
      </c>
      <c r="K958" t="str" cm="1">
        <f t="array" ref="K958">sentimentCategory(J958)</f>
        <v>Neutral</v>
      </c>
    </row>
    <row r="959" spans="1:11" ht="17" x14ac:dyDescent="0.2">
      <c r="A959" t="s">
        <v>2260</v>
      </c>
      <c r="B959" s="1" t="s">
        <v>2261</v>
      </c>
      <c r="C959" t="s">
        <v>275</v>
      </c>
      <c r="D959" s="1" t="s">
        <v>565</v>
      </c>
      <c r="E959" t="b">
        <v>0</v>
      </c>
      <c r="F959">
        <v>299</v>
      </c>
      <c r="G959">
        <v>310</v>
      </c>
      <c r="H959" t="s">
        <v>11</v>
      </c>
      <c r="I959" t="b">
        <v>0</v>
      </c>
      <c r="J959" cm="1">
        <f t="array" ref="J959">sentimentCalc(B959)</f>
        <v>0</v>
      </c>
      <c r="K959" t="str" cm="1">
        <f t="array" ref="K959">sentimentCategory(J959)</f>
        <v>Neutral</v>
      </c>
    </row>
    <row r="960" spans="1:11" ht="34" x14ac:dyDescent="0.2">
      <c r="A960" t="s">
        <v>7237</v>
      </c>
      <c r="B960" s="1" t="s">
        <v>7238</v>
      </c>
      <c r="C960" t="s">
        <v>2458</v>
      </c>
      <c r="D960" s="1" t="s">
        <v>7239</v>
      </c>
      <c r="E960" t="b">
        <v>0</v>
      </c>
      <c r="F960">
        <v>671</v>
      </c>
      <c r="G960">
        <v>622</v>
      </c>
      <c r="H960" t="s">
        <v>11</v>
      </c>
      <c r="I960" t="b">
        <v>0</v>
      </c>
      <c r="J960" cm="1">
        <f t="array" ref="J960">sentimentCalc(B960)</f>
        <v>0</v>
      </c>
      <c r="K960" t="str" cm="1">
        <f t="array" ref="K960">sentimentCategory(J960)</f>
        <v>Neutral</v>
      </c>
    </row>
    <row r="961" spans="1:11" ht="17" x14ac:dyDescent="0.2">
      <c r="A961" t="s">
        <v>4896</v>
      </c>
      <c r="B961" s="1" t="s">
        <v>4897</v>
      </c>
      <c r="C961" t="s">
        <v>4898</v>
      </c>
      <c r="D961" s="1" t="s">
        <v>4899</v>
      </c>
      <c r="E961" t="b">
        <v>0</v>
      </c>
      <c r="F961">
        <v>43</v>
      </c>
      <c r="G961">
        <v>359</v>
      </c>
      <c r="H961" t="s">
        <v>11</v>
      </c>
      <c r="I961" t="b">
        <v>0</v>
      </c>
      <c r="J961" cm="1">
        <f t="array" ref="J961">sentimentCalc(B961)</f>
        <v>1</v>
      </c>
      <c r="K961" t="str" cm="1">
        <f t="array" ref="K961">sentimentCategory(J961)</f>
        <v>Positive</v>
      </c>
    </row>
    <row r="962" spans="1:11" ht="34" x14ac:dyDescent="0.2">
      <c r="A962" t="s">
        <v>3174</v>
      </c>
      <c r="B962" s="1" t="s">
        <v>3175</v>
      </c>
      <c r="C962" t="s">
        <v>222</v>
      </c>
      <c r="D962" s="1" t="s">
        <v>223</v>
      </c>
      <c r="E962" t="b">
        <v>0</v>
      </c>
      <c r="F962">
        <v>9225</v>
      </c>
      <c r="G962">
        <v>7170</v>
      </c>
      <c r="H962" t="s">
        <v>11</v>
      </c>
      <c r="I962" t="b">
        <v>0</v>
      </c>
      <c r="J962" cm="1">
        <f t="array" ref="J962">sentimentCalc(B962)</f>
        <v>0</v>
      </c>
      <c r="K962" t="str" cm="1">
        <f t="array" ref="K962">sentimentCategory(J962)</f>
        <v>Neutral</v>
      </c>
    </row>
    <row r="963" spans="1:11" ht="34" x14ac:dyDescent="0.2">
      <c r="A963" t="s">
        <v>6434</v>
      </c>
      <c r="B963" s="1" t="s">
        <v>6435</v>
      </c>
      <c r="C963" t="s">
        <v>2687</v>
      </c>
      <c r="D963" s="1" t="s">
        <v>2688</v>
      </c>
      <c r="E963" t="b">
        <v>0</v>
      </c>
      <c r="F963">
        <v>234</v>
      </c>
      <c r="G963">
        <v>1003</v>
      </c>
      <c r="H963" t="s">
        <v>11</v>
      </c>
      <c r="I963" t="b">
        <v>0</v>
      </c>
      <c r="J963" cm="1">
        <f t="array" ref="J963">sentimentCalc(B963)</f>
        <v>0</v>
      </c>
      <c r="K963" t="str" cm="1">
        <f t="array" ref="K963">sentimentCategory(J963)</f>
        <v>Neutral</v>
      </c>
    </row>
    <row r="964" spans="1:11" ht="34" x14ac:dyDescent="0.2">
      <c r="A964" t="s">
        <v>4121</v>
      </c>
      <c r="B964" s="1" t="s">
        <v>4122</v>
      </c>
      <c r="C964" t="s">
        <v>1684</v>
      </c>
      <c r="D964" s="1" t="s">
        <v>1960</v>
      </c>
      <c r="E964" t="b">
        <v>0</v>
      </c>
      <c r="F964">
        <v>7601</v>
      </c>
      <c r="G964">
        <v>397</v>
      </c>
      <c r="H964" t="s">
        <v>11</v>
      </c>
      <c r="I964" t="b">
        <v>0</v>
      </c>
      <c r="J964" cm="1">
        <f t="array" ref="J964">sentimentCalc(B964)</f>
        <v>0</v>
      </c>
      <c r="K964" t="str" cm="1">
        <f t="array" ref="K964">sentimentCategory(J964)</f>
        <v>Neutral</v>
      </c>
    </row>
    <row r="965" spans="1:11" ht="17" x14ac:dyDescent="0.2">
      <c r="A965" t="s">
        <v>4482</v>
      </c>
      <c r="B965" s="1" t="s">
        <v>4483</v>
      </c>
      <c r="C965" t="s">
        <v>4484</v>
      </c>
      <c r="D965" s="1" t="s">
        <v>4469</v>
      </c>
      <c r="E965" t="b">
        <v>0</v>
      </c>
      <c r="F965">
        <v>74</v>
      </c>
      <c r="G965">
        <v>987</v>
      </c>
      <c r="H965" t="s">
        <v>11</v>
      </c>
      <c r="I965" t="b">
        <v>0</v>
      </c>
      <c r="J965" cm="1">
        <f t="array" ref="J965">sentimentCalc(B965)</f>
        <v>0</v>
      </c>
      <c r="K965" t="str" cm="1">
        <f t="array" ref="K965">sentimentCategory(J965)</f>
        <v>Neutral</v>
      </c>
    </row>
    <row r="966" spans="1:11" ht="34" x14ac:dyDescent="0.2">
      <c r="A966" t="s">
        <v>6479</v>
      </c>
      <c r="B966" s="1" t="s">
        <v>6480</v>
      </c>
      <c r="C966" t="s">
        <v>1263</v>
      </c>
      <c r="D966" s="1" t="s">
        <v>6481</v>
      </c>
      <c r="E966" t="b">
        <v>0</v>
      </c>
      <c r="F966">
        <v>469</v>
      </c>
      <c r="G966">
        <v>17</v>
      </c>
      <c r="H966" t="s">
        <v>11</v>
      </c>
      <c r="I966" t="b">
        <v>0</v>
      </c>
      <c r="J966" cm="1">
        <f t="array" ref="J966">sentimentCalc(B966)</f>
        <v>0</v>
      </c>
      <c r="K966" t="str" cm="1">
        <f t="array" ref="K966">sentimentCategory(J966)</f>
        <v>Neutral</v>
      </c>
    </row>
    <row r="967" spans="1:11" ht="34" x14ac:dyDescent="0.2">
      <c r="A967" t="s">
        <v>3259</v>
      </c>
      <c r="B967" s="1" t="s">
        <v>3260</v>
      </c>
      <c r="C967" t="s">
        <v>3261</v>
      </c>
      <c r="D967" s="1" t="s">
        <v>3262</v>
      </c>
      <c r="E967" t="b">
        <v>0</v>
      </c>
      <c r="F967">
        <v>476</v>
      </c>
      <c r="G967">
        <v>470</v>
      </c>
      <c r="H967" t="s">
        <v>11</v>
      </c>
      <c r="I967" t="b">
        <v>0</v>
      </c>
      <c r="J967" cm="1">
        <f t="array" ref="J967">sentimentCalc(B967)</f>
        <v>1</v>
      </c>
      <c r="K967" t="str" cm="1">
        <f t="array" ref="K967">sentimentCategory(J967)</f>
        <v>Positive</v>
      </c>
    </row>
    <row r="968" spans="1:11" ht="17" x14ac:dyDescent="0.2">
      <c r="A968" t="s">
        <v>7164</v>
      </c>
      <c r="B968" s="1" t="s">
        <v>7165</v>
      </c>
      <c r="C968" t="s">
        <v>1902</v>
      </c>
      <c r="D968" s="1" t="s">
        <v>61</v>
      </c>
      <c r="E968" t="b">
        <v>0</v>
      </c>
      <c r="F968">
        <v>253</v>
      </c>
      <c r="G968">
        <v>43</v>
      </c>
      <c r="H968" t="s">
        <v>11</v>
      </c>
      <c r="I968" t="b">
        <v>0</v>
      </c>
      <c r="J968" cm="1">
        <f t="array" ref="J968">sentimentCalc(B968)</f>
        <v>0</v>
      </c>
      <c r="K968" t="str" cm="1">
        <f t="array" ref="K968">sentimentCategory(J968)</f>
        <v>Neutral</v>
      </c>
    </row>
    <row r="969" spans="1:11" ht="17" x14ac:dyDescent="0.2">
      <c r="A969" t="s">
        <v>4826</v>
      </c>
      <c r="B969" s="1" t="s">
        <v>4827</v>
      </c>
      <c r="C969" t="s">
        <v>79</v>
      </c>
      <c r="D969" s="1" t="s">
        <v>4773</v>
      </c>
      <c r="E969" t="b">
        <v>1</v>
      </c>
      <c r="F969">
        <v>33554</v>
      </c>
      <c r="G969">
        <v>84</v>
      </c>
      <c r="H969" t="s">
        <v>11</v>
      </c>
      <c r="I969" t="b">
        <v>0</v>
      </c>
      <c r="J969" cm="1">
        <f t="array" ref="J969">sentimentCalc(B969)</f>
        <v>0</v>
      </c>
      <c r="K969" t="str" cm="1">
        <f t="array" ref="K969">sentimentCategory(J969)</f>
        <v>Neutral</v>
      </c>
    </row>
    <row r="970" spans="1:11" ht="17" x14ac:dyDescent="0.2">
      <c r="A970" t="s">
        <v>4682</v>
      </c>
      <c r="B970" s="1" t="s">
        <v>4683</v>
      </c>
      <c r="C970" t="s">
        <v>4655</v>
      </c>
      <c r="D970" s="1" t="s">
        <v>4656</v>
      </c>
      <c r="E970" t="b">
        <v>0</v>
      </c>
      <c r="F970">
        <v>5169</v>
      </c>
      <c r="G970">
        <v>2709</v>
      </c>
      <c r="H970" t="s">
        <v>11</v>
      </c>
      <c r="I970" t="b">
        <v>0</v>
      </c>
      <c r="J970" cm="1">
        <f t="array" ref="J970">sentimentCalc(B970)</f>
        <v>0</v>
      </c>
      <c r="K970" t="str" cm="1">
        <f t="array" ref="K970">sentimentCategory(J970)</f>
        <v>Neutral</v>
      </c>
    </row>
    <row r="971" spans="1:11" ht="17" x14ac:dyDescent="0.2">
      <c r="A971" t="s">
        <v>2136</v>
      </c>
      <c r="B971" s="1" t="s">
        <v>2137</v>
      </c>
      <c r="C971" t="s">
        <v>1112</v>
      </c>
      <c r="D971" s="1" t="s">
        <v>2013</v>
      </c>
      <c r="E971" t="b">
        <v>0</v>
      </c>
      <c r="F971">
        <v>1605</v>
      </c>
      <c r="G971">
        <v>288</v>
      </c>
      <c r="H971" t="s">
        <v>11</v>
      </c>
      <c r="I971" t="b">
        <v>0</v>
      </c>
      <c r="J971" cm="1">
        <f t="array" ref="J971">sentimentCalc(B971)</f>
        <v>0</v>
      </c>
      <c r="K971" t="str" cm="1">
        <f t="array" ref="K971">sentimentCategory(J971)</f>
        <v>Neutral</v>
      </c>
    </row>
    <row r="972" spans="1:11" ht="34" x14ac:dyDescent="0.2">
      <c r="A972" t="s">
        <v>6118</v>
      </c>
      <c r="B972" s="1" t="s">
        <v>6119</v>
      </c>
      <c r="C972" t="s">
        <v>3604</v>
      </c>
      <c r="D972" s="1" t="s">
        <v>2</v>
      </c>
      <c r="E972" t="b">
        <v>0</v>
      </c>
      <c r="F972">
        <v>0</v>
      </c>
      <c r="G972">
        <v>45</v>
      </c>
      <c r="H972" t="s">
        <v>1688</v>
      </c>
      <c r="I972" t="b">
        <v>0</v>
      </c>
      <c r="J972" cm="1">
        <f t="array" ref="J972">sentimentCalc(B972)</f>
        <v>0</v>
      </c>
      <c r="K972" t="str" cm="1">
        <f t="array" ref="K972">sentimentCategory(J972)</f>
        <v>Neutral</v>
      </c>
    </row>
    <row r="973" spans="1:11" ht="34" x14ac:dyDescent="0.2">
      <c r="A973" t="s">
        <v>3962</v>
      </c>
      <c r="B973" s="1" t="s">
        <v>3963</v>
      </c>
      <c r="C973" t="s">
        <v>3964</v>
      </c>
      <c r="D973" s="1" t="s">
        <v>109</v>
      </c>
      <c r="E973" t="b">
        <v>0</v>
      </c>
      <c r="F973">
        <v>71</v>
      </c>
      <c r="G973">
        <v>179</v>
      </c>
      <c r="H973" t="s">
        <v>11</v>
      </c>
      <c r="I973" t="b">
        <v>0</v>
      </c>
      <c r="J973" cm="1">
        <f t="array" ref="J973">sentimentCalc(B973)</f>
        <v>0</v>
      </c>
      <c r="K973" t="str" cm="1">
        <f t="array" ref="K973">sentimentCategory(J973)</f>
        <v>Neutral</v>
      </c>
    </row>
    <row r="974" spans="1:11" ht="17" x14ac:dyDescent="0.2">
      <c r="A974" t="s">
        <v>3808</v>
      </c>
      <c r="B974" s="1" t="s">
        <v>3809</v>
      </c>
      <c r="C974" t="s">
        <v>3200</v>
      </c>
      <c r="D974" s="1" t="s">
        <v>3810</v>
      </c>
      <c r="E974" t="b">
        <v>0</v>
      </c>
      <c r="F974">
        <v>587</v>
      </c>
      <c r="G974">
        <v>128</v>
      </c>
      <c r="H974" t="s">
        <v>11</v>
      </c>
      <c r="I974" t="b">
        <v>0</v>
      </c>
      <c r="J974" cm="1">
        <f t="array" ref="J974">sentimentCalc(B974)</f>
        <v>-1</v>
      </c>
      <c r="K974" t="str" cm="1">
        <f t="array" ref="K974">sentimentCategory(J974)</f>
        <v>Negative</v>
      </c>
    </row>
    <row r="975" spans="1:11" ht="17" x14ac:dyDescent="0.2">
      <c r="A975" t="s">
        <v>4219</v>
      </c>
      <c r="B975" s="1" t="s">
        <v>4220</v>
      </c>
      <c r="C975" t="s">
        <v>3560</v>
      </c>
      <c r="D975" s="1" t="s">
        <v>4221</v>
      </c>
      <c r="E975" t="b">
        <v>0</v>
      </c>
      <c r="F975">
        <v>218</v>
      </c>
      <c r="G975">
        <v>149</v>
      </c>
      <c r="H975" t="s">
        <v>11</v>
      </c>
      <c r="I975" t="b">
        <v>0</v>
      </c>
      <c r="J975" cm="1">
        <f t="array" ref="J975">sentimentCalc(B975)</f>
        <v>0</v>
      </c>
      <c r="K975" t="str" cm="1">
        <f t="array" ref="K975">sentimentCategory(J975)</f>
        <v>Neutral</v>
      </c>
    </row>
    <row r="976" spans="1:11" ht="17" x14ac:dyDescent="0.2">
      <c r="A976" t="s">
        <v>1315</v>
      </c>
      <c r="B976" s="1" t="s">
        <v>1316</v>
      </c>
      <c r="C976" t="s">
        <v>1317</v>
      </c>
      <c r="D976" s="1" t="s">
        <v>659</v>
      </c>
      <c r="E976" t="b">
        <v>0</v>
      </c>
      <c r="F976">
        <v>34</v>
      </c>
      <c r="G976">
        <v>279</v>
      </c>
      <c r="H976" t="s">
        <v>11</v>
      </c>
      <c r="I976" t="b">
        <v>0</v>
      </c>
      <c r="J976" cm="1">
        <f t="array" ref="J976">sentimentCalc(B976)</f>
        <v>0</v>
      </c>
      <c r="K976" t="str" cm="1">
        <f t="array" ref="K976">sentimentCategory(J976)</f>
        <v>Neutral</v>
      </c>
    </row>
    <row r="977" spans="1:11" ht="17" x14ac:dyDescent="0.2">
      <c r="A977" t="s">
        <v>6326</v>
      </c>
      <c r="B977" s="1" t="s">
        <v>6327</v>
      </c>
      <c r="C977" t="s">
        <v>814</v>
      </c>
      <c r="D977" s="1" t="s">
        <v>5005</v>
      </c>
      <c r="E977" t="b">
        <v>0</v>
      </c>
      <c r="F977">
        <v>2</v>
      </c>
      <c r="G977">
        <v>2</v>
      </c>
      <c r="H977" t="s">
        <v>11</v>
      </c>
      <c r="I977" t="b">
        <v>0</v>
      </c>
      <c r="J977" cm="1">
        <f t="array" ref="J977">sentimentCalc(B977)</f>
        <v>1</v>
      </c>
      <c r="K977" t="str" cm="1">
        <f t="array" ref="K977">sentimentCategory(J977)</f>
        <v>Positive</v>
      </c>
    </row>
    <row r="978" spans="1:11" ht="17" x14ac:dyDescent="0.2">
      <c r="A978" t="s">
        <v>343</v>
      </c>
      <c r="B978" s="1" t="s">
        <v>344</v>
      </c>
      <c r="C978" t="s">
        <v>345</v>
      </c>
      <c r="D978" s="1" t="s">
        <v>346</v>
      </c>
      <c r="E978" t="b">
        <v>0</v>
      </c>
      <c r="F978">
        <v>26</v>
      </c>
      <c r="G978">
        <v>144</v>
      </c>
      <c r="H978" t="s">
        <v>11</v>
      </c>
      <c r="I978" t="b">
        <v>0</v>
      </c>
      <c r="J978" cm="1">
        <f t="array" ref="J978">sentimentCalc(B978)</f>
        <v>0</v>
      </c>
      <c r="K978" t="str" cm="1">
        <f t="array" ref="K978">sentimentCategory(J978)</f>
        <v>Neutral</v>
      </c>
    </row>
    <row r="979" spans="1:11" ht="17" x14ac:dyDescent="0.2">
      <c r="A979" t="s">
        <v>5476</v>
      </c>
      <c r="B979" s="1" t="s">
        <v>5477</v>
      </c>
      <c r="C979" t="s">
        <v>5434</v>
      </c>
      <c r="D979" s="1" t="s">
        <v>2</v>
      </c>
      <c r="E979" t="b">
        <v>0</v>
      </c>
      <c r="F979">
        <v>147</v>
      </c>
      <c r="G979">
        <v>231</v>
      </c>
      <c r="H979" t="s">
        <v>11</v>
      </c>
      <c r="I979" t="b">
        <v>0</v>
      </c>
      <c r="J979" cm="1">
        <f t="array" ref="J979">sentimentCalc(B979)</f>
        <v>0</v>
      </c>
      <c r="K979" t="str" cm="1">
        <f t="array" ref="K979">sentimentCategory(J979)</f>
        <v>Neutral</v>
      </c>
    </row>
    <row r="980" spans="1:11" ht="17" x14ac:dyDescent="0.2">
      <c r="A980" t="s">
        <v>5113</v>
      </c>
      <c r="B980" s="1" t="s">
        <v>5114</v>
      </c>
      <c r="C980" t="s">
        <v>782</v>
      </c>
      <c r="D980" s="1" t="s">
        <v>1348</v>
      </c>
      <c r="E980" t="b">
        <v>0</v>
      </c>
      <c r="F980">
        <v>4</v>
      </c>
      <c r="G980">
        <v>14</v>
      </c>
      <c r="H980" t="s">
        <v>11</v>
      </c>
      <c r="I980" t="b">
        <v>0</v>
      </c>
      <c r="J980" cm="1">
        <f t="array" ref="J980">sentimentCalc(B980)</f>
        <v>0</v>
      </c>
      <c r="K980" t="str" cm="1">
        <f t="array" ref="K980">sentimentCategory(J980)</f>
        <v>Neutral</v>
      </c>
    </row>
    <row r="981" spans="1:11" ht="17" x14ac:dyDescent="0.2">
      <c r="A981" t="s">
        <v>3019</v>
      </c>
      <c r="B981" s="1" t="s">
        <v>3020</v>
      </c>
      <c r="C981" t="s">
        <v>3021</v>
      </c>
      <c r="D981" s="1" t="s">
        <v>3022</v>
      </c>
      <c r="E981" t="b">
        <v>0</v>
      </c>
      <c r="F981">
        <v>650</v>
      </c>
      <c r="G981">
        <v>676</v>
      </c>
      <c r="H981" t="s">
        <v>11</v>
      </c>
      <c r="I981" t="b">
        <v>0</v>
      </c>
      <c r="J981" cm="1">
        <f t="array" ref="J981">sentimentCalc(B981)</f>
        <v>0</v>
      </c>
      <c r="K981" t="str" cm="1">
        <f t="array" ref="K981">sentimentCategory(J981)</f>
        <v>Neutral</v>
      </c>
    </row>
    <row r="982" spans="1:11" ht="17" x14ac:dyDescent="0.2">
      <c r="A982" t="s">
        <v>5340</v>
      </c>
      <c r="B982" s="1" t="s">
        <v>5341</v>
      </c>
      <c r="C982" t="s">
        <v>1324</v>
      </c>
      <c r="D982" s="1" t="s">
        <v>2</v>
      </c>
      <c r="E982" t="b">
        <v>0</v>
      </c>
      <c r="F982">
        <v>6</v>
      </c>
      <c r="G982">
        <v>51</v>
      </c>
      <c r="H982" t="s">
        <v>11</v>
      </c>
      <c r="I982" t="b">
        <v>0</v>
      </c>
      <c r="J982" cm="1">
        <f t="array" ref="J982">sentimentCalc(B982)</f>
        <v>0</v>
      </c>
      <c r="K982" t="str" cm="1">
        <f t="array" ref="K982">sentimentCategory(J982)</f>
        <v>Neutral</v>
      </c>
    </row>
    <row r="983" spans="1:11" ht="34" x14ac:dyDescent="0.2">
      <c r="A983" t="s">
        <v>7148</v>
      </c>
      <c r="B983" s="1" t="s">
        <v>7149</v>
      </c>
      <c r="C983" t="s">
        <v>387</v>
      </c>
      <c r="D983" s="1" t="s">
        <v>7150</v>
      </c>
      <c r="E983" t="b">
        <v>0</v>
      </c>
      <c r="F983">
        <v>672</v>
      </c>
      <c r="G983">
        <v>479</v>
      </c>
      <c r="H983" t="s">
        <v>11</v>
      </c>
      <c r="I983" t="b">
        <v>0</v>
      </c>
      <c r="J983" cm="1">
        <f t="array" ref="J983">sentimentCalc(B983)</f>
        <v>-1</v>
      </c>
      <c r="K983" t="str" cm="1">
        <f t="array" ref="K983">sentimentCategory(J983)</f>
        <v>Negative</v>
      </c>
    </row>
    <row r="984" spans="1:11" ht="17" x14ac:dyDescent="0.2">
      <c r="A984" t="s">
        <v>6281</v>
      </c>
      <c r="B984" s="1" t="s">
        <v>6282</v>
      </c>
      <c r="C984" t="s">
        <v>1134</v>
      </c>
      <c r="D984" s="1" t="s">
        <v>2</v>
      </c>
      <c r="E984" t="b">
        <v>0</v>
      </c>
      <c r="F984">
        <v>46</v>
      </c>
      <c r="G984">
        <v>48</v>
      </c>
      <c r="H984" t="s">
        <v>11</v>
      </c>
      <c r="I984" t="b">
        <v>0</v>
      </c>
      <c r="J984" cm="1">
        <f t="array" ref="J984">sentimentCalc(B984)</f>
        <v>0</v>
      </c>
      <c r="K984" t="str" cm="1">
        <f t="array" ref="K984">sentimentCategory(J984)</f>
        <v>Neutral</v>
      </c>
    </row>
    <row r="985" spans="1:11" ht="34" x14ac:dyDescent="0.2">
      <c r="A985" t="s">
        <v>1063</v>
      </c>
      <c r="B985" s="1" t="s">
        <v>1064</v>
      </c>
      <c r="C985" t="s">
        <v>1065</v>
      </c>
      <c r="D985" s="1" t="s">
        <v>1062</v>
      </c>
      <c r="E985" t="b">
        <v>0</v>
      </c>
      <c r="F985">
        <v>130</v>
      </c>
      <c r="G985">
        <v>239</v>
      </c>
      <c r="H985" t="s">
        <v>11</v>
      </c>
      <c r="I985" t="b">
        <v>0</v>
      </c>
      <c r="J985" cm="1">
        <f t="array" ref="J985">sentimentCalc(B985)</f>
        <v>0</v>
      </c>
      <c r="K985" t="str" cm="1">
        <f t="array" ref="K985">sentimentCategory(J985)</f>
        <v>Neutral</v>
      </c>
    </row>
    <row r="986" spans="1:11" ht="17" x14ac:dyDescent="0.2">
      <c r="A986" t="s">
        <v>7053</v>
      </c>
      <c r="B986" s="1" t="s">
        <v>7054</v>
      </c>
      <c r="C986" t="s">
        <v>161</v>
      </c>
      <c r="D986" s="1" t="s">
        <v>572</v>
      </c>
      <c r="E986" t="b">
        <v>0</v>
      </c>
      <c r="F986">
        <v>168</v>
      </c>
      <c r="G986">
        <v>115</v>
      </c>
      <c r="H986" t="s">
        <v>11</v>
      </c>
      <c r="I986" t="b">
        <v>0</v>
      </c>
      <c r="J986" cm="1">
        <f t="array" ref="J986">sentimentCalc(B986)</f>
        <v>0</v>
      </c>
      <c r="K986" t="str" cm="1">
        <f t="array" ref="K986">sentimentCategory(J986)</f>
        <v>Neutral</v>
      </c>
    </row>
    <row r="987" spans="1:11" ht="17" x14ac:dyDescent="0.2">
      <c r="A987" t="s">
        <v>570</v>
      </c>
      <c r="B987" s="1" t="s">
        <v>571</v>
      </c>
      <c r="C987" t="s">
        <v>161</v>
      </c>
      <c r="D987" s="1" t="s">
        <v>572</v>
      </c>
      <c r="E987" t="b">
        <v>0</v>
      </c>
      <c r="F987">
        <v>168</v>
      </c>
      <c r="G987">
        <v>115</v>
      </c>
      <c r="H987" t="s">
        <v>11</v>
      </c>
      <c r="I987" t="b">
        <v>0</v>
      </c>
      <c r="J987" cm="1">
        <f t="array" ref="J987">sentimentCalc(B987)</f>
        <v>0</v>
      </c>
      <c r="K987" t="str" cm="1">
        <f t="array" ref="K987">sentimentCategory(J987)</f>
        <v>Neutral</v>
      </c>
    </row>
    <row r="988" spans="1:11" ht="17" x14ac:dyDescent="0.2">
      <c r="A988" t="s">
        <v>1185</v>
      </c>
      <c r="B988" s="1" t="s">
        <v>1186</v>
      </c>
      <c r="C988" t="s">
        <v>161</v>
      </c>
      <c r="D988" s="1" t="s">
        <v>572</v>
      </c>
      <c r="E988" t="b">
        <v>0</v>
      </c>
      <c r="F988">
        <v>168</v>
      </c>
      <c r="G988">
        <v>115</v>
      </c>
      <c r="H988" t="s">
        <v>11</v>
      </c>
      <c r="I988" t="b">
        <v>0</v>
      </c>
      <c r="J988" cm="1">
        <f t="array" ref="J988">sentimentCalc(B988)</f>
        <v>0</v>
      </c>
      <c r="K988" t="str" cm="1">
        <f t="array" ref="K988">sentimentCategory(J988)</f>
        <v>Neutral</v>
      </c>
    </row>
    <row r="989" spans="1:11" ht="17" x14ac:dyDescent="0.2">
      <c r="A989" t="s">
        <v>1918</v>
      </c>
      <c r="B989" s="1" t="s">
        <v>1919</v>
      </c>
      <c r="C989" t="s">
        <v>161</v>
      </c>
      <c r="D989" s="1" t="s">
        <v>572</v>
      </c>
      <c r="E989" t="b">
        <v>0</v>
      </c>
      <c r="F989">
        <v>168</v>
      </c>
      <c r="G989">
        <v>115</v>
      </c>
      <c r="H989" t="s">
        <v>11</v>
      </c>
      <c r="I989" t="b">
        <v>0</v>
      </c>
      <c r="J989" cm="1">
        <f t="array" ref="J989">sentimentCalc(B989)</f>
        <v>0</v>
      </c>
      <c r="K989" t="str" cm="1">
        <f t="array" ref="K989">sentimentCategory(J989)</f>
        <v>Neutral</v>
      </c>
    </row>
    <row r="990" spans="1:11" ht="17" x14ac:dyDescent="0.2">
      <c r="A990" t="s">
        <v>2671</v>
      </c>
      <c r="B990" s="1" t="s">
        <v>2672</v>
      </c>
      <c r="C990" t="s">
        <v>161</v>
      </c>
      <c r="D990" s="1" t="s">
        <v>572</v>
      </c>
      <c r="E990" t="b">
        <v>0</v>
      </c>
      <c r="F990">
        <v>168</v>
      </c>
      <c r="G990">
        <v>115</v>
      </c>
      <c r="H990" t="s">
        <v>11</v>
      </c>
      <c r="I990" t="b">
        <v>0</v>
      </c>
      <c r="J990" cm="1">
        <f t="array" ref="J990">sentimentCalc(B990)</f>
        <v>0</v>
      </c>
      <c r="K990" t="str" cm="1">
        <f t="array" ref="K990">sentimentCategory(J990)</f>
        <v>Neutral</v>
      </c>
    </row>
    <row r="991" spans="1:11" ht="17" x14ac:dyDescent="0.2">
      <c r="A991" t="s">
        <v>3500</v>
      </c>
      <c r="B991" s="1" t="s">
        <v>3501</v>
      </c>
      <c r="C991" t="s">
        <v>161</v>
      </c>
      <c r="D991" s="1" t="s">
        <v>572</v>
      </c>
      <c r="E991" t="b">
        <v>0</v>
      </c>
      <c r="F991">
        <v>168</v>
      </c>
      <c r="G991">
        <v>115</v>
      </c>
      <c r="H991" t="s">
        <v>11</v>
      </c>
      <c r="I991" t="b">
        <v>0</v>
      </c>
      <c r="J991" cm="1">
        <f t="array" ref="J991">sentimentCalc(B991)</f>
        <v>0</v>
      </c>
      <c r="K991" t="str" cm="1">
        <f t="array" ref="K991">sentimentCategory(J991)</f>
        <v>Neutral</v>
      </c>
    </row>
    <row r="992" spans="1:11" ht="17" x14ac:dyDescent="0.2">
      <c r="A992" t="s">
        <v>4259</v>
      </c>
      <c r="B992" s="1" t="s">
        <v>4260</v>
      </c>
      <c r="C992" t="s">
        <v>161</v>
      </c>
      <c r="D992" s="1" t="s">
        <v>572</v>
      </c>
      <c r="E992" t="b">
        <v>0</v>
      </c>
      <c r="F992">
        <v>168</v>
      </c>
      <c r="G992">
        <v>115</v>
      </c>
      <c r="H992" t="s">
        <v>11</v>
      </c>
      <c r="I992" t="b">
        <v>0</v>
      </c>
      <c r="J992" cm="1">
        <f t="array" ref="J992">sentimentCalc(B992)</f>
        <v>0</v>
      </c>
      <c r="K992" t="str" cm="1">
        <f t="array" ref="K992">sentimentCategory(J992)</f>
        <v>Neutral</v>
      </c>
    </row>
    <row r="993" spans="1:11" ht="17" x14ac:dyDescent="0.2">
      <c r="A993" t="s">
        <v>4978</v>
      </c>
      <c r="B993" s="1" t="s">
        <v>4981</v>
      </c>
      <c r="C993" t="s">
        <v>161</v>
      </c>
      <c r="D993" s="1" t="s">
        <v>572</v>
      </c>
      <c r="E993" t="b">
        <v>0</v>
      </c>
      <c r="F993">
        <v>168</v>
      </c>
      <c r="G993">
        <v>115</v>
      </c>
      <c r="H993" t="s">
        <v>11</v>
      </c>
      <c r="I993" t="b">
        <v>0</v>
      </c>
      <c r="J993" cm="1">
        <f t="array" ref="J993">sentimentCalc(B993)</f>
        <v>0</v>
      </c>
      <c r="K993" t="str" cm="1">
        <f t="array" ref="K993">sentimentCategory(J993)</f>
        <v>Neutral</v>
      </c>
    </row>
    <row r="994" spans="1:11" ht="17" x14ac:dyDescent="0.2">
      <c r="A994" t="s">
        <v>5621</v>
      </c>
      <c r="B994" s="1" t="s">
        <v>5622</v>
      </c>
      <c r="C994" t="s">
        <v>161</v>
      </c>
      <c r="D994" s="1" t="s">
        <v>572</v>
      </c>
      <c r="E994" t="b">
        <v>0</v>
      </c>
      <c r="F994">
        <v>168</v>
      </c>
      <c r="G994">
        <v>115</v>
      </c>
      <c r="H994" t="s">
        <v>11</v>
      </c>
      <c r="I994" t="b">
        <v>0</v>
      </c>
      <c r="J994" cm="1">
        <f t="array" ref="J994">sentimentCalc(B994)</f>
        <v>0</v>
      </c>
      <c r="K994" t="str" cm="1">
        <f t="array" ref="K994">sentimentCategory(J994)</f>
        <v>Neutral</v>
      </c>
    </row>
    <row r="995" spans="1:11" ht="17" x14ac:dyDescent="0.2">
      <c r="A995" t="s">
        <v>6424</v>
      </c>
      <c r="B995" s="1" t="s">
        <v>6425</v>
      </c>
      <c r="C995" t="s">
        <v>161</v>
      </c>
      <c r="D995" s="1" t="s">
        <v>572</v>
      </c>
      <c r="E995" t="b">
        <v>0</v>
      </c>
      <c r="F995">
        <v>168</v>
      </c>
      <c r="G995">
        <v>115</v>
      </c>
      <c r="H995" t="s">
        <v>11</v>
      </c>
      <c r="I995" t="b">
        <v>0</v>
      </c>
      <c r="J995" cm="1">
        <f t="array" ref="J995">sentimentCalc(B995)</f>
        <v>0</v>
      </c>
      <c r="K995" t="str" cm="1">
        <f t="array" ref="K995">sentimentCategory(J995)</f>
        <v>Neutral</v>
      </c>
    </row>
    <row r="996" spans="1:11" ht="34" x14ac:dyDescent="0.2">
      <c r="A996" t="s">
        <v>5522</v>
      </c>
      <c r="B996" s="1" t="s">
        <v>5523</v>
      </c>
      <c r="C996" t="s">
        <v>5220</v>
      </c>
      <c r="D996" s="1" t="s">
        <v>730</v>
      </c>
      <c r="E996" t="b">
        <v>0</v>
      </c>
      <c r="F996">
        <v>160</v>
      </c>
      <c r="G996">
        <v>176</v>
      </c>
      <c r="H996" t="s">
        <v>11</v>
      </c>
      <c r="I996" t="b">
        <v>0</v>
      </c>
      <c r="J996" cm="1">
        <f t="array" ref="J996">sentimentCalc(B996)</f>
        <v>0</v>
      </c>
      <c r="K996" t="str" cm="1">
        <f t="array" ref="K996">sentimentCategory(J996)</f>
        <v>Neutral</v>
      </c>
    </row>
    <row r="997" spans="1:11" ht="17" x14ac:dyDescent="0.2">
      <c r="A997" t="s">
        <v>6235</v>
      </c>
      <c r="B997" s="1" t="s">
        <v>6236</v>
      </c>
      <c r="C997" t="s">
        <v>1614</v>
      </c>
      <c r="D997" s="1" t="s">
        <v>2</v>
      </c>
      <c r="E997" t="b">
        <v>0</v>
      </c>
      <c r="F997">
        <v>5</v>
      </c>
      <c r="G997">
        <v>95</v>
      </c>
      <c r="H997" t="s">
        <v>11</v>
      </c>
      <c r="I997" t="b">
        <v>0</v>
      </c>
      <c r="J997" cm="1">
        <f t="array" ref="J997">sentimentCalc(B997)</f>
        <v>1</v>
      </c>
      <c r="K997" t="str" cm="1">
        <f t="array" ref="K997">sentimentCategory(J997)</f>
        <v>Positive</v>
      </c>
    </row>
    <row r="998" spans="1:11" ht="34" x14ac:dyDescent="0.2">
      <c r="A998" t="s">
        <v>815</v>
      </c>
      <c r="B998" s="1" t="s">
        <v>816</v>
      </c>
      <c r="C998" t="s">
        <v>817</v>
      </c>
      <c r="D998" s="1" t="s">
        <v>178</v>
      </c>
      <c r="E998" t="b">
        <v>0</v>
      </c>
      <c r="F998">
        <v>691</v>
      </c>
      <c r="G998">
        <v>1513</v>
      </c>
      <c r="H998" t="s">
        <v>11</v>
      </c>
      <c r="I998" t="b">
        <v>0</v>
      </c>
      <c r="J998" cm="1">
        <f t="array" ref="J998">sentimentCalc(B998)</f>
        <v>0</v>
      </c>
      <c r="K998" t="str" cm="1">
        <f t="array" ref="K998">sentimentCategory(J998)</f>
        <v>Neutral</v>
      </c>
    </row>
    <row r="999" spans="1:11" ht="34" x14ac:dyDescent="0.2">
      <c r="A999" t="s">
        <v>5728</v>
      </c>
      <c r="B999" s="1" t="s">
        <v>5729</v>
      </c>
      <c r="C999" t="s">
        <v>186</v>
      </c>
      <c r="D999" s="1" t="s">
        <v>5567</v>
      </c>
      <c r="E999" t="b">
        <v>0</v>
      </c>
      <c r="F999">
        <v>117</v>
      </c>
      <c r="G999">
        <v>455</v>
      </c>
      <c r="H999" t="s">
        <v>11</v>
      </c>
      <c r="I999" t="b">
        <v>0</v>
      </c>
      <c r="J999" cm="1">
        <f t="array" ref="J999">sentimentCalc(B999)</f>
        <v>0</v>
      </c>
      <c r="K999" t="str" cm="1">
        <f t="array" ref="K999">sentimentCategory(J999)</f>
        <v>Neutral</v>
      </c>
    </row>
    <row r="1000" spans="1:11" ht="17" x14ac:dyDescent="0.2">
      <c r="A1000" t="s">
        <v>6508</v>
      </c>
      <c r="B1000" s="1" t="s">
        <v>6509</v>
      </c>
      <c r="C1000" t="s">
        <v>71</v>
      </c>
      <c r="D1000" s="1" t="s">
        <v>6510</v>
      </c>
      <c r="E1000" t="b">
        <v>0</v>
      </c>
      <c r="F1000">
        <v>843</v>
      </c>
      <c r="G1000">
        <v>493</v>
      </c>
      <c r="H1000" t="s">
        <v>11</v>
      </c>
      <c r="I1000" t="b">
        <v>0</v>
      </c>
      <c r="J1000" cm="1">
        <f t="array" ref="J1000">sentimentCalc(B1000)</f>
        <v>0</v>
      </c>
      <c r="K1000" t="str" cm="1">
        <f t="array" ref="K1000">sentimentCategory(J1000)</f>
        <v>Neutral</v>
      </c>
    </row>
    <row r="1001" spans="1:11" ht="17" x14ac:dyDescent="0.2">
      <c r="A1001" t="s">
        <v>6690</v>
      </c>
      <c r="B1001" s="1" t="s">
        <v>6691</v>
      </c>
      <c r="C1001" t="s">
        <v>6692</v>
      </c>
      <c r="D1001" s="1" t="s">
        <v>2</v>
      </c>
      <c r="E1001" t="b">
        <v>0</v>
      </c>
      <c r="F1001">
        <v>3283</v>
      </c>
      <c r="G1001">
        <v>4499</v>
      </c>
      <c r="H1001" t="s">
        <v>3</v>
      </c>
      <c r="I1001" t="b">
        <v>0</v>
      </c>
      <c r="J1001" cm="1">
        <f t="array" ref="J1001">sentimentCalc(B1001)</f>
        <v>0</v>
      </c>
      <c r="K1001" t="str" cm="1">
        <f t="array" ref="K1001">sentimentCategory(J1001)</f>
        <v>Neutral</v>
      </c>
    </row>
    <row r="1002" spans="1:11" ht="17" x14ac:dyDescent="0.2">
      <c r="A1002" t="s">
        <v>1803</v>
      </c>
      <c r="B1002" s="1" t="s">
        <v>1804</v>
      </c>
      <c r="C1002" t="s">
        <v>1008</v>
      </c>
      <c r="D1002" s="1" t="s">
        <v>1805</v>
      </c>
      <c r="E1002" t="b">
        <v>0</v>
      </c>
      <c r="F1002">
        <v>22</v>
      </c>
      <c r="G1002">
        <v>56</v>
      </c>
      <c r="H1002" t="s">
        <v>11</v>
      </c>
      <c r="I1002" t="b">
        <v>0</v>
      </c>
      <c r="J1002" cm="1">
        <f t="array" ref="J1002">sentimentCalc(B1002)</f>
        <v>1</v>
      </c>
      <c r="K1002" t="str" cm="1">
        <f t="array" ref="K1002">sentimentCategory(J1002)</f>
        <v>Positive</v>
      </c>
    </row>
    <row r="1003" spans="1:11" ht="34" x14ac:dyDescent="0.2">
      <c r="A1003" t="s">
        <v>3602</v>
      </c>
      <c r="B1003" s="1" t="s">
        <v>3603</v>
      </c>
      <c r="C1003" t="s">
        <v>3604</v>
      </c>
      <c r="D1003" s="1" t="s">
        <v>2986</v>
      </c>
      <c r="E1003" t="b">
        <v>0</v>
      </c>
      <c r="F1003">
        <v>18</v>
      </c>
      <c r="G1003">
        <v>141</v>
      </c>
      <c r="H1003" t="s">
        <v>11</v>
      </c>
      <c r="I1003" t="b">
        <v>0</v>
      </c>
      <c r="J1003" cm="1">
        <f t="array" ref="J1003">sentimentCalc(B1003)</f>
        <v>0</v>
      </c>
      <c r="K1003" t="str" cm="1">
        <f t="array" ref="K1003">sentimentCategory(J1003)</f>
        <v>Neutral</v>
      </c>
    </row>
    <row r="1004" spans="1:11" ht="17" x14ac:dyDescent="0.2">
      <c r="A1004" t="s">
        <v>4744</v>
      </c>
      <c r="B1004" s="1" t="s">
        <v>4745</v>
      </c>
      <c r="C1004" t="s">
        <v>4601</v>
      </c>
      <c r="D1004" s="1" t="s">
        <v>2</v>
      </c>
      <c r="E1004" t="b">
        <v>0</v>
      </c>
      <c r="F1004">
        <v>354</v>
      </c>
      <c r="G1004">
        <v>384</v>
      </c>
      <c r="H1004" t="s">
        <v>11</v>
      </c>
      <c r="I1004" t="b">
        <v>0</v>
      </c>
      <c r="J1004" cm="1">
        <f t="array" ref="J1004">sentimentCalc(B1004)</f>
        <v>0</v>
      </c>
      <c r="K1004" t="str" cm="1">
        <f t="array" ref="K1004">sentimentCategory(J1004)</f>
        <v>Neutral</v>
      </c>
    </row>
    <row r="1005" spans="1:11" ht="34" x14ac:dyDescent="0.2">
      <c r="A1005" t="s">
        <v>4803</v>
      </c>
      <c r="B1005" s="1" t="s">
        <v>4804</v>
      </c>
      <c r="C1005" t="s">
        <v>4601</v>
      </c>
      <c r="D1005" s="1" t="s">
        <v>2</v>
      </c>
      <c r="E1005" t="b">
        <v>0</v>
      </c>
      <c r="F1005">
        <v>354</v>
      </c>
      <c r="G1005">
        <v>384</v>
      </c>
      <c r="H1005" t="s">
        <v>11</v>
      </c>
      <c r="I1005" t="b">
        <v>0</v>
      </c>
      <c r="J1005" cm="1">
        <f t="array" ref="J1005">sentimentCalc(B1005)</f>
        <v>0</v>
      </c>
      <c r="K1005" t="str" cm="1">
        <f t="array" ref="K1005">sentimentCategory(J1005)</f>
        <v>Neutral</v>
      </c>
    </row>
    <row r="1006" spans="1:11" ht="17" x14ac:dyDescent="0.2">
      <c r="A1006" t="s">
        <v>4939</v>
      </c>
      <c r="B1006" s="1" t="s">
        <v>4940</v>
      </c>
      <c r="C1006" t="s">
        <v>289</v>
      </c>
      <c r="D1006" s="1" t="s">
        <v>2</v>
      </c>
      <c r="E1006" t="b">
        <v>0</v>
      </c>
      <c r="F1006">
        <v>19711</v>
      </c>
      <c r="G1006">
        <v>34</v>
      </c>
      <c r="H1006" t="s">
        <v>359</v>
      </c>
      <c r="I1006" t="b">
        <v>0</v>
      </c>
      <c r="J1006" cm="1">
        <f t="array" ref="J1006">sentimentCalc(B1006)</f>
        <v>0</v>
      </c>
      <c r="K1006" t="str" cm="1">
        <f t="array" ref="K1006">sentimentCategory(J1006)</f>
        <v>Neutral</v>
      </c>
    </row>
    <row r="1007" spans="1:11" ht="17" x14ac:dyDescent="0.2">
      <c r="A1007" t="s">
        <v>2304</v>
      </c>
      <c r="B1007" s="1" t="s">
        <v>2307</v>
      </c>
      <c r="C1007" t="s">
        <v>305</v>
      </c>
      <c r="D1007" s="1" t="s">
        <v>2</v>
      </c>
      <c r="E1007" t="b">
        <v>0</v>
      </c>
      <c r="F1007">
        <v>118</v>
      </c>
      <c r="G1007">
        <v>110</v>
      </c>
      <c r="H1007" t="s">
        <v>73</v>
      </c>
      <c r="I1007" t="b">
        <v>0</v>
      </c>
      <c r="J1007" cm="1">
        <f t="array" ref="J1007">sentimentCalc(B1007)</f>
        <v>-1</v>
      </c>
      <c r="K1007" t="str" cm="1">
        <f t="array" ref="K1007">sentimentCategory(J1007)</f>
        <v>Negative</v>
      </c>
    </row>
    <row r="1008" spans="1:11" ht="17" x14ac:dyDescent="0.2">
      <c r="A1008" t="s">
        <v>5947</v>
      </c>
      <c r="B1008" s="1" t="s">
        <v>5948</v>
      </c>
      <c r="C1008" t="s">
        <v>1579</v>
      </c>
      <c r="D1008" s="1" t="s">
        <v>5949</v>
      </c>
      <c r="E1008" t="b">
        <v>0</v>
      </c>
      <c r="F1008">
        <v>243</v>
      </c>
      <c r="G1008">
        <v>235</v>
      </c>
      <c r="H1008" t="s">
        <v>11</v>
      </c>
      <c r="I1008" t="b">
        <v>0</v>
      </c>
      <c r="J1008" cm="1">
        <f t="array" ref="J1008">sentimentCalc(B1008)</f>
        <v>0</v>
      </c>
      <c r="K1008" t="str" cm="1">
        <f t="array" ref="K1008">sentimentCategory(J1008)</f>
        <v>Neutral</v>
      </c>
    </row>
    <row r="1009" spans="1:11" ht="17" x14ac:dyDescent="0.2">
      <c r="A1009" t="s">
        <v>2971</v>
      </c>
      <c r="B1009" s="1" t="s">
        <v>2972</v>
      </c>
      <c r="C1009" t="s">
        <v>2973</v>
      </c>
      <c r="D1009" s="1" t="s">
        <v>2</v>
      </c>
      <c r="E1009" t="b">
        <v>0</v>
      </c>
      <c r="F1009">
        <v>444</v>
      </c>
      <c r="G1009">
        <v>301</v>
      </c>
      <c r="H1009" t="s">
        <v>11</v>
      </c>
      <c r="I1009" t="b">
        <v>0</v>
      </c>
      <c r="J1009" cm="1">
        <f t="array" ref="J1009">sentimentCalc(B1009)</f>
        <v>0</v>
      </c>
      <c r="K1009" t="str" cm="1">
        <f t="array" ref="K1009">sentimentCategory(J1009)</f>
        <v>Neutral</v>
      </c>
    </row>
    <row r="1010" spans="1:11" ht="34" x14ac:dyDescent="0.2">
      <c r="A1010" t="s">
        <v>4479</v>
      </c>
      <c r="B1010" s="1" t="s">
        <v>4480</v>
      </c>
      <c r="C1010" t="s">
        <v>4481</v>
      </c>
      <c r="D1010" s="1" t="s">
        <v>1368</v>
      </c>
      <c r="E1010" t="b">
        <v>0</v>
      </c>
      <c r="F1010">
        <v>196</v>
      </c>
      <c r="G1010">
        <v>209</v>
      </c>
      <c r="H1010" t="s">
        <v>11</v>
      </c>
      <c r="I1010" t="b">
        <v>0</v>
      </c>
      <c r="J1010" cm="1">
        <f t="array" ref="J1010">sentimentCalc(B1010)</f>
        <v>0</v>
      </c>
      <c r="K1010" t="str" cm="1">
        <f t="array" ref="K1010">sentimentCategory(J1010)</f>
        <v>Neutral</v>
      </c>
    </row>
    <row r="1011" spans="1:11" ht="17" x14ac:dyDescent="0.2">
      <c r="A1011" t="s">
        <v>5398</v>
      </c>
      <c r="B1011" s="1" t="s">
        <v>5399</v>
      </c>
      <c r="C1011" t="s">
        <v>5400</v>
      </c>
      <c r="D1011" s="1" t="s">
        <v>5401</v>
      </c>
      <c r="E1011" t="b">
        <v>0</v>
      </c>
      <c r="F1011">
        <v>159</v>
      </c>
      <c r="G1011">
        <v>416</v>
      </c>
      <c r="H1011" t="s">
        <v>11</v>
      </c>
      <c r="I1011" t="b">
        <v>0</v>
      </c>
      <c r="J1011" cm="1">
        <f t="array" ref="J1011">sentimentCalc(B1011)</f>
        <v>0</v>
      </c>
      <c r="K1011" t="str" cm="1">
        <f t="array" ref="K1011">sentimentCategory(J1011)</f>
        <v>Neutral</v>
      </c>
    </row>
    <row r="1012" spans="1:11" ht="17" x14ac:dyDescent="0.2">
      <c r="A1012" t="s">
        <v>1267</v>
      </c>
      <c r="B1012" s="1" t="s">
        <v>1268</v>
      </c>
      <c r="C1012" t="s">
        <v>1269</v>
      </c>
      <c r="D1012" s="1" t="s">
        <v>1270</v>
      </c>
      <c r="E1012" t="b">
        <v>0</v>
      </c>
      <c r="F1012">
        <v>416</v>
      </c>
      <c r="G1012">
        <v>594</v>
      </c>
      <c r="H1012" t="s">
        <v>11</v>
      </c>
      <c r="I1012" t="b">
        <v>0</v>
      </c>
      <c r="J1012" cm="1">
        <f t="array" ref="J1012">sentimentCalc(B1012)</f>
        <v>1</v>
      </c>
      <c r="K1012" t="str" cm="1">
        <f t="array" ref="K1012">sentimentCategory(J1012)</f>
        <v>Positive</v>
      </c>
    </row>
    <row r="1013" spans="1:11" ht="17" x14ac:dyDescent="0.2">
      <c r="A1013" t="s">
        <v>2304</v>
      </c>
      <c r="B1013" s="1" t="s">
        <v>2305</v>
      </c>
      <c r="C1013" t="s">
        <v>1342</v>
      </c>
      <c r="D1013" s="1" t="s">
        <v>2306</v>
      </c>
      <c r="E1013" t="b">
        <v>0</v>
      </c>
      <c r="F1013">
        <v>683</v>
      </c>
      <c r="G1013">
        <v>149</v>
      </c>
      <c r="H1013" t="s">
        <v>11</v>
      </c>
      <c r="I1013" t="b">
        <v>0</v>
      </c>
      <c r="J1013" cm="1">
        <f t="array" ref="J1013">sentimentCalc(B1013)</f>
        <v>1</v>
      </c>
      <c r="K1013" t="str" cm="1">
        <f t="array" ref="K1013">sentimentCategory(J1013)</f>
        <v>Positive</v>
      </c>
    </row>
    <row r="1014" spans="1:11" ht="17" x14ac:dyDescent="0.2">
      <c r="A1014" t="s">
        <v>6555</v>
      </c>
      <c r="B1014" s="1" t="s">
        <v>6556</v>
      </c>
      <c r="C1014" t="s">
        <v>2398</v>
      </c>
      <c r="D1014" s="1" t="s">
        <v>2</v>
      </c>
      <c r="E1014" t="b">
        <v>0</v>
      </c>
      <c r="F1014">
        <v>372</v>
      </c>
      <c r="G1014">
        <v>572</v>
      </c>
      <c r="H1014" t="s">
        <v>338</v>
      </c>
      <c r="I1014" t="b">
        <v>0</v>
      </c>
      <c r="J1014" cm="1">
        <f t="array" ref="J1014">sentimentCalc(B1014)</f>
        <v>0</v>
      </c>
      <c r="K1014" t="str" cm="1">
        <f t="array" ref="K1014">sentimentCategory(J1014)</f>
        <v>Neutral</v>
      </c>
    </row>
    <row r="1015" spans="1:11" ht="17" x14ac:dyDescent="0.2">
      <c r="A1015" t="s">
        <v>1881</v>
      </c>
      <c r="B1015" s="1" t="s">
        <v>1882</v>
      </c>
      <c r="C1015" t="s">
        <v>1250</v>
      </c>
      <c r="D1015" s="1" t="s">
        <v>1251</v>
      </c>
      <c r="E1015" t="b">
        <v>0</v>
      </c>
      <c r="F1015">
        <v>1354</v>
      </c>
      <c r="G1015">
        <v>1070</v>
      </c>
      <c r="H1015" t="s">
        <v>11</v>
      </c>
      <c r="I1015" t="b">
        <v>0</v>
      </c>
      <c r="J1015" cm="1">
        <f t="array" ref="J1015">sentimentCalc(B1015)</f>
        <v>0</v>
      </c>
      <c r="K1015" t="str" cm="1">
        <f t="array" ref="K1015">sentimentCategory(J1015)</f>
        <v>Neutral</v>
      </c>
    </row>
    <row r="1016" spans="1:11" ht="17" x14ac:dyDescent="0.2">
      <c r="A1016" t="s">
        <v>5792</v>
      </c>
      <c r="B1016" s="1" t="s">
        <v>5793</v>
      </c>
      <c r="C1016" t="s">
        <v>5794</v>
      </c>
      <c r="D1016" s="1" t="s">
        <v>322</v>
      </c>
      <c r="E1016" t="b">
        <v>0</v>
      </c>
      <c r="F1016">
        <v>667</v>
      </c>
      <c r="G1016">
        <v>148</v>
      </c>
      <c r="H1016" t="s">
        <v>11</v>
      </c>
      <c r="I1016" t="b">
        <v>0</v>
      </c>
      <c r="J1016" cm="1">
        <f t="array" ref="J1016">sentimentCalc(B1016)</f>
        <v>0</v>
      </c>
      <c r="K1016" t="str" cm="1">
        <f t="array" ref="K1016">sentimentCategory(J1016)</f>
        <v>Neutral</v>
      </c>
    </row>
    <row r="1017" spans="1:11" ht="17" x14ac:dyDescent="0.2">
      <c r="A1017" t="s">
        <v>4407</v>
      </c>
      <c r="B1017" s="1" t="s">
        <v>4408</v>
      </c>
      <c r="C1017" t="s">
        <v>3631</v>
      </c>
      <c r="D1017" s="1" t="s">
        <v>534</v>
      </c>
      <c r="E1017" t="b">
        <v>0</v>
      </c>
      <c r="F1017">
        <v>129</v>
      </c>
      <c r="G1017">
        <v>240</v>
      </c>
      <c r="H1017" t="s">
        <v>11</v>
      </c>
      <c r="I1017" t="b">
        <v>0</v>
      </c>
      <c r="J1017" cm="1">
        <f t="array" ref="J1017">sentimentCalc(B1017)</f>
        <v>0</v>
      </c>
      <c r="K1017" t="str" cm="1">
        <f t="array" ref="K1017">sentimentCategory(J1017)</f>
        <v>Neutral</v>
      </c>
    </row>
    <row r="1018" spans="1:11" ht="34" x14ac:dyDescent="0.2">
      <c r="A1018" t="s">
        <v>5133</v>
      </c>
      <c r="B1018" s="1" t="s">
        <v>5134</v>
      </c>
      <c r="C1018" t="s">
        <v>90</v>
      </c>
      <c r="D1018" s="1" t="s">
        <v>91</v>
      </c>
      <c r="E1018" t="b">
        <v>0</v>
      </c>
      <c r="F1018">
        <v>136</v>
      </c>
      <c r="G1018">
        <v>11</v>
      </c>
      <c r="H1018" t="s">
        <v>11</v>
      </c>
      <c r="I1018" t="b">
        <v>0</v>
      </c>
      <c r="J1018" cm="1">
        <f t="array" ref="J1018">sentimentCalc(B1018)</f>
        <v>1</v>
      </c>
      <c r="K1018" t="str" cm="1">
        <f t="array" ref="K1018">sentimentCategory(J1018)</f>
        <v>Positive</v>
      </c>
    </row>
    <row r="1019" spans="1:11" ht="34" x14ac:dyDescent="0.2">
      <c r="A1019" t="s">
        <v>74</v>
      </c>
      <c r="B1019" s="1" t="s">
        <v>75</v>
      </c>
      <c r="C1019" t="s">
        <v>76</v>
      </c>
      <c r="D1019" s="1" t="s">
        <v>2</v>
      </c>
      <c r="E1019" t="b">
        <v>0</v>
      </c>
      <c r="F1019">
        <v>17</v>
      </c>
      <c r="G1019">
        <v>207</v>
      </c>
      <c r="H1019" t="s">
        <v>11</v>
      </c>
      <c r="I1019" t="b">
        <v>0</v>
      </c>
      <c r="J1019" cm="1">
        <f t="array" ref="J1019">sentimentCalc(B1019)</f>
        <v>0</v>
      </c>
      <c r="K1019" t="str" cm="1">
        <f t="array" ref="K1019">sentimentCategory(J1019)</f>
        <v>Neutral</v>
      </c>
    </row>
    <row r="1020" spans="1:11" ht="17" x14ac:dyDescent="0.2">
      <c r="A1020" t="s">
        <v>4937</v>
      </c>
      <c r="B1020" s="1" t="s">
        <v>4938</v>
      </c>
      <c r="C1020" t="s">
        <v>575</v>
      </c>
      <c r="D1020" s="1" t="s">
        <v>2997</v>
      </c>
      <c r="E1020" t="b">
        <v>0</v>
      </c>
      <c r="F1020">
        <v>4809</v>
      </c>
      <c r="G1020">
        <v>693</v>
      </c>
      <c r="H1020" t="s">
        <v>11</v>
      </c>
      <c r="I1020" t="b">
        <v>0</v>
      </c>
      <c r="J1020" cm="1">
        <f t="array" ref="J1020">sentimentCalc(B1020)</f>
        <v>0</v>
      </c>
      <c r="K1020" t="str" cm="1">
        <f t="array" ref="K1020">sentimentCategory(J1020)</f>
        <v>Neutral</v>
      </c>
    </row>
    <row r="1021" spans="1:11" ht="17" x14ac:dyDescent="0.2">
      <c r="A1021" t="s">
        <v>1562</v>
      </c>
      <c r="B1021" s="1" t="s">
        <v>1563</v>
      </c>
      <c r="C1021" t="s">
        <v>1564</v>
      </c>
      <c r="D1021" s="1" t="s">
        <v>2</v>
      </c>
      <c r="E1021" t="b">
        <v>0</v>
      </c>
      <c r="F1021">
        <v>54</v>
      </c>
      <c r="G1021">
        <v>233</v>
      </c>
      <c r="H1021" t="s">
        <v>1565</v>
      </c>
      <c r="I1021" t="b">
        <v>0</v>
      </c>
      <c r="J1021" cm="1">
        <f t="array" ref="J1021">sentimentCalc(B1021)</f>
        <v>0</v>
      </c>
      <c r="K1021" t="str" cm="1">
        <f t="array" ref="K1021">sentimentCategory(J1021)</f>
        <v>Neutral</v>
      </c>
    </row>
    <row r="1022" spans="1:11" ht="34" x14ac:dyDescent="0.2">
      <c r="A1022" t="s">
        <v>5256</v>
      </c>
      <c r="B1022" s="1" t="s">
        <v>5257</v>
      </c>
      <c r="C1022" t="s">
        <v>2275</v>
      </c>
      <c r="D1022" s="1" t="s">
        <v>5258</v>
      </c>
      <c r="E1022" t="b">
        <v>0</v>
      </c>
      <c r="F1022">
        <v>6752</v>
      </c>
      <c r="G1022">
        <v>2991</v>
      </c>
      <c r="H1022" t="s">
        <v>11</v>
      </c>
      <c r="I1022" t="b">
        <v>0</v>
      </c>
      <c r="J1022" cm="1">
        <f t="array" ref="J1022">sentimentCalc(B1022)</f>
        <v>0</v>
      </c>
      <c r="K1022" t="str" cm="1">
        <f t="array" ref="K1022">sentimentCategory(J1022)</f>
        <v>Neutral</v>
      </c>
    </row>
    <row r="1023" spans="1:11" ht="34" x14ac:dyDescent="0.2">
      <c r="A1023" t="s">
        <v>2758</v>
      </c>
      <c r="B1023" s="1" t="s">
        <v>2759</v>
      </c>
      <c r="C1023" t="s">
        <v>387</v>
      </c>
      <c r="D1023" s="1" t="s">
        <v>2760</v>
      </c>
      <c r="E1023" t="b">
        <v>0</v>
      </c>
      <c r="F1023">
        <v>744</v>
      </c>
      <c r="G1023">
        <v>551</v>
      </c>
      <c r="H1023" t="s">
        <v>11</v>
      </c>
      <c r="I1023" t="b">
        <v>0</v>
      </c>
      <c r="J1023" cm="1">
        <f t="array" ref="J1023">sentimentCalc(B1023)</f>
        <v>0</v>
      </c>
      <c r="K1023" t="str" cm="1">
        <f t="array" ref="K1023">sentimentCategory(J1023)</f>
        <v>Neutral</v>
      </c>
    </row>
    <row r="1024" spans="1:11" ht="17" x14ac:dyDescent="0.2">
      <c r="A1024" t="s">
        <v>4467</v>
      </c>
      <c r="B1024" s="1" t="s">
        <v>4468</v>
      </c>
      <c r="C1024" t="s">
        <v>3848</v>
      </c>
      <c r="D1024" s="1" t="s">
        <v>4469</v>
      </c>
      <c r="E1024" t="b">
        <v>0</v>
      </c>
      <c r="F1024">
        <v>573</v>
      </c>
      <c r="G1024">
        <v>419</v>
      </c>
      <c r="H1024" t="s">
        <v>11</v>
      </c>
      <c r="I1024" t="b">
        <v>0</v>
      </c>
      <c r="J1024" cm="1">
        <f t="array" ref="J1024">sentimentCalc(B1024)</f>
        <v>0</v>
      </c>
      <c r="K1024" t="str" cm="1">
        <f t="array" ref="K1024">sentimentCategory(J1024)</f>
        <v>Neutral</v>
      </c>
    </row>
    <row r="1025" spans="1:11" ht="17" x14ac:dyDescent="0.2">
      <c r="A1025" t="s">
        <v>2765</v>
      </c>
      <c r="B1025" s="1" t="s">
        <v>2766</v>
      </c>
      <c r="C1025" t="s">
        <v>2024</v>
      </c>
      <c r="D1025" s="1" t="s">
        <v>2767</v>
      </c>
      <c r="E1025" t="b">
        <v>0</v>
      </c>
      <c r="F1025">
        <v>1322</v>
      </c>
      <c r="G1025">
        <v>1009</v>
      </c>
      <c r="H1025" t="s">
        <v>11</v>
      </c>
      <c r="I1025" t="b">
        <v>0</v>
      </c>
      <c r="J1025" cm="1">
        <f t="array" ref="J1025">sentimentCalc(B1025)</f>
        <v>0</v>
      </c>
      <c r="K1025" t="str" cm="1">
        <f t="array" ref="K1025">sentimentCategory(J1025)</f>
        <v>Neutral</v>
      </c>
    </row>
    <row r="1026" spans="1:11" ht="17" x14ac:dyDescent="0.2">
      <c r="A1026" t="s">
        <v>6941</v>
      </c>
      <c r="B1026" s="1" t="s">
        <v>6942</v>
      </c>
      <c r="C1026" t="s">
        <v>4750</v>
      </c>
      <c r="D1026" s="1" t="s">
        <v>2</v>
      </c>
      <c r="E1026" t="b">
        <v>0</v>
      </c>
      <c r="F1026">
        <v>2</v>
      </c>
      <c r="G1026">
        <v>3</v>
      </c>
      <c r="H1026" t="s">
        <v>11</v>
      </c>
      <c r="I1026" t="b">
        <v>0</v>
      </c>
      <c r="J1026" cm="1">
        <f t="array" ref="J1026">sentimentCalc(B1026)</f>
        <v>0</v>
      </c>
      <c r="K1026" t="str" cm="1">
        <f t="array" ref="K1026">sentimentCategory(J1026)</f>
        <v>Neutral</v>
      </c>
    </row>
    <row r="1027" spans="1:11" ht="17" x14ac:dyDescent="0.2">
      <c r="A1027" t="s">
        <v>2528</v>
      </c>
      <c r="B1027" s="1" t="s">
        <v>2529</v>
      </c>
      <c r="C1027" t="s">
        <v>2530</v>
      </c>
      <c r="D1027" s="1" t="s">
        <v>2</v>
      </c>
      <c r="E1027" t="b">
        <v>0</v>
      </c>
      <c r="F1027">
        <v>79</v>
      </c>
      <c r="G1027">
        <v>100</v>
      </c>
      <c r="H1027" t="s">
        <v>11</v>
      </c>
      <c r="I1027" t="b">
        <v>0</v>
      </c>
      <c r="J1027" cm="1">
        <f t="array" ref="J1027">sentimentCalc(B1027)</f>
        <v>0</v>
      </c>
      <c r="K1027" t="str" cm="1">
        <f t="array" ref="K1027">sentimentCategory(J1027)</f>
        <v>Neutral</v>
      </c>
    </row>
    <row r="1028" spans="1:11" ht="17" x14ac:dyDescent="0.2">
      <c r="A1028" t="s">
        <v>5652</v>
      </c>
      <c r="B1028" s="1" t="s">
        <v>5654</v>
      </c>
      <c r="C1028" t="s">
        <v>1226</v>
      </c>
      <c r="D1028" s="1" t="s">
        <v>1227</v>
      </c>
      <c r="E1028" t="b">
        <v>0</v>
      </c>
      <c r="F1028">
        <v>427</v>
      </c>
      <c r="G1028">
        <v>768</v>
      </c>
      <c r="H1028" t="s">
        <v>11</v>
      </c>
      <c r="I1028" t="b">
        <v>0</v>
      </c>
      <c r="J1028" cm="1">
        <f t="array" ref="J1028">sentimentCalc(B1028)</f>
        <v>0</v>
      </c>
      <c r="K1028" t="str" cm="1">
        <f t="array" ref="K1028">sentimentCategory(J1028)</f>
        <v>Neutral</v>
      </c>
    </row>
    <row r="1029" spans="1:11" ht="17" x14ac:dyDescent="0.2">
      <c r="A1029" t="s">
        <v>3791</v>
      </c>
      <c r="B1029" s="1" t="s">
        <v>3792</v>
      </c>
      <c r="C1029" t="s">
        <v>3793</v>
      </c>
      <c r="E1029" t="b">
        <v>0</v>
      </c>
      <c r="F1029">
        <v>251</v>
      </c>
      <c r="G1029">
        <v>307</v>
      </c>
      <c r="H1029" t="s">
        <v>11</v>
      </c>
      <c r="I1029" t="b">
        <v>0</v>
      </c>
      <c r="J1029" cm="1">
        <f t="array" ref="J1029">sentimentCalc(B1029)</f>
        <v>0</v>
      </c>
      <c r="K1029" t="str" cm="1">
        <f t="array" ref="K1029">sentimentCategory(J1029)</f>
        <v>Neutral</v>
      </c>
    </row>
    <row r="1030" spans="1:11" ht="17" x14ac:dyDescent="0.2">
      <c r="A1030" t="s">
        <v>1528</v>
      </c>
      <c r="B1030" s="1" t="s">
        <v>1529</v>
      </c>
      <c r="C1030" t="s">
        <v>1530</v>
      </c>
      <c r="D1030" s="1" t="s">
        <v>1531</v>
      </c>
      <c r="E1030" t="b">
        <v>0</v>
      </c>
      <c r="F1030">
        <v>25</v>
      </c>
      <c r="G1030">
        <v>43</v>
      </c>
      <c r="H1030" t="s">
        <v>11</v>
      </c>
      <c r="I1030" t="b">
        <v>0</v>
      </c>
      <c r="J1030" cm="1">
        <f t="array" ref="J1030">sentimentCalc(B1030)</f>
        <v>0</v>
      </c>
      <c r="K1030" t="str" cm="1">
        <f t="array" ref="K1030">sentimentCategory(J1030)</f>
        <v>Neutral</v>
      </c>
    </row>
    <row r="1031" spans="1:11" ht="17" x14ac:dyDescent="0.2">
      <c r="A1031" t="s">
        <v>2981</v>
      </c>
      <c r="B1031" s="1" t="s">
        <v>2982</v>
      </c>
      <c r="C1031" t="s">
        <v>38</v>
      </c>
      <c r="D1031" s="1" t="s">
        <v>2983</v>
      </c>
      <c r="E1031" t="b">
        <v>0</v>
      </c>
      <c r="F1031">
        <v>75</v>
      </c>
      <c r="G1031">
        <v>284</v>
      </c>
      <c r="H1031" t="s">
        <v>11</v>
      </c>
      <c r="I1031" t="b">
        <v>0</v>
      </c>
      <c r="J1031" cm="1">
        <f t="array" ref="J1031">sentimentCalc(B1031)</f>
        <v>0</v>
      </c>
      <c r="K1031" t="str" cm="1">
        <f t="array" ref="K1031">sentimentCategory(J1031)</f>
        <v>Neutral</v>
      </c>
    </row>
    <row r="1032" spans="1:11" ht="17" x14ac:dyDescent="0.2">
      <c r="A1032" t="s">
        <v>6532</v>
      </c>
      <c r="B1032" s="1" t="s">
        <v>6533</v>
      </c>
      <c r="C1032" t="s">
        <v>250</v>
      </c>
      <c r="D1032" s="1" t="s">
        <v>6534</v>
      </c>
      <c r="E1032" t="b">
        <v>1</v>
      </c>
      <c r="F1032">
        <v>60056</v>
      </c>
      <c r="G1032">
        <v>1201</v>
      </c>
      <c r="H1032" t="s">
        <v>11</v>
      </c>
      <c r="I1032" t="b">
        <v>0</v>
      </c>
      <c r="J1032" cm="1">
        <f t="array" ref="J1032">sentimentCalc(B1032)</f>
        <v>0</v>
      </c>
      <c r="K1032" t="str" cm="1">
        <f t="array" ref="K1032">sentimentCategory(J1032)</f>
        <v>Neutral</v>
      </c>
    </row>
    <row r="1033" spans="1:11" ht="17" x14ac:dyDescent="0.2">
      <c r="A1033" t="s">
        <v>6547</v>
      </c>
      <c r="B1033" s="1" t="s">
        <v>6548</v>
      </c>
      <c r="C1033" t="s">
        <v>425</v>
      </c>
      <c r="D1033" s="1" t="s">
        <v>2</v>
      </c>
      <c r="E1033" t="b">
        <v>0</v>
      </c>
      <c r="F1033">
        <v>19</v>
      </c>
      <c r="G1033">
        <v>276</v>
      </c>
      <c r="H1033" t="s">
        <v>11</v>
      </c>
      <c r="I1033" t="b">
        <v>0</v>
      </c>
      <c r="J1033" cm="1">
        <f t="array" ref="J1033">sentimentCalc(B1033)</f>
        <v>0</v>
      </c>
      <c r="K1033" t="str" cm="1">
        <f t="array" ref="K1033">sentimentCategory(J1033)</f>
        <v>Neutral</v>
      </c>
    </row>
    <row r="1034" spans="1:11" ht="17" x14ac:dyDescent="0.2">
      <c r="A1034" t="s">
        <v>5154</v>
      </c>
      <c r="B1034" s="1" t="s">
        <v>5155</v>
      </c>
      <c r="C1034" t="s">
        <v>5156</v>
      </c>
      <c r="D1034" s="1" t="s">
        <v>2</v>
      </c>
      <c r="E1034" t="b">
        <v>0</v>
      </c>
      <c r="F1034">
        <v>10312</v>
      </c>
      <c r="G1034">
        <v>11025</v>
      </c>
      <c r="H1034" t="s">
        <v>3</v>
      </c>
      <c r="I1034" t="b">
        <v>0</v>
      </c>
      <c r="J1034" cm="1">
        <f t="array" ref="J1034">sentimentCalc(B1034)</f>
        <v>2</v>
      </c>
      <c r="K1034" t="str" cm="1">
        <f t="array" ref="K1034">sentimentCategory(J1034)</f>
        <v>Positive</v>
      </c>
    </row>
    <row r="1035" spans="1:11" ht="17" x14ac:dyDescent="0.2">
      <c r="A1035" t="s">
        <v>3382</v>
      </c>
      <c r="B1035" s="1" t="s">
        <v>3383</v>
      </c>
      <c r="C1035" t="s">
        <v>3384</v>
      </c>
      <c r="E1035" t="b">
        <v>0</v>
      </c>
      <c r="F1035">
        <v>3355</v>
      </c>
      <c r="G1035">
        <v>456</v>
      </c>
      <c r="H1035" t="s">
        <v>11</v>
      </c>
      <c r="I1035" t="b">
        <v>0</v>
      </c>
      <c r="J1035" cm="1">
        <f t="array" ref="J1035">sentimentCalc(B1035)</f>
        <v>-1</v>
      </c>
      <c r="K1035" t="str" cm="1">
        <f t="array" ref="K1035">sentimentCategory(J1035)</f>
        <v>Negative</v>
      </c>
    </row>
    <row r="1036" spans="1:11" ht="17" x14ac:dyDescent="0.2">
      <c r="A1036" t="s">
        <v>4024</v>
      </c>
      <c r="B1036" s="1" t="s">
        <v>4026</v>
      </c>
      <c r="C1036" t="s">
        <v>1940</v>
      </c>
      <c r="D1036" s="1" t="s">
        <v>2</v>
      </c>
      <c r="E1036" t="b">
        <v>0</v>
      </c>
      <c r="F1036">
        <v>13</v>
      </c>
      <c r="G1036">
        <v>207</v>
      </c>
      <c r="H1036" t="s">
        <v>2180</v>
      </c>
      <c r="I1036" t="b">
        <v>0</v>
      </c>
      <c r="J1036" cm="1">
        <f t="array" ref="J1036">sentimentCalc(B1036)</f>
        <v>1</v>
      </c>
      <c r="K1036" t="str" cm="1">
        <f t="array" ref="K1036">sentimentCategory(J1036)</f>
        <v>Positive</v>
      </c>
    </row>
    <row r="1037" spans="1:11" ht="34" x14ac:dyDescent="0.2">
      <c r="A1037" t="s">
        <v>6358</v>
      </c>
      <c r="B1037" s="1" t="s">
        <v>6359</v>
      </c>
      <c r="C1037" t="s">
        <v>3765</v>
      </c>
      <c r="D1037" s="1" t="s">
        <v>1336</v>
      </c>
      <c r="E1037" t="b">
        <v>0</v>
      </c>
      <c r="F1037">
        <v>119</v>
      </c>
      <c r="G1037">
        <v>877</v>
      </c>
      <c r="H1037" t="s">
        <v>11</v>
      </c>
      <c r="I1037" t="b">
        <v>0</v>
      </c>
      <c r="J1037" cm="1">
        <f t="array" ref="J1037">sentimentCalc(B1037)</f>
        <v>0</v>
      </c>
      <c r="K1037" t="str" cm="1">
        <f t="array" ref="K1037">sentimentCategory(J1037)</f>
        <v>Neutral</v>
      </c>
    </row>
    <row r="1038" spans="1:11" ht="34" x14ac:dyDescent="0.2">
      <c r="A1038" t="s">
        <v>6003</v>
      </c>
      <c r="B1038" s="1" t="s">
        <v>6004</v>
      </c>
      <c r="C1038" t="s">
        <v>6005</v>
      </c>
      <c r="D1038" s="1" t="s">
        <v>6006</v>
      </c>
      <c r="E1038" t="b">
        <v>0</v>
      </c>
      <c r="F1038">
        <v>1064</v>
      </c>
      <c r="G1038">
        <v>362</v>
      </c>
      <c r="H1038" t="s">
        <v>11</v>
      </c>
      <c r="I1038" t="b">
        <v>0</v>
      </c>
      <c r="J1038" cm="1">
        <f t="array" ref="J1038">sentimentCalc(B1038)</f>
        <v>1</v>
      </c>
      <c r="K1038" t="str" cm="1">
        <f t="array" ref="K1038">sentimentCategory(J1038)</f>
        <v>Positive</v>
      </c>
    </row>
    <row r="1039" spans="1:11" ht="17" x14ac:dyDescent="0.2">
      <c r="A1039" t="s">
        <v>2562</v>
      </c>
      <c r="B1039" s="1" t="s">
        <v>2563</v>
      </c>
      <c r="C1039" t="s">
        <v>828</v>
      </c>
      <c r="D1039" s="1" t="s">
        <v>2</v>
      </c>
      <c r="E1039" t="b">
        <v>0</v>
      </c>
      <c r="F1039">
        <v>74</v>
      </c>
      <c r="G1039">
        <v>161</v>
      </c>
      <c r="H1039" t="s">
        <v>262</v>
      </c>
      <c r="I1039" t="b">
        <v>0</v>
      </c>
      <c r="J1039" cm="1">
        <f t="array" ref="J1039">sentimentCalc(B1039)</f>
        <v>0</v>
      </c>
      <c r="K1039" t="str" cm="1">
        <f t="array" ref="K1039">sentimentCategory(J1039)</f>
        <v>Neutral</v>
      </c>
    </row>
    <row r="1040" spans="1:11" ht="17" x14ac:dyDescent="0.2">
      <c r="A1040" t="s">
        <v>2040</v>
      </c>
      <c r="B1040" s="1" t="s">
        <v>2041</v>
      </c>
      <c r="C1040" t="s">
        <v>1419</v>
      </c>
      <c r="D1040" s="1" t="s">
        <v>2</v>
      </c>
      <c r="E1040" t="b">
        <v>0</v>
      </c>
      <c r="F1040">
        <v>15</v>
      </c>
      <c r="G1040">
        <v>86</v>
      </c>
      <c r="H1040" t="s">
        <v>11</v>
      </c>
      <c r="I1040" t="b">
        <v>0</v>
      </c>
      <c r="J1040" cm="1">
        <f t="array" ref="J1040">sentimentCalc(B1040)</f>
        <v>0</v>
      </c>
      <c r="K1040" t="str" cm="1">
        <f t="array" ref="K1040">sentimentCategory(J1040)</f>
        <v>Neutral</v>
      </c>
    </row>
    <row r="1041" spans="1:11" ht="17" x14ac:dyDescent="0.2">
      <c r="A1041" t="s">
        <v>1438</v>
      </c>
      <c r="B1041" s="1" t="s">
        <v>1439</v>
      </c>
      <c r="C1041" t="s">
        <v>305</v>
      </c>
      <c r="D1041" s="1" t="s">
        <v>2</v>
      </c>
      <c r="E1041" t="b">
        <v>0</v>
      </c>
      <c r="F1041">
        <v>118</v>
      </c>
      <c r="G1041">
        <v>110</v>
      </c>
      <c r="H1041" t="s">
        <v>73</v>
      </c>
      <c r="I1041" t="b">
        <v>0</v>
      </c>
      <c r="J1041" cm="1">
        <f t="array" ref="J1041">sentimentCalc(B1041)</f>
        <v>1</v>
      </c>
      <c r="K1041" t="str" cm="1">
        <f t="array" ref="K1041">sentimentCategory(J1041)</f>
        <v>Positive</v>
      </c>
    </row>
    <row r="1042" spans="1:11" ht="17" x14ac:dyDescent="0.2">
      <c r="A1042" t="s">
        <v>1616</v>
      </c>
      <c r="B1042" s="1" t="s">
        <v>1617</v>
      </c>
      <c r="C1042" t="s">
        <v>1618</v>
      </c>
      <c r="D1042" s="1" t="s">
        <v>2</v>
      </c>
      <c r="E1042" t="b">
        <v>0</v>
      </c>
      <c r="F1042">
        <v>25</v>
      </c>
      <c r="G1042">
        <v>290</v>
      </c>
      <c r="H1042" t="s">
        <v>11</v>
      </c>
      <c r="I1042" t="b">
        <v>0</v>
      </c>
      <c r="J1042" cm="1">
        <f t="array" ref="J1042">sentimentCalc(B1042)</f>
        <v>1</v>
      </c>
      <c r="K1042" t="str" cm="1">
        <f t="array" ref="K1042">sentimentCategory(J1042)</f>
        <v>Positive</v>
      </c>
    </row>
    <row r="1043" spans="1:11" ht="17" x14ac:dyDescent="0.2">
      <c r="A1043" t="s">
        <v>4623</v>
      </c>
      <c r="B1043" s="1" t="s">
        <v>4624</v>
      </c>
      <c r="C1043" t="s">
        <v>564</v>
      </c>
      <c r="D1043" s="1" t="s">
        <v>4625</v>
      </c>
      <c r="E1043" t="b">
        <v>0</v>
      </c>
      <c r="F1043">
        <v>57</v>
      </c>
      <c r="G1043">
        <v>237</v>
      </c>
      <c r="H1043" t="s">
        <v>11</v>
      </c>
      <c r="I1043" t="b">
        <v>0</v>
      </c>
      <c r="J1043" cm="1">
        <f t="array" ref="J1043">sentimentCalc(B1043)</f>
        <v>0</v>
      </c>
      <c r="K1043" t="str" cm="1">
        <f t="array" ref="K1043">sentimentCategory(J1043)</f>
        <v>Neutral</v>
      </c>
    </row>
    <row r="1044" spans="1:11" ht="17" x14ac:dyDescent="0.2">
      <c r="A1044" t="s">
        <v>1325</v>
      </c>
      <c r="B1044" s="1" t="s">
        <v>1326</v>
      </c>
      <c r="C1044" t="s">
        <v>1327</v>
      </c>
      <c r="D1044" s="1" t="s">
        <v>2</v>
      </c>
      <c r="E1044" t="b">
        <v>0</v>
      </c>
      <c r="F1044">
        <v>48</v>
      </c>
      <c r="G1044">
        <v>165</v>
      </c>
      <c r="H1044" t="s">
        <v>11</v>
      </c>
      <c r="I1044" t="b">
        <v>0</v>
      </c>
      <c r="J1044" cm="1">
        <f t="array" ref="J1044">sentimentCalc(B1044)</f>
        <v>1</v>
      </c>
      <c r="K1044" t="str" cm="1">
        <f t="array" ref="K1044">sentimentCategory(J1044)</f>
        <v>Positive</v>
      </c>
    </row>
    <row r="1045" spans="1:11" ht="34" x14ac:dyDescent="0.2">
      <c r="A1045" t="s">
        <v>6962</v>
      </c>
      <c r="B1045" s="1" t="s">
        <v>6963</v>
      </c>
      <c r="C1045" t="s">
        <v>2058</v>
      </c>
      <c r="D1045" s="1" t="s">
        <v>2</v>
      </c>
      <c r="E1045" t="b">
        <v>0</v>
      </c>
      <c r="F1045">
        <v>50</v>
      </c>
      <c r="G1045">
        <v>138</v>
      </c>
      <c r="H1045" t="s">
        <v>11</v>
      </c>
      <c r="I1045" t="b">
        <v>0</v>
      </c>
      <c r="J1045" cm="1">
        <f t="array" ref="J1045">sentimentCalc(B1045)</f>
        <v>0</v>
      </c>
      <c r="K1045" t="str" cm="1">
        <f t="array" ref="K1045">sentimentCategory(J1045)</f>
        <v>Neutral</v>
      </c>
    </row>
    <row r="1046" spans="1:11" ht="17" x14ac:dyDescent="0.2">
      <c r="A1046" t="s">
        <v>5705</v>
      </c>
      <c r="B1046" s="1" t="s">
        <v>5706</v>
      </c>
      <c r="C1046" t="s">
        <v>938</v>
      </c>
      <c r="D1046" s="1" t="s">
        <v>2</v>
      </c>
      <c r="E1046" t="b">
        <v>0</v>
      </c>
      <c r="F1046">
        <v>17</v>
      </c>
      <c r="G1046">
        <v>148</v>
      </c>
      <c r="H1046" t="s">
        <v>11</v>
      </c>
      <c r="I1046" t="b">
        <v>0</v>
      </c>
      <c r="J1046" cm="1">
        <f t="array" ref="J1046">sentimentCalc(B1046)</f>
        <v>0</v>
      </c>
      <c r="K1046" t="str" cm="1">
        <f t="array" ref="K1046">sentimentCategory(J1046)</f>
        <v>Neutral</v>
      </c>
    </row>
    <row r="1047" spans="1:11" ht="17" x14ac:dyDescent="0.2">
      <c r="A1047" t="s">
        <v>419</v>
      </c>
      <c r="B1047" s="1" t="s">
        <v>420</v>
      </c>
      <c r="C1047" t="s">
        <v>311</v>
      </c>
      <c r="D1047" s="1" t="s">
        <v>312</v>
      </c>
      <c r="E1047" t="b">
        <v>0</v>
      </c>
      <c r="F1047">
        <v>207</v>
      </c>
      <c r="G1047">
        <v>630</v>
      </c>
      <c r="H1047" t="s">
        <v>11</v>
      </c>
      <c r="I1047" t="b">
        <v>0</v>
      </c>
      <c r="J1047" cm="1">
        <f t="array" ref="J1047">sentimentCalc(B1047)</f>
        <v>1</v>
      </c>
      <c r="K1047" t="str" cm="1">
        <f t="array" ref="K1047">sentimentCategory(J1047)</f>
        <v>Positive</v>
      </c>
    </row>
    <row r="1048" spans="1:11" ht="17" x14ac:dyDescent="0.2">
      <c r="A1048" t="s">
        <v>3001</v>
      </c>
      <c r="B1048" s="1" t="s">
        <v>3002</v>
      </c>
      <c r="C1048" t="s">
        <v>2363</v>
      </c>
      <c r="D1048" s="1" t="s">
        <v>2</v>
      </c>
      <c r="E1048" t="b">
        <v>0</v>
      </c>
      <c r="F1048">
        <v>222</v>
      </c>
      <c r="G1048">
        <v>224</v>
      </c>
      <c r="H1048" t="s">
        <v>11</v>
      </c>
      <c r="I1048" t="b">
        <v>0</v>
      </c>
      <c r="J1048" cm="1">
        <f t="array" ref="J1048">sentimentCalc(B1048)</f>
        <v>0</v>
      </c>
      <c r="K1048" t="str" cm="1">
        <f t="array" ref="K1048">sentimentCategory(J1048)</f>
        <v>Neutral</v>
      </c>
    </row>
    <row r="1049" spans="1:11" ht="17" x14ac:dyDescent="0.2">
      <c r="A1049" t="s">
        <v>1285</v>
      </c>
      <c r="B1049" s="1" t="s">
        <v>1286</v>
      </c>
      <c r="C1049" t="s">
        <v>1287</v>
      </c>
      <c r="D1049" s="1" t="s">
        <v>1288</v>
      </c>
      <c r="E1049" t="b">
        <v>0</v>
      </c>
      <c r="F1049">
        <v>850</v>
      </c>
      <c r="G1049">
        <v>262</v>
      </c>
      <c r="H1049" t="s">
        <v>11</v>
      </c>
      <c r="I1049" t="b">
        <v>0</v>
      </c>
      <c r="J1049" cm="1">
        <f t="array" ref="J1049">sentimentCalc(B1049)</f>
        <v>0</v>
      </c>
      <c r="K1049" t="str" cm="1">
        <f t="array" ref="K1049">sentimentCategory(J1049)</f>
        <v>Neutral</v>
      </c>
    </row>
    <row r="1050" spans="1:11" ht="17" x14ac:dyDescent="0.2">
      <c r="A1050" t="s">
        <v>3385</v>
      </c>
      <c r="B1050" s="1" t="s">
        <v>3386</v>
      </c>
      <c r="C1050" t="s">
        <v>3387</v>
      </c>
      <c r="D1050" s="1" t="s">
        <v>3388</v>
      </c>
      <c r="E1050" t="b">
        <v>0</v>
      </c>
      <c r="F1050">
        <v>1035</v>
      </c>
      <c r="G1050">
        <v>1628</v>
      </c>
      <c r="H1050" t="s">
        <v>11</v>
      </c>
      <c r="I1050" t="b">
        <v>0</v>
      </c>
      <c r="J1050" cm="1">
        <f t="array" ref="J1050">sentimentCalc(B1050)</f>
        <v>0</v>
      </c>
      <c r="K1050" t="str" cm="1">
        <f t="array" ref="K1050">sentimentCategory(J1050)</f>
        <v>Neutral</v>
      </c>
    </row>
    <row r="1051" spans="1:11" ht="17" x14ac:dyDescent="0.2">
      <c r="A1051" t="s">
        <v>3507</v>
      </c>
      <c r="B1051" s="1" t="s">
        <v>3508</v>
      </c>
      <c r="C1051" t="s">
        <v>3509</v>
      </c>
      <c r="D1051" s="1" t="s">
        <v>168</v>
      </c>
      <c r="E1051" t="b">
        <v>0</v>
      </c>
      <c r="F1051">
        <v>96</v>
      </c>
      <c r="G1051">
        <v>73</v>
      </c>
      <c r="H1051" t="s">
        <v>11</v>
      </c>
      <c r="I1051" t="b">
        <v>0</v>
      </c>
      <c r="J1051" cm="1">
        <f t="array" ref="J1051">sentimentCalc(B1051)</f>
        <v>0</v>
      </c>
      <c r="K1051" t="str" cm="1">
        <f t="array" ref="K1051">sentimentCategory(J1051)</f>
        <v>Neutral</v>
      </c>
    </row>
    <row r="1052" spans="1:11" ht="17" x14ac:dyDescent="0.2">
      <c r="A1052" t="s">
        <v>4320</v>
      </c>
      <c r="B1052" s="1" t="s">
        <v>4321</v>
      </c>
      <c r="C1052" t="s">
        <v>1834</v>
      </c>
      <c r="D1052" s="1" t="s">
        <v>2</v>
      </c>
      <c r="E1052" t="b">
        <v>0</v>
      </c>
      <c r="F1052">
        <v>123</v>
      </c>
      <c r="G1052">
        <v>93</v>
      </c>
      <c r="H1052" t="s">
        <v>11</v>
      </c>
      <c r="I1052" t="b">
        <v>0</v>
      </c>
      <c r="J1052" cm="1">
        <f t="array" ref="J1052">sentimentCalc(B1052)</f>
        <v>0</v>
      </c>
      <c r="K1052" t="str" cm="1">
        <f t="array" ref="K1052">sentimentCategory(J1052)</f>
        <v>Neutral</v>
      </c>
    </row>
    <row r="1053" spans="1:11" ht="17" x14ac:dyDescent="0.2">
      <c r="A1053" t="s">
        <v>5402</v>
      </c>
      <c r="B1053" s="1" t="s">
        <v>5403</v>
      </c>
      <c r="C1053" t="s">
        <v>1981</v>
      </c>
      <c r="D1053" s="1" t="s">
        <v>2</v>
      </c>
      <c r="E1053" t="b">
        <v>0</v>
      </c>
      <c r="F1053">
        <v>128</v>
      </c>
      <c r="G1053">
        <v>427</v>
      </c>
      <c r="H1053" t="s">
        <v>11</v>
      </c>
      <c r="I1053" t="b">
        <v>0</v>
      </c>
      <c r="J1053" cm="1">
        <f t="array" ref="J1053">sentimentCalc(B1053)</f>
        <v>0</v>
      </c>
      <c r="K1053" t="str" cm="1">
        <f t="array" ref="K1053">sentimentCategory(J1053)</f>
        <v>Neutral</v>
      </c>
    </row>
    <row r="1054" spans="1:11" ht="34" x14ac:dyDescent="0.2">
      <c r="A1054" t="s">
        <v>2030</v>
      </c>
      <c r="B1054" s="1" t="s">
        <v>2031</v>
      </c>
      <c r="C1054" t="s">
        <v>894</v>
      </c>
      <c r="D1054" s="1" t="s">
        <v>1653</v>
      </c>
      <c r="E1054" t="b">
        <v>0</v>
      </c>
      <c r="F1054">
        <v>601</v>
      </c>
      <c r="G1054">
        <v>23</v>
      </c>
      <c r="H1054" t="s">
        <v>11</v>
      </c>
      <c r="I1054" t="b">
        <v>0</v>
      </c>
      <c r="J1054" cm="1">
        <f t="array" ref="J1054">sentimentCalc(B1054)</f>
        <v>0</v>
      </c>
      <c r="K1054" t="str" cm="1">
        <f t="array" ref="K1054">sentimentCategory(J1054)</f>
        <v>Neutral</v>
      </c>
    </row>
    <row r="1055" spans="1:11" ht="17" x14ac:dyDescent="0.2">
      <c r="A1055" t="s">
        <v>3928</v>
      </c>
      <c r="B1055" s="1" t="s">
        <v>3929</v>
      </c>
      <c r="C1055" t="s">
        <v>2642</v>
      </c>
      <c r="D1055" s="1" t="s">
        <v>3686</v>
      </c>
      <c r="E1055" t="b">
        <v>0</v>
      </c>
      <c r="F1055">
        <v>39272</v>
      </c>
      <c r="G1055">
        <v>193</v>
      </c>
      <c r="H1055" t="s">
        <v>11</v>
      </c>
      <c r="I1055" t="b">
        <v>0</v>
      </c>
      <c r="J1055" cm="1">
        <f t="array" ref="J1055">sentimentCalc(B1055)</f>
        <v>0</v>
      </c>
      <c r="K1055" t="str" cm="1">
        <f t="array" ref="K1055">sentimentCategory(J1055)</f>
        <v>Neutral</v>
      </c>
    </row>
    <row r="1056" spans="1:11" ht="17" x14ac:dyDescent="0.2">
      <c r="A1056" t="s">
        <v>1566</v>
      </c>
      <c r="B1056" s="1" t="s">
        <v>1567</v>
      </c>
      <c r="C1056" t="s">
        <v>1568</v>
      </c>
      <c r="D1056" s="1" t="s">
        <v>1569</v>
      </c>
      <c r="E1056" t="b">
        <v>0</v>
      </c>
      <c r="F1056">
        <v>1310</v>
      </c>
      <c r="G1056">
        <v>3065</v>
      </c>
      <c r="H1056" t="s">
        <v>11</v>
      </c>
      <c r="I1056" t="b">
        <v>0</v>
      </c>
      <c r="J1056" cm="1">
        <f t="array" ref="J1056">sentimentCalc(B1056)</f>
        <v>0</v>
      </c>
      <c r="K1056" t="str" cm="1">
        <f t="array" ref="K1056">sentimentCategory(J1056)</f>
        <v>Neutral</v>
      </c>
    </row>
    <row r="1057" spans="1:11" ht="17" x14ac:dyDescent="0.2">
      <c r="A1057" t="s">
        <v>3988</v>
      </c>
      <c r="B1057" s="1" t="s">
        <v>3989</v>
      </c>
      <c r="C1057" t="s">
        <v>575</v>
      </c>
      <c r="D1057" s="1" t="s">
        <v>2</v>
      </c>
      <c r="E1057" t="b">
        <v>0</v>
      </c>
      <c r="F1057">
        <v>562</v>
      </c>
      <c r="G1057">
        <v>193</v>
      </c>
      <c r="H1057" t="s">
        <v>3</v>
      </c>
      <c r="I1057" t="b">
        <v>0</v>
      </c>
      <c r="J1057" cm="1">
        <f t="array" ref="J1057">sentimentCalc(B1057)</f>
        <v>0</v>
      </c>
      <c r="K1057" t="str" cm="1">
        <f t="array" ref="K1057">sentimentCategory(J1057)</f>
        <v>Neutral</v>
      </c>
    </row>
    <row r="1058" spans="1:11" ht="34" x14ac:dyDescent="0.2">
      <c r="A1058" t="s">
        <v>549</v>
      </c>
      <c r="B1058" s="1" t="s">
        <v>550</v>
      </c>
      <c r="C1058" t="s">
        <v>67</v>
      </c>
      <c r="D1058" s="1" t="s">
        <v>551</v>
      </c>
      <c r="E1058" t="b">
        <v>0</v>
      </c>
      <c r="F1058">
        <v>759</v>
      </c>
      <c r="G1058">
        <v>867</v>
      </c>
      <c r="H1058" t="s">
        <v>11</v>
      </c>
      <c r="I1058" t="b">
        <v>0</v>
      </c>
      <c r="J1058" cm="1">
        <f t="array" ref="J1058">sentimentCalc(B1058)</f>
        <v>1</v>
      </c>
      <c r="K1058" t="str" cm="1">
        <f t="array" ref="K1058">sentimentCategory(J1058)</f>
        <v>Positive</v>
      </c>
    </row>
    <row r="1059" spans="1:11" ht="17" x14ac:dyDescent="0.2">
      <c r="A1059" t="s">
        <v>2408</v>
      </c>
      <c r="B1059" s="1" t="s">
        <v>2409</v>
      </c>
      <c r="C1059" t="s">
        <v>226</v>
      </c>
      <c r="D1059" s="1" t="s">
        <v>2410</v>
      </c>
      <c r="E1059" t="b">
        <v>0</v>
      </c>
      <c r="F1059">
        <v>241</v>
      </c>
      <c r="G1059">
        <v>301</v>
      </c>
      <c r="H1059" t="s">
        <v>11</v>
      </c>
      <c r="I1059" t="b">
        <v>0</v>
      </c>
      <c r="J1059" cm="1">
        <f t="array" ref="J1059">sentimentCalc(B1059)</f>
        <v>0</v>
      </c>
      <c r="K1059" t="str" cm="1">
        <f t="array" ref="K1059">sentimentCategory(J1059)</f>
        <v>Neutral</v>
      </c>
    </row>
    <row r="1060" spans="1:11" ht="17" x14ac:dyDescent="0.2">
      <c r="A1060" t="s">
        <v>4919</v>
      </c>
      <c r="B1060" s="1" t="s">
        <v>4920</v>
      </c>
      <c r="C1060" t="s">
        <v>4921</v>
      </c>
      <c r="D1060" s="1" t="s">
        <v>2</v>
      </c>
      <c r="E1060" t="b">
        <v>0</v>
      </c>
      <c r="F1060">
        <v>64</v>
      </c>
      <c r="G1060">
        <v>97</v>
      </c>
      <c r="H1060" t="s">
        <v>11</v>
      </c>
      <c r="I1060" t="b">
        <v>0</v>
      </c>
      <c r="J1060" cm="1">
        <f t="array" ref="J1060">sentimentCalc(B1060)</f>
        <v>0</v>
      </c>
      <c r="K1060" t="str" cm="1">
        <f t="array" ref="K1060">sentimentCategory(J1060)</f>
        <v>Neutral</v>
      </c>
    </row>
    <row r="1061" spans="1:11" ht="34" x14ac:dyDescent="0.2">
      <c r="A1061" t="s">
        <v>6568</v>
      </c>
      <c r="B1061" s="1" t="s">
        <v>6569</v>
      </c>
      <c r="C1061" t="s">
        <v>4076</v>
      </c>
      <c r="D1061" s="1" t="s">
        <v>2</v>
      </c>
      <c r="E1061" t="b">
        <v>0</v>
      </c>
      <c r="F1061">
        <v>1569</v>
      </c>
      <c r="G1061">
        <v>1822</v>
      </c>
      <c r="H1061" t="s">
        <v>11</v>
      </c>
      <c r="I1061" t="b">
        <v>0</v>
      </c>
      <c r="J1061" cm="1">
        <f t="array" ref="J1061">sentimentCalc(B1061)</f>
        <v>2</v>
      </c>
      <c r="K1061" t="str" cm="1">
        <f t="array" ref="K1061">sentimentCategory(J1061)</f>
        <v>Positive</v>
      </c>
    </row>
    <row r="1062" spans="1:11" ht="17" x14ac:dyDescent="0.2">
      <c r="A1062" t="s">
        <v>5462</v>
      </c>
      <c r="B1062" s="1" t="s">
        <v>5463</v>
      </c>
      <c r="C1062" t="s">
        <v>5464</v>
      </c>
      <c r="E1062" t="b">
        <v>0</v>
      </c>
      <c r="F1062">
        <v>5744</v>
      </c>
      <c r="G1062">
        <v>6127</v>
      </c>
      <c r="H1062" t="s">
        <v>3</v>
      </c>
      <c r="I1062" t="b">
        <v>0</v>
      </c>
      <c r="J1062" cm="1">
        <f t="array" ref="J1062">sentimentCalc(B1062)</f>
        <v>1</v>
      </c>
      <c r="K1062" t="str" cm="1">
        <f t="array" ref="K1062">sentimentCategory(J1062)</f>
        <v>Positive</v>
      </c>
    </row>
    <row r="1063" spans="1:11" ht="17" x14ac:dyDescent="0.2">
      <c r="A1063" t="s">
        <v>3418</v>
      </c>
      <c r="B1063" s="1" t="s">
        <v>3419</v>
      </c>
      <c r="C1063" t="s">
        <v>1614</v>
      </c>
      <c r="D1063" s="1" t="s">
        <v>2</v>
      </c>
      <c r="E1063" t="b">
        <v>0</v>
      </c>
      <c r="F1063">
        <v>225</v>
      </c>
      <c r="G1063">
        <v>909</v>
      </c>
      <c r="H1063" t="s">
        <v>11</v>
      </c>
      <c r="I1063" t="b">
        <v>0</v>
      </c>
      <c r="J1063" cm="1">
        <f t="array" ref="J1063">sentimentCalc(B1063)</f>
        <v>0</v>
      </c>
      <c r="K1063" t="str" cm="1">
        <f t="array" ref="K1063">sentimentCategory(J1063)</f>
        <v>Neutral</v>
      </c>
    </row>
    <row r="1064" spans="1:11" ht="17" x14ac:dyDescent="0.2">
      <c r="A1064" t="s">
        <v>2156</v>
      </c>
      <c r="B1064" s="1" t="s">
        <v>2158</v>
      </c>
      <c r="C1064" t="s">
        <v>2159</v>
      </c>
      <c r="D1064" s="1" t="s">
        <v>2</v>
      </c>
      <c r="E1064" t="b">
        <v>0</v>
      </c>
      <c r="F1064">
        <v>347</v>
      </c>
      <c r="G1064">
        <v>270</v>
      </c>
      <c r="H1064" t="s">
        <v>11</v>
      </c>
      <c r="I1064" t="b">
        <v>0</v>
      </c>
      <c r="J1064" cm="1">
        <f t="array" ref="J1064">sentimentCalc(B1064)</f>
        <v>0</v>
      </c>
      <c r="K1064" t="str" cm="1">
        <f t="array" ref="K1064">sentimentCategory(J1064)</f>
        <v>Neutral</v>
      </c>
    </row>
    <row r="1065" spans="1:11" ht="34" x14ac:dyDescent="0.2">
      <c r="A1065" t="s">
        <v>1277</v>
      </c>
      <c r="B1065" s="1" t="s">
        <v>1278</v>
      </c>
      <c r="C1065" t="s">
        <v>1279</v>
      </c>
      <c r="D1065" s="1" t="s">
        <v>2</v>
      </c>
      <c r="E1065" t="b">
        <v>0</v>
      </c>
      <c r="F1065">
        <v>3</v>
      </c>
      <c r="G1065">
        <v>132</v>
      </c>
      <c r="H1065" t="s">
        <v>11</v>
      </c>
      <c r="I1065" t="b">
        <v>0</v>
      </c>
      <c r="J1065" cm="1">
        <f t="array" ref="J1065">sentimentCalc(B1065)</f>
        <v>0</v>
      </c>
      <c r="K1065" t="str" cm="1">
        <f t="array" ref="K1065">sentimentCategory(J1065)</f>
        <v>Neutral</v>
      </c>
    </row>
    <row r="1066" spans="1:11" ht="34" x14ac:dyDescent="0.2">
      <c r="A1066" t="s">
        <v>956</v>
      </c>
      <c r="B1066" s="1" t="s">
        <v>957</v>
      </c>
      <c r="C1066" t="s">
        <v>958</v>
      </c>
      <c r="D1066" s="1" t="s">
        <v>2</v>
      </c>
      <c r="E1066" t="b">
        <v>0</v>
      </c>
      <c r="F1066">
        <v>214</v>
      </c>
      <c r="G1066">
        <v>393</v>
      </c>
      <c r="H1066" t="s">
        <v>11</v>
      </c>
      <c r="I1066" t="b">
        <v>0</v>
      </c>
      <c r="J1066" cm="1">
        <f t="array" ref="J1066">sentimentCalc(B1066)</f>
        <v>1</v>
      </c>
      <c r="K1066" t="str" cm="1">
        <f t="array" ref="K1066">sentimentCategory(J1066)</f>
        <v>Positive</v>
      </c>
    </row>
    <row r="1067" spans="1:11" ht="34" x14ac:dyDescent="0.2">
      <c r="A1067" t="s">
        <v>3423</v>
      </c>
      <c r="B1067" s="1" t="s">
        <v>3424</v>
      </c>
      <c r="C1067" t="s">
        <v>3425</v>
      </c>
      <c r="D1067" s="1" t="s">
        <v>3426</v>
      </c>
      <c r="E1067" t="b">
        <v>0</v>
      </c>
      <c r="F1067">
        <v>1552</v>
      </c>
      <c r="G1067">
        <v>433</v>
      </c>
      <c r="H1067" t="s">
        <v>11</v>
      </c>
      <c r="I1067" t="b">
        <v>0</v>
      </c>
      <c r="J1067" cm="1">
        <f t="array" ref="J1067">sentimentCalc(B1067)</f>
        <v>1</v>
      </c>
      <c r="K1067" t="str" cm="1">
        <f t="array" ref="K1067">sentimentCategory(J1067)</f>
        <v>Positive</v>
      </c>
    </row>
    <row r="1068" spans="1:11" ht="17" x14ac:dyDescent="0.2">
      <c r="A1068" t="s">
        <v>5268</v>
      </c>
      <c r="B1068" s="1" t="s">
        <v>5269</v>
      </c>
      <c r="C1068" t="s">
        <v>289</v>
      </c>
      <c r="D1068" s="1" t="s">
        <v>2</v>
      </c>
      <c r="E1068" t="b">
        <v>0</v>
      </c>
      <c r="F1068">
        <v>3634</v>
      </c>
      <c r="G1068">
        <v>3732</v>
      </c>
      <c r="H1068" t="s">
        <v>11</v>
      </c>
      <c r="I1068" t="b">
        <v>0</v>
      </c>
      <c r="J1068" cm="1">
        <f t="array" ref="J1068">sentimentCalc(B1068)</f>
        <v>0</v>
      </c>
      <c r="K1068" t="str" cm="1">
        <f t="array" ref="K1068">sentimentCategory(J1068)</f>
        <v>Neutral</v>
      </c>
    </row>
    <row r="1069" spans="1:11" ht="17" x14ac:dyDescent="0.2">
      <c r="A1069" t="s">
        <v>3956</v>
      </c>
      <c r="B1069" s="1" t="s">
        <v>3957</v>
      </c>
      <c r="C1069" t="s">
        <v>591</v>
      </c>
      <c r="D1069" s="1" t="s">
        <v>595</v>
      </c>
      <c r="E1069" t="b">
        <v>0</v>
      </c>
      <c r="F1069">
        <v>91</v>
      </c>
      <c r="G1069">
        <v>751</v>
      </c>
      <c r="H1069" t="s">
        <v>11</v>
      </c>
      <c r="I1069" t="b">
        <v>0</v>
      </c>
      <c r="J1069" cm="1">
        <f t="array" ref="J1069">sentimentCalc(B1069)</f>
        <v>0</v>
      </c>
      <c r="K1069" t="str" cm="1">
        <f t="array" ref="K1069">sentimentCategory(J1069)</f>
        <v>Neutral</v>
      </c>
    </row>
    <row r="1070" spans="1:11" ht="34" x14ac:dyDescent="0.2">
      <c r="A1070" t="s">
        <v>4526</v>
      </c>
      <c r="B1070" s="1" t="s">
        <v>4527</v>
      </c>
      <c r="C1070" t="s">
        <v>275</v>
      </c>
      <c r="D1070" s="1" t="s">
        <v>565</v>
      </c>
      <c r="E1070" t="b">
        <v>0</v>
      </c>
      <c r="F1070">
        <v>299</v>
      </c>
      <c r="G1070">
        <v>310</v>
      </c>
      <c r="H1070" t="s">
        <v>11</v>
      </c>
      <c r="I1070" t="b">
        <v>0</v>
      </c>
      <c r="J1070" cm="1">
        <f t="array" ref="J1070">sentimentCalc(B1070)</f>
        <v>0</v>
      </c>
      <c r="K1070" t="str" cm="1">
        <f t="array" ref="K1070">sentimentCategory(J1070)</f>
        <v>Neutral</v>
      </c>
    </row>
    <row r="1071" spans="1:11" ht="17" x14ac:dyDescent="0.2">
      <c r="A1071" t="s">
        <v>4561</v>
      </c>
      <c r="B1071" s="1" t="s">
        <v>4562</v>
      </c>
      <c r="C1071" t="s">
        <v>4563</v>
      </c>
      <c r="D1071" s="1" t="s">
        <v>2</v>
      </c>
      <c r="E1071" t="b">
        <v>0</v>
      </c>
      <c r="F1071">
        <v>13</v>
      </c>
      <c r="G1071">
        <v>50</v>
      </c>
      <c r="H1071" t="s">
        <v>11</v>
      </c>
      <c r="I1071" t="b">
        <v>0</v>
      </c>
      <c r="J1071" cm="1">
        <f t="array" ref="J1071">sentimentCalc(B1071)</f>
        <v>0</v>
      </c>
      <c r="K1071" t="str" cm="1">
        <f t="array" ref="K1071">sentimentCategory(J1071)</f>
        <v>Neutral</v>
      </c>
    </row>
    <row r="1072" spans="1:11" ht="17" x14ac:dyDescent="0.2">
      <c r="A1072" t="s">
        <v>1714</v>
      </c>
      <c r="B1072" s="1" t="s">
        <v>1715</v>
      </c>
      <c r="C1072" t="s">
        <v>1716</v>
      </c>
      <c r="D1072" s="1" t="s">
        <v>1717</v>
      </c>
      <c r="E1072" t="b">
        <v>0</v>
      </c>
      <c r="F1072">
        <v>202</v>
      </c>
      <c r="G1072">
        <v>424</v>
      </c>
      <c r="H1072" t="s">
        <v>11</v>
      </c>
      <c r="I1072" t="b">
        <v>0</v>
      </c>
      <c r="J1072" cm="1">
        <f t="array" ref="J1072">sentimentCalc(B1072)</f>
        <v>1</v>
      </c>
      <c r="K1072" t="str" cm="1">
        <f t="array" ref="K1072">sentimentCategory(J1072)</f>
        <v>Positive</v>
      </c>
    </row>
    <row r="1073" spans="1:11" ht="34" x14ac:dyDescent="0.2">
      <c r="A1073" t="s">
        <v>731</v>
      </c>
      <c r="B1073" s="1" t="s">
        <v>732</v>
      </c>
      <c r="C1073" t="s">
        <v>733</v>
      </c>
      <c r="D1073" s="1" t="s">
        <v>2</v>
      </c>
      <c r="E1073" t="b">
        <v>0</v>
      </c>
      <c r="F1073">
        <v>46</v>
      </c>
      <c r="G1073">
        <v>96</v>
      </c>
      <c r="H1073" t="s">
        <v>11</v>
      </c>
      <c r="I1073" t="b">
        <v>0</v>
      </c>
      <c r="J1073" cm="1">
        <f t="array" ref="J1073">sentimentCalc(B1073)</f>
        <v>0</v>
      </c>
      <c r="K1073" t="str" cm="1">
        <f t="array" ref="K1073">sentimentCategory(J1073)</f>
        <v>Neutral</v>
      </c>
    </row>
    <row r="1074" spans="1:11" ht="17" x14ac:dyDescent="0.2">
      <c r="A1074" t="s">
        <v>922</v>
      </c>
      <c r="B1074" s="1" t="s">
        <v>923</v>
      </c>
      <c r="C1074" t="s">
        <v>554</v>
      </c>
      <c r="D1074" s="1" t="s">
        <v>924</v>
      </c>
      <c r="E1074" t="b">
        <v>0</v>
      </c>
      <c r="F1074">
        <v>4140</v>
      </c>
      <c r="G1074">
        <v>2233</v>
      </c>
      <c r="H1074" t="s">
        <v>83</v>
      </c>
      <c r="I1074" t="b">
        <v>0</v>
      </c>
      <c r="J1074" cm="1">
        <f t="array" ref="J1074">sentimentCalc(B1074)</f>
        <v>0</v>
      </c>
      <c r="K1074" t="str" cm="1">
        <f t="array" ref="K1074">sentimentCategory(J1074)</f>
        <v>Neutral</v>
      </c>
    </row>
    <row r="1075" spans="1:11" ht="34" x14ac:dyDescent="0.2">
      <c r="A1075" t="s">
        <v>1756</v>
      </c>
      <c r="B1075" s="1" t="s">
        <v>1757</v>
      </c>
      <c r="C1075" t="s">
        <v>57</v>
      </c>
      <c r="D1075" s="1" t="s">
        <v>2</v>
      </c>
      <c r="E1075" t="b">
        <v>0</v>
      </c>
      <c r="F1075">
        <v>77</v>
      </c>
      <c r="G1075">
        <v>115</v>
      </c>
      <c r="H1075" t="s">
        <v>11</v>
      </c>
      <c r="I1075" t="b">
        <v>0</v>
      </c>
      <c r="J1075" cm="1">
        <f t="array" ref="J1075">sentimentCalc(B1075)</f>
        <v>-1</v>
      </c>
      <c r="K1075" t="str" cm="1">
        <f t="array" ref="K1075">sentimentCategory(J1075)</f>
        <v>Negative</v>
      </c>
    </row>
    <row r="1076" spans="1:11" ht="34" x14ac:dyDescent="0.2">
      <c r="A1076" t="s">
        <v>1417</v>
      </c>
      <c r="B1076" s="1" t="s">
        <v>1418</v>
      </c>
      <c r="C1076" t="s">
        <v>1419</v>
      </c>
      <c r="D1076" s="1" t="s">
        <v>2</v>
      </c>
      <c r="E1076" t="b">
        <v>0</v>
      </c>
      <c r="F1076">
        <v>21</v>
      </c>
      <c r="G1076">
        <v>101</v>
      </c>
      <c r="H1076" t="s">
        <v>11</v>
      </c>
      <c r="I1076" t="b">
        <v>0</v>
      </c>
      <c r="J1076" cm="1">
        <f t="array" ref="J1076">sentimentCalc(B1076)</f>
        <v>0</v>
      </c>
      <c r="K1076" t="str" cm="1">
        <f t="array" ref="K1076">sentimentCategory(J1076)</f>
        <v>Neutral</v>
      </c>
    </row>
    <row r="1077" spans="1:11" ht="17" x14ac:dyDescent="0.2">
      <c r="A1077" t="s">
        <v>4780</v>
      </c>
      <c r="B1077" s="1" t="s">
        <v>4781</v>
      </c>
      <c r="C1077" t="s">
        <v>509</v>
      </c>
      <c r="D1077" s="1" t="s">
        <v>4509</v>
      </c>
      <c r="E1077" t="b">
        <v>0</v>
      </c>
      <c r="F1077">
        <v>129</v>
      </c>
      <c r="G1077">
        <v>603</v>
      </c>
      <c r="H1077" t="s">
        <v>11</v>
      </c>
      <c r="I1077" t="b">
        <v>0</v>
      </c>
      <c r="J1077" cm="1">
        <f t="array" ref="J1077">sentimentCalc(B1077)</f>
        <v>0</v>
      </c>
      <c r="K1077" t="str" cm="1">
        <f t="array" ref="K1077">sentimentCategory(J1077)</f>
        <v>Neutral</v>
      </c>
    </row>
    <row r="1078" spans="1:11" ht="34" x14ac:dyDescent="0.2">
      <c r="A1078" t="s">
        <v>4644</v>
      </c>
      <c r="B1078" s="1" t="s">
        <v>4645</v>
      </c>
      <c r="C1078" t="s">
        <v>4646</v>
      </c>
      <c r="D1078" s="1" t="s">
        <v>4647</v>
      </c>
      <c r="E1078" t="b">
        <v>0</v>
      </c>
      <c r="F1078">
        <v>1607</v>
      </c>
      <c r="G1078">
        <v>1364</v>
      </c>
      <c r="H1078" t="s">
        <v>11</v>
      </c>
      <c r="I1078" t="b">
        <v>0</v>
      </c>
      <c r="J1078" cm="1">
        <f t="array" ref="J1078">sentimentCalc(B1078)</f>
        <v>0</v>
      </c>
      <c r="K1078" t="str" cm="1">
        <f t="array" ref="K1078">sentimentCategory(J1078)</f>
        <v>Neutral</v>
      </c>
    </row>
    <row r="1079" spans="1:11" ht="34" x14ac:dyDescent="0.2">
      <c r="A1079" t="s">
        <v>1140</v>
      </c>
      <c r="B1079" s="1" t="s">
        <v>1141</v>
      </c>
      <c r="C1079" t="s">
        <v>1138</v>
      </c>
      <c r="D1079" s="1" t="s">
        <v>1139</v>
      </c>
      <c r="E1079" t="b">
        <v>0</v>
      </c>
      <c r="F1079">
        <v>4774</v>
      </c>
      <c r="G1079">
        <v>1095</v>
      </c>
      <c r="H1079" t="s">
        <v>11</v>
      </c>
      <c r="I1079" t="b">
        <v>0</v>
      </c>
      <c r="J1079" cm="1">
        <f t="array" ref="J1079">sentimentCalc(B1079)</f>
        <v>1</v>
      </c>
      <c r="K1079" t="str" cm="1">
        <f t="array" ref="K1079">sentimentCategory(J1079)</f>
        <v>Positive</v>
      </c>
    </row>
    <row r="1080" spans="1:11" ht="17" x14ac:dyDescent="0.2">
      <c r="A1080" t="s">
        <v>1060</v>
      </c>
      <c r="B1080" s="1" t="s">
        <v>1061</v>
      </c>
      <c r="C1080" t="s">
        <v>760</v>
      </c>
      <c r="D1080" s="1" t="s">
        <v>1062</v>
      </c>
      <c r="E1080" t="b">
        <v>0</v>
      </c>
      <c r="F1080">
        <v>4493</v>
      </c>
      <c r="G1080">
        <v>4254</v>
      </c>
      <c r="H1080" t="s">
        <v>11</v>
      </c>
      <c r="I1080" t="b">
        <v>0</v>
      </c>
      <c r="J1080" cm="1">
        <f t="array" ref="J1080">sentimentCalc(B1080)</f>
        <v>0</v>
      </c>
      <c r="K1080" t="str" cm="1">
        <f t="array" ref="K1080">sentimentCategory(J1080)</f>
        <v>Neutral</v>
      </c>
    </row>
    <row r="1081" spans="1:11" ht="17" x14ac:dyDescent="0.2">
      <c r="A1081" t="s">
        <v>3413</v>
      </c>
      <c r="B1081" s="1" t="s">
        <v>3414</v>
      </c>
      <c r="C1081" t="s">
        <v>2867</v>
      </c>
      <c r="D1081" s="1" t="s">
        <v>2</v>
      </c>
      <c r="E1081" t="b">
        <v>0</v>
      </c>
      <c r="F1081">
        <v>15</v>
      </c>
      <c r="G1081">
        <v>368</v>
      </c>
      <c r="H1081" t="s">
        <v>11</v>
      </c>
      <c r="I1081" t="b">
        <v>0</v>
      </c>
      <c r="J1081" cm="1">
        <f t="array" ref="J1081">sentimentCalc(B1081)</f>
        <v>0</v>
      </c>
      <c r="K1081" t="str" cm="1">
        <f t="array" ref="K1081">sentimentCategory(J1081)</f>
        <v>Neutral</v>
      </c>
    </row>
    <row r="1082" spans="1:11" ht="34" x14ac:dyDescent="0.2">
      <c r="A1082" t="s">
        <v>3787</v>
      </c>
      <c r="B1082" s="1" t="s">
        <v>3788</v>
      </c>
      <c r="C1082" t="s">
        <v>1583</v>
      </c>
      <c r="D1082" s="1" t="s">
        <v>238</v>
      </c>
      <c r="E1082" t="b">
        <v>0</v>
      </c>
      <c r="F1082">
        <v>95</v>
      </c>
      <c r="G1082">
        <v>68</v>
      </c>
      <c r="H1082" t="s">
        <v>11</v>
      </c>
      <c r="I1082" t="b">
        <v>0</v>
      </c>
      <c r="J1082" cm="1">
        <f t="array" ref="J1082">sentimentCalc(B1082)</f>
        <v>1</v>
      </c>
      <c r="K1082" t="str" cm="1">
        <f t="array" ref="K1082">sentimentCategory(J1082)</f>
        <v>Positive</v>
      </c>
    </row>
    <row r="1083" spans="1:11" ht="34" x14ac:dyDescent="0.2">
      <c r="A1083" t="s">
        <v>2373</v>
      </c>
      <c r="B1083" s="1" t="s">
        <v>2374</v>
      </c>
      <c r="C1083" t="s">
        <v>2375</v>
      </c>
      <c r="D1083" s="1" t="s">
        <v>2</v>
      </c>
      <c r="E1083" t="b">
        <v>0</v>
      </c>
      <c r="F1083">
        <v>33252</v>
      </c>
      <c r="G1083">
        <v>505</v>
      </c>
      <c r="H1083" t="s">
        <v>11</v>
      </c>
      <c r="I1083" t="b">
        <v>0</v>
      </c>
      <c r="J1083" cm="1">
        <f t="array" ref="J1083">sentimentCalc(B1083)</f>
        <v>1</v>
      </c>
      <c r="K1083" t="str" cm="1">
        <f t="array" ref="K1083">sentimentCategory(J1083)</f>
        <v>Positive</v>
      </c>
    </row>
    <row r="1084" spans="1:11" ht="34" x14ac:dyDescent="0.2">
      <c r="A1084" t="s">
        <v>6035</v>
      </c>
      <c r="B1084" s="1" t="s">
        <v>6036</v>
      </c>
      <c r="C1084" t="s">
        <v>2486</v>
      </c>
      <c r="D1084" s="1" t="s">
        <v>6037</v>
      </c>
      <c r="E1084" t="b">
        <v>0</v>
      </c>
      <c r="F1084">
        <v>149</v>
      </c>
      <c r="G1084">
        <v>162</v>
      </c>
      <c r="H1084" t="s">
        <v>11</v>
      </c>
      <c r="I1084" t="b">
        <v>0</v>
      </c>
      <c r="J1084" cm="1">
        <f t="array" ref="J1084">sentimentCalc(B1084)</f>
        <v>0</v>
      </c>
      <c r="K1084" t="str" cm="1">
        <f t="array" ref="K1084">sentimentCategory(J1084)</f>
        <v>Neutral</v>
      </c>
    </row>
    <row r="1085" spans="1:11" ht="17" x14ac:dyDescent="0.2">
      <c r="A1085" t="s">
        <v>6228</v>
      </c>
      <c r="B1085" s="1" t="s">
        <v>6229</v>
      </c>
      <c r="C1085" t="s">
        <v>181</v>
      </c>
      <c r="D1085" s="1" t="s">
        <v>6230</v>
      </c>
      <c r="E1085" t="b">
        <v>0</v>
      </c>
      <c r="F1085">
        <v>15</v>
      </c>
      <c r="G1085">
        <v>109</v>
      </c>
      <c r="H1085" t="s">
        <v>11</v>
      </c>
      <c r="I1085" t="b">
        <v>0</v>
      </c>
      <c r="J1085" cm="1">
        <f t="array" ref="J1085">sentimentCalc(B1085)</f>
        <v>0</v>
      </c>
      <c r="K1085" t="str" cm="1">
        <f t="array" ref="K1085">sentimentCategory(J1085)</f>
        <v>Neutral</v>
      </c>
    </row>
    <row r="1086" spans="1:11" ht="34" x14ac:dyDescent="0.2">
      <c r="A1086" t="s">
        <v>6580</v>
      </c>
      <c r="B1086" s="1" t="s">
        <v>6581</v>
      </c>
      <c r="C1086" t="s">
        <v>4057</v>
      </c>
      <c r="D1086" s="1" t="s">
        <v>322</v>
      </c>
      <c r="E1086" t="b">
        <v>0</v>
      </c>
      <c r="F1086">
        <v>27</v>
      </c>
      <c r="G1086">
        <v>54</v>
      </c>
      <c r="H1086" t="s">
        <v>11</v>
      </c>
      <c r="I1086" t="b">
        <v>0</v>
      </c>
      <c r="J1086" cm="1">
        <f t="array" ref="J1086">sentimentCalc(B1086)</f>
        <v>1</v>
      </c>
      <c r="K1086" t="str" cm="1">
        <f t="array" ref="K1086">sentimentCategory(J1086)</f>
        <v>Positive</v>
      </c>
    </row>
    <row r="1087" spans="1:11" ht="34" x14ac:dyDescent="0.2">
      <c r="A1087" t="s">
        <v>2257</v>
      </c>
      <c r="B1087" s="1" t="s">
        <v>2258</v>
      </c>
      <c r="C1087" t="s">
        <v>2259</v>
      </c>
      <c r="D1087" s="1" t="s">
        <v>61</v>
      </c>
      <c r="E1087" t="b">
        <v>0</v>
      </c>
      <c r="F1087">
        <v>16</v>
      </c>
      <c r="G1087">
        <v>64</v>
      </c>
      <c r="H1087" t="s">
        <v>11</v>
      </c>
      <c r="I1087" t="b">
        <v>0</v>
      </c>
      <c r="J1087" cm="1">
        <f t="array" ref="J1087">sentimentCalc(B1087)</f>
        <v>0</v>
      </c>
      <c r="K1087" t="str" cm="1">
        <f t="array" ref="K1087">sentimentCategory(J1087)</f>
        <v>Neutral</v>
      </c>
    </row>
    <row r="1088" spans="1:11" ht="34" x14ac:dyDescent="0.2">
      <c r="A1088" t="s">
        <v>313</v>
      </c>
      <c r="B1088" s="1" t="s">
        <v>314</v>
      </c>
      <c r="C1088" t="s">
        <v>315</v>
      </c>
      <c r="D1088" s="1" t="s">
        <v>316</v>
      </c>
      <c r="E1088" t="b">
        <v>0</v>
      </c>
      <c r="F1088">
        <v>720</v>
      </c>
      <c r="G1088">
        <v>1404</v>
      </c>
      <c r="H1088" t="s">
        <v>11</v>
      </c>
      <c r="I1088" t="b">
        <v>0</v>
      </c>
      <c r="J1088" cm="1">
        <f t="array" ref="J1088">sentimentCalc(B1088)</f>
        <v>1</v>
      </c>
      <c r="K1088" t="str" cm="1">
        <f t="array" ref="K1088">sentimentCategory(J1088)</f>
        <v>Positive</v>
      </c>
    </row>
    <row r="1089" spans="1:11" ht="34" x14ac:dyDescent="0.2">
      <c r="A1089" t="s">
        <v>6278</v>
      </c>
      <c r="B1089" s="1" t="s">
        <v>6279</v>
      </c>
      <c r="C1089" t="s">
        <v>5887</v>
      </c>
      <c r="D1089" s="1" t="s">
        <v>6280</v>
      </c>
      <c r="E1089" t="b">
        <v>0</v>
      </c>
      <c r="F1089">
        <v>48</v>
      </c>
      <c r="G1089">
        <v>99</v>
      </c>
      <c r="H1089" t="s">
        <v>11</v>
      </c>
      <c r="I1089" t="b">
        <v>0</v>
      </c>
      <c r="J1089" cm="1">
        <f t="array" ref="J1089">sentimentCalc(B1089)</f>
        <v>0</v>
      </c>
      <c r="K1089" t="str" cm="1">
        <f t="array" ref="K1089">sentimentCategory(J1089)</f>
        <v>Neutral</v>
      </c>
    </row>
    <row r="1090" spans="1:11" ht="34" x14ac:dyDescent="0.2">
      <c r="A1090" t="s">
        <v>6188</v>
      </c>
      <c r="B1090" s="1" t="s">
        <v>6189</v>
      </c>
      <c r="C1090" t="s">
        <v>5216</v>
      </c>
      <c r="D1090" s="1" t="s">
        <v>2</v>
      </c>
      <c r="E1090" t="b">
        <v>0</v>
      </c>
      <c r="F1090">
        <v>3</v>
      </c>
      <c r="G1090">
        <v>5</v>
      </c>
      <c r="H1090" t="s">
        <v>11</v>
      </c>
      <c r="I1090" t="b">
        <v>0</v>
      </c>
      <c r="J1090" cm="1">
        <f t="array" ref="J1090">sentimentCalc(B1090)</f>
        <v>0</v>
      </c>
      <c r="K1090" t="str" cm="1">
        <f t="array" ref="K1090">sentimentCategory(J1090)</f>
        <v>Neutral</v>
      </c>
    </row>
    <row r="1091" spans="1:11" ht="34" x14ac:dyDescent="0.2">
      <c r="A1091" t="s">
        <v>5430</v>
      </c>
      <c r="B1091" s="1" t="s">
        <v>5431</v>
      </c>
      <c r="C1091" t="s">
        <v>4605</v>
      </c>
      <c r="D1091" s="1" t="s">
        <v>399</v>
      </c>
      <c r="E1091" t="b">
        <v>0</v>
      </c>
      <c r="F1091">
        <v>35815</v>
      </c>
      <c r="G1091">
        <v>1551</v>
      </c>
      <c r="H1091" t="s">
        <v>11</v>
      </c>
      <c r="I1091" t="b">
        <v>0</v>
      </c>
      <c r="J1091" cm="1">
        <f t="array" ref="J1091">sentimentCalc(B1091)</f>
        <v>2</v>
      </c>
      <c r="K1091" t="str" cm="1">
        <f t="array" ref="K1091">sentimentCategory(J1091)</f>
        <v>Positive</v>
      </c>
    </row>
    <row r="1092" spans="1:11" ht="17" x14ac:dyDescent="0.2">
      <c r="A1092" t="s">
        <v>2871</v>
      </c>
      <c r="B1092" s="1" t="s">
        <v>2872</v>
      </c>
      <c r="C1092" t="s">
        <v>1419</v>
      </c>
      <c r="D1092" s="1" t="s">
        <v>2873</v>
      </c>
      <c r="E1092" t="b">
        <v>0</v>
      </c>
      <c r="F1092">
        <v>2264</v>
      </c>
      <c r="G1092">
        <v>2351</v>
      </c>
      <c r="H1092" t="s">
        <v>11</v>
      </c>
      <c r="I1092" t="b">
        <v>0</v>
      </c>
      <c r="J1092" cm="1">
        <f t="array" ref="J1092">sentimentCalc(B1092)</f>
        <v>0</v>
      </c>
      <c r="K1092" t="str" cm="1">
        <f t="array" ref="K1092">sentimentCategory(J1092)</f>
        <v>Neutral</v>
      </c>
    </row>
    <row r="1093" spans="1:11" ht="17" x14ac:dyDescent="0.2">
      <c r="A1093" t="s">
        <v>393</v>
      </c>
      <c r="B1093" s="1" t="s">
        <v>394</v>
      </c>
      <c r="C1093" t="s">
        <v>395</v>
      </c>
      <c r="D1093" s="1" t="s">
        <v>2</v>
      </c>
      <c r="E1093" t="b">
        <v>0</v>
      </c>
      <c r="F1093">
        <v>9</v>
      </c>
      <c r="G1093">
        <v>85</v>
      </c>
      <c r="H1093" t="s">
        <v>11</v>
      </c>
      <c r="I1093" t="b">
        <v>0</v>
      </c>
      <c r="J1093" cm="1">
        <f t="array" ref="J1093">sentimentCalc(B1093)</f>
        <v>0</v>
      </c>
      <c r="K1093" t="str" cm="1">
        <f t="array" ref="K1093">sentimentCategory(J1093)</f>
        <v>Neutral</v>
      </c>
    </row>
    <row r="1094" spans="1:11" ht="34" x14ac:dyDescent="0.2">
      <c r="A1094" t="s">
        <v>3478</v>
      </c>
      <c r="B1094" s="1" t="s">
        <v>3479</v>
      </c>
      <c r="C1094" t="s">
        <v>3480</v>
      </c>
      <c r="D1094" s="1" t="s">
        <v>3481</v>
      </c>
      <c r="E1094" t="b">
        <v>0</v>
      </c>
      <c r="F1094">
        <v>3326</v>
      </c>
      <c r="G1094">
        <v>1973</v>
      </c>
      <c r="H1094" t="s">
        <v>11</v>
      </c>
      <c r="I1094" t="b">
        <v>0</v>
      </c>
      <c r="J1094" cm="1">
        <f t="array" ref="J1094">sentimentCalc(B1094)</f>
        <v>0</v>
      </c>
      <c r="K1094" t="str" cm="1">
        <f t="array" ref="K1094">sentimentCategory(J1094)</f>
        <v>Neutral</v>
      </c>
    </row>
    <row r="1095" spans="1:11" ht="34" x14ac:dyDescent="0.2">
      <c r="A1095" t="s">
        <v>3196</v>
      </c>
      <c r="B1095" s="1" t="s">
        <v>3197</v>
      </c>
      <c r="C1095" t="s">
        <v>1320</v>
      </c>
      <c r="D1095" s="1" t="s">
        <v>2</v>
      </c>
      <c r="E1095" t="b">
        <v>0</v>
      </c>
      <c r="F1095">
        <v>23</v>
      </c>
      <c r="G1095">
        <v>253</v>
      </c>
      <c r="H1095" t="s">
        <v>11</v>
      </c>
      <c r="I1095" t="b">
        <v>0</v>
      </c>
      <c r="J1095" cm="1">
        <f t="array" ref="J1095">sentimentCalc(B1095)</f>
        <v>0</v>
      </c>
      <c r="K1095" t="str" cm="1">
        <f t="array" ref="K1095">sentimentCategory(J1095)</f>
        <v>Neutral</v>
      </c>
    </row>
    <row r="1096" spans="1:11" ht="17" x14ac:dyDescent="0.2">
      <c r="A1096" t="s">
        <v>2014</v>
      </c>
      <c r="B1096" s="1" t="s">
        <v>2015</v>
      </c>
      <c r="C1096" t="s">
        <v>2016</v>
      </c>
      <c r="D1096" s="1" t="s">
        <v>2</v>
      </c>
      <c r="E1096" t="b">
        <v>0</v>
      </c>
      <c r="F1096">
        <v>48</v>
      </c>
      <c r="G1096">
        <v>246</v>
      </c>
      <c r="H1096" t="s">
        <v>11</v>
      </c>
      <c r="I1096" t="b">
        <v>0</v>
      </c>
      <c r="J1096" cm="1">
        <f t="array" ref="J1096">sentimentCalc(B1096)</f>
        <v>0</v>
      </c>
      <c r="K1096" t="str" cm="1">
        <f t="array" ref="K1096">sentimentCategory(J1096)</f>
        <v>Neutral</v>
      </c>
    </row>
    <row r="1097" spans="1:11" ht="17" x14ac:dyDescent="0.2">
      <c r="A1097" t="s">
        <v>1975</v>
      </c>
      <c r="B1097" s="1" t="s">
        <v>1976</v>
      </c>
      <c r="C1097" t="s">
        <v>1977</v>
      </c>
      <c r="D1097" s="1" t="s">
        <v>1978</v>
      </c>
      <c r="E1097" t="b">
        <v>0</v>
      </c>
      <c r="F1097">
        <v>85</v>
      </c>
      <c r="G1097">
        <v>229</v>
      </c>
      <c r="H1097" t="s">
        <v>641</v>
      </c>
      <c r="I1097" t="b">
        <v>0</v>
      </c>
      <c r="J1097" cm="1">
        <f t="array" ref="J1097">sentimentCalc(B1097)</f>
        <v>0</v>
      </c>
      <c r="K1097" t="str" cm="1">
        <f t="array" ref="K1097">sentimentCategory(J1097)</f>
        <v>Neutral</v>
      </c>
    </row>
    <row r="1098" spans="1:11" ht="17" x14ac:dyDescent="0.2">
      <c r="A1098" t="s">
        <v>6962</v>
      </c>
      <c r="B1098" s="1" t="s">
        <v>6964</v>
      </c>
      <c r="C1098" t="s">
        <v>4183</v>
      </c>
      <c r="D1098" s="1" t="s">
        <v>95</v>
      </c>
      <c r="E1098" t="b">
        <v>0</v>
      </c>
      <c r="F1098">
        <v>40</v>
      </c>
      <c r="G1098">
        <v>136</v>
      </c>
      <c r="H1098" t="s">
        <v>11</v>
      </c>
      <c r="I1098" t="b">
        <v>0</v>
      </c>
      <c r="J1098" cm="1">
        <f t="array" ref="J1098">sentimentCalc(B1098)</f>
        <v>0</v>
      </c>
      <c r="K1098" t="str" cm="1">
        <f t="array" ref="K1098">sentimentCategory(J1098)</f>
        <v>Neutral</v>
      </c>
    </row>
    <row r="1099" spans="1:11" ht="17" x14ac:dyDescent="0.2">
      <c r="A1099" t="s">
        <v>2073</v>
      </c>
      <c r="B1099" s="1" t="s">
        <v>2074</v>
      </c>
      <c r="C1099" t="s">
        <v>2075</v>
      </c>
      <c r="D1099" s="1" t="s">
        <v>2076</v>
      </c>
      <c r="E1099" t="b">
        <v>0</v>
      </c>
      <c r="F1099">
        <v>207</v>
      </c>
      <c r="G1099">
        <v>322</v>
      </c>
      <c r="H1099" t="s">
        <v>47</v>
      </c>
      <c r="I1099" t="b">
        <v>0</v>
      </c>
      <c r="J1099" cm="1">
        <f t="array" ref="J1099">sentimentCalc(B1099)</f>
        <v>0</v>
      </c>
      <c r="K1099" t="str" cm="1">
        <f t="array" ref="K1099">sentimentCategory(J1099)</f>
        <v>Neutral</v>
      </c>
    </row>
    <row r="1100" spans="1:11" ht="17" x14ac:dyDescent="0.2">
      <c r="A1100" t="s">
        <v>5836</v>
      </c>
      <c r="B1100" s="1" t="s">
        <v>5837</v>
      </c>
      <c r="C1100" t="s">
        <v>5838</v>
      </c>
      <c r="D1100" s="1" t="s">
        <v>322</v>
      </c>
      <c r="E1100" t="b">
        <v>0</v>
      </c>
      <c r="F1100">
        <v>143</v>
      </c>
      <c r="G1100">
        <v>285</v>
      </c>
      <c r="H1100" t="s">
        <v>11</v>
      </c>
      <c r="I1100" t="b">
        <v>0</v>
      </c>
      <c r="J1100" cm="1">
        <f t="array" ref="J1100">sentimentCalc(B1100)</f>
        <v>0</v>
      </c>
      <c r="K1100" t="str" cm="1">
        <f t="array" ref="K1100">sentimentCategory(J1100)</f>
        <v>Neutral</v>
      </c>
    </row>
    <row r="1101" spans="1:11" ht="17" x14ac:dyDescent="0.2">
      <c r="A1101" t="s">
        <v>3465</v>
      </c>
      <c r="B1101" s="1" t="s">
        <v>3466</v>
      </c>
      <c r="C1101" t="s">
        <v>820</v>
      </c>
      <c r="D1101" s="1" t="s">
        <v>3467</v>
      </c>
      <c r="E1101" t="b">
        <v>0</v>
      </c>
      <c r="F1101">
        <v>579</v>
      </c>
      <c r="G1101">
        <v>92</v>
      </c>
      <c r="H1101" t="s">
        <v>11</v>
      </c>
      <c r="I1101" t="b">
        <v>0</v>
      </c>
      <c r="J1101" cm="1">
        <f t="array" ref="J1101">sentimentCalc(B1101)</f>
        <v>0</v>
      </c>
      <c r="K1101" t="str" cm="1">
        <f t="array" ref="K1101">sentimentCategory(J1101)</f>
        <v>Neutral</v>
      </c>
    </row>
    <row r="1102" spans="1:11" ht="17" x14ac:dyDescent="0.2">
      <c r="A1102" t="s">
        <v>1351</v>
      </c>
      <c r="B1102" s="1" t="s">
        <v>1352</v>
      </c>
      <c r="C1102" t="s">
        <v>94</v>
      </c>
      <c r="D1102" s="1" t="s">
        <v>2</v>
      </c>
      <c r="E1102" t="b">
        <v>0</v>
      </c>
      <c r="F1102">
        <v>12</v>
      </c>
      <c r="G1102">
        <v>6</v>
      </c>
      <c r="H1102" t="s">
        <v>11</v>
      </c>
      <c r="I1102" t="b">
        <v>0</v>
      </c>
      <c r="J1102" cm="1">
        <f t="array" ref="J1102">sentimentCalc(B1102)</f>
        <v>0</v>
      </c>
      <c r="K1102" t="str" cm="1">
        <f t="array" ref="K1102">sentimentCategory(J1102)</f>
        <v>Neutral</v>
      </c>
    </row>
    <row r="1103" spans="1:11" ht="17" x14ac:dyDescent="0.2">
      <c r="A1103" t="s">
        <v>1463</v>
      </c>
      <c r="B1103" s="1" t="s">
        <v>1464</v>
      </c>
      <c r="C1103" t="s">
        <v>1465</v>
      </c>
      <c r="D1103" s="1" t="s">
        <v>2</v>
      </c>
      <c r="E1103" t="b">
        <v>0</v>
      </c>
      <c r="F1103">
        <v>53</v>
      </c>
      <c r="G1103">
        <v>375</v>
      </c>
      <c r="H1103" t="s">
        <v>11</v>
      </c>
      <c r="I1103" t="b">
        <v>0</v>
      </c>
      <c r="J1103" cm="1">
        <f t="array" ref="J1103">sentimentCalc(B1103)</f>
        <v>0</v>
      </c>
      <c r="K1103" t="str" cm="1">
        <f t="array" ref="K1103">sentimentCategory(J1103)</f>
        <v>Neutral</v>
      </c>
    </row>
    <row r="1104" spans="1:11" ht="34" x14ac:dyDescent="0.2">
      <c r="A1104" t="s">
        <v>3442</v>
      </c>
      <c r="B1104" s="1" t="s">
        <v>3443</v>
      </c>
      <c r="C1104" t="s">
        <v>3444</v>
      </c>
      <c r="D1104" s="1" t="s">
        <v>3445</v>
      </c>
      <c r="E1104" t="b">
        <v>0</v>
      </c>
      <c r="F1104">
        <v>84</v>
      </c>
      <c r="G1104">
        <v>316</v>
      </c>
      <c r="H1104" t="s">
        <v>11</v>
      </c>
      <c r="I1104" t="b">
        <v>0</v>
      </c>
      <c r="J1104" cm="1">
        <f t="array" ref="J1104">sentimentCalc(B1104)</f>
        <v>-1</v>
      </c>
      <c r="K1104" t="str" cm="1">
        <f t="array" ref="K1104">sentimentCategory(J1104)</f>
        <v>Negative</v>
      </c>
    </row>
    <row r="1105" spans="1:11" ht="17" x14ac:dyDescent="0.2">
      <c r="A1105" t="s">
        <v>6495</v>
      </c>
      <c r="B1105" s="1" t="s">
        <v>6496</v>
      </c>
      <c r="C1105" t="s">
        <v>6497</v>
      </c>
      <c r="D1105" s="1" t="s">
        <v>2</v>
      </c>
      <c r="E1105" t="b">
        <v>0</v>
      </c>
      <c r="F1105">
        <v>35</v>
      </c>
      <c r="G1105">
        <v>52</v>
      </c>
      <c r="H1105" t="s">
        <v>11</v>
      </c>
      <c r="I1105" t="b">
        <v>0</v>
      </c>
      <c r="J1105" cm="1">
        <f t="array" ref="J1105">sentimentCalc(B1105)</f>
        <v>0</v>
      </c>
      <c r="K1105" t="str" cm="1">
        <f t="array" ref="K1105">sentimentCategory(J1105)</f>
        <v>Neutral</v>
      </c>
    </row>
    <row r="1106" spans="1:11" ht="17" x14ac:dyDescent="0.2">
      <c r="A1106" t="s">
        <v>239</v>
      </c>
      <c r="B1106" s="1" t="s">
        <v>240</v>
      </c>
      <c r="C1106" t="s">
        <v>241</v>
      </c>
      <c r="D1106" s="1" t="s">
        <v>2</v>
      </c>
      <c r="E1106" t="b">
        <v>0</v>
      </c>
      <c r="F1106">
        <v>2788</v>
      </c>
      <c r="G1106">
        <v>760</v>
      </c>
      <c r="H1106" t="s">
        <v>11</v>
      </c>
      <c r="I1106" t="b">
        <v>0</v>
      </c>
      <c r="J1106" cm="1">
        <f t="array" ref="J1106">sentimentCalc(B1106)</f>
        <v>0</v>
      </c>
      <c r="K1106" t="str" cm="1">
        <f t="array" ref="K1106">sentimentCategory(J1106)</f>
        <v>Neutral</v>
      </c>
    </row>
    <row r="1107" spans="1:11" ht="17" x14ac:dyDescent="0.2">
      <c r="A1107" t="s">
        <v>4844</v>
      </c>
      <c r="B1107" s="1" t="s">
        <v>4845</v>
      </c>
      <c r="C1107" t="s">
        <v>658</v>
      </c>
      <c r="D1107" s="1" t="s">
        <v>4846</v>
      </c>
      <c r="E1107" t="b">
        <v>0</v>
      </c>
      <c r="F1107">
        <v>768</v>
      </c>
      <c r="G1107">
        <v>499</v>
      </c>
      <c r="H1107" t="s">
        <v>11</v>
      </c>
      <c r="I1107" t="b">
        <v>0</v>
      </c>
      <c r="J1107" cm="1">
        <f t="array" ref="J1107">sentimentCalc(B1107)</f>
        <v>0</v>
      </c>
      <c r="K1107" t="str" cm="1">
        <f t="array" ref="K1107">sentimentCategory(J1107)</f>
        <v>Neutral</v>
      </c>
    </row>
    <row r="1108" spans="1:11" ht="34" x14ac:dyDescent="0.2">
      <c r="A1108" t="s">
        <v>2957</v>
      </c>
      <c r="B1108" s="1" t="s">
        <v>2958</v>
      </c>
      <c r="C1108" t="s">
        <v>2024</v>
      </c>
      <c r="D1108" s="1" t="s">
        <v>2767</v>
      </c>
      <c r="E1108" t="b">
        <v>0</v>
      </c>
      <c r="F1108">
        <v>1323</v>
      </c>
      <c r="G1108">
        <v>1009</v>
      </c>
      <c r="H1108" t="s">
        <v>11</v>
      </c>
      <c r="I1108" t="b">
        <v>0</v>
      </c>
      <c r="J1108" cm="1">
        <f t="array" ref="J1108">sentimentCalc(B1108)</f>
        <v>0</v>
      </c>
      <c r="K1108" t="str" cm="1">
        <f t="array" ref="K1108">sentimentCategory(J1108)</f>
        <v>Neutral</v>
      </c>
    </row>
    <row r="1109" spans="1:11" ht="34" x14ac:dyDescent="0.2">
      <c r="A1109" t="s">
        <v>673</v>
      </c>
      <c r="B1109" s="1" t="s">
        <v>674</v>
      </c>
      <c r="C1109" t="s">
        <v>675</v>
      </c>
      <c r="D1109" s="1" t="s">
        <v>676</v>
      </c>
      <c r="E1109" t="b">
        <v>0</v>
      </c>
      <c r="F1109">
        <v>51</v>
      </c>
      <c r="G1109">
        <v>152</v>
      </c>
      <c r="H1109" t="s">
        <v>11</v>
      </c>
      <c r="I1109" t="b">
        <v>0</v>
      </c>
      <c r="J1109" cm="1">
        <f t="array" ref="J1109">sentimentCalc(B1109)</f>
        <v>0</v>
      </c>
      <c r="K1109" t="str" cm="1">
        <f t="array" ref="K1109">sentimentCategory(J1109)</f>
        <v>Neutral</v>
      </c>
    </row>
    <row r="1110" spans="1:11" ht="17" x14ac:dyDescent="0.2">
      <c r="A1110" t="s">
        <v>6794</v>
      </c>
      <c r="B1110" s="1" t="s">
        <v>6795</v>
      </c>
      <c r="C1110" t="s">
        <v>297</v>
      </c>
      <c r="D1110" s="1" t="s">
        <v>298</v>
      </c>
      <c r="E1110" t="b">
        <v>0</v>
      </c>
      <c r="F1110">
        <v>51</v>
      </c>
      <c r="G1110">
        <v>62</v>
      </c>
      <c r="H1110" t="s">
        <v>11</v>
      </c>
      <c r="I1110" t="b">
        <v>0</v>
      </c>
      <c r="J1110" cm="1">
        <f t="array" ref="J1110">sentimentCalc(B1110)</f>
        <v>0</v>
      </c>
      <c r="K1110" t="str" cm="1">
        <f t="array" ref="K1110">sentimentCategory(J1110)</f>
        <v>Neutral</v>
      </c>
    </row>
    <row r="1111" spans="1:11" ht="17" x14ac:dyDescent="0.2">
      <c r="A1111" t="s">
        <v>4496</v>
      </c>
      <c r="B1111" s="1" t="s">
        <v>4497</v>
      </c>
      <c r="C1111" t="s">
        <v>2734</v>
      </c>
      <c r="D1111" s="1" t="s">
        <v>4498</v>
      </c>
      <c r="E1111" t="b">
        <v>0</v>
      </c>
      <c r="F1111">
        <v>473</v>
      </c>
      <c r="G1111">
        <v>270</v>
      </c>
      <c r="H1111" t="s">
        <v>11</v>
      </c>
      <c r="I1111" t="b">
        <v>0</v>
      </c>
      <c r="J1111" cm="1">
        <f t="array" ref="J1111">sentimentCalc(B1111)</f>
        <v>-1</v>
      </c>
      <c r="K1111" t="str" cm="1">
        <f t="array" ref="K1111">sentimentCategory(J1111)</f>
        <v>Negative</v>
      </c>
    </row>
    <row r="1112" spans="1:11" ht="34" x14ac:dyDescent="0.2">
      <c r="A1112" t="s">
        <v>1700</v>
      </c>
      <c r="B1112" s="1" t="s">
        <v>1701</v>
      </c>
      <c r="C1112" t="s">
        <v>1702</v>
      </c>
      <c r="D1112" s="1" t="s">
        <v>1251</v>
      </c>
      <c r="E1112" t="b">
        <v>0</v>
      </c>
      <c r="F1112">
        <v>0</v>
      </c>
      <c r="G1112">
        <v>12</v>
      </c>
      <c r="H1112" t="s">
        <v>11</v>
      </c>
      <c r="I1112" t="b">
        <v>0</v>
      </c>
      <c r="J1112" cm="1">
        <f t="array" ref="J1112">sentimentCalc(B1112)</f>
        <v>1</v>
      </c>
      <c r="K1112" t="str" cm="1">
        <f t="array" ref="K1112">sentimentCategory(J1112)</f>
        <v>Positive</v>
      </c>
    </row>
    <row r="1113" spans="1:11" ht="17" x14ac:dyDescent="0.2">
      <c r="A1113" t="s">
        <v>4619</v>
      </c>
      <c r="B1113" s="1" t="s">
        <v>4620</v>
      </c>
      <c r="C1113" t="s">
        <v>2661</v>
      </c>
      <c r="D1113" s="1" t="s">
        <v>2662</v>
      </c>
      <c r="E1113" t="b">
        <v>0</v>
      </c>
      <c r="F1113">
        <v>7</v>
      </c>
      <c r="G1113">
        <v>285</v>
      </c>
      <c r="H1113" t="s">
        <v>11</v>
      </c>
      <c r="I1113" t="b">
        <v>0</v>
      </c>
      <c r="J1113" cm="1">
        <f t="array" ref="J1113">sentimentCalc(B1113)</f>
        <v>1</v>
      </c>
      <c r="K1113" t="str" cm="1">
        <f t="array" ref="K1113">sentimentCategory(J1113)</f>
        <v>Positive</v>
      </c>
    </row>
    <row r="1114" spans="1:11" ht="17" x14ac:dyDescent="0.2">
      <c r="A1114" t="s">
        <v>3029</v>
      </c>
      <c r="B1114" s="1" t="s">
        <v>3030</v>
      </c>
      <c r="C1114" t="s">
        <v>3031</v>
      </c>
      <c r="D1114" s="1" t="s">
        <v>2</v>
      </c>
      <c r="E1114" t="b">
        <v>0</v>
      </c>
      <c r="F1114">
        <v>128</v>
      </c>
      <c r="G1114">
        <v>114</v>
      </c>
      <c r="H1114" t="s">
        <v>11</v>
      </c>
      <c r="I1114" t="b">
        <v>0</v>
      </c>
      <c r="J1114" cm="1">
        <f t="array" ref="J1114">sentimentCalc(B1114)</f>
        <v>0</v>
      </c>
      <c r="K1114" t="str" cm="1">
        <f t="array" ref="K1114">sentimentCategory(J1114)</f>
        <v>Neutral</v>
      </c>
    </row>
    <row r="1115" spans="1:11" ht="17" x14ac:dyDescent="0.2">
      <c r="A1115" t="s">
        <v>4666</v>
      </c>
      <c r="B1115" s="1" t="s">
        <v>4667</v>
      </c>
      <c r="C1115" t="s">
        <v>3007</v>
      </c>
      <c r="D1115" s="1" t="s">
        <v>4668</v>
      </c>
      <c r="E1115" t="b">
        <v>0</v>
      </c>
      <c r="F1115">
        <v>1227</v>
      </c>
      <c r="G1115">
        <v>751</v>
      </c>
      <c r="H1115" t="s">
        <v>11</v>
      </c>
      <c r="I1115" t="b">
        <v>0</v>
      </c>
      <c r="J1115" cm="1">
        <f t="array" ref="J1115">sentimentCalc(B1115)</f>
        <v>0</v>
      </c>
      <c r="K1115" t="str" cm="1">
        <f t="array" ref="K1115">sentimentCategory(J1115)</f>
        <v>Neutral</v>
      </c>
    </row>
    <row r="1116" spans="1:11" ht="34" x14ac:dyDescent="0.2">
      <c r="A1116" t="s">
        <v>2605</v>
      </c>
      <c r="B1116" s="1" t="s">
        <v>2606</v>
      </c>
      <c r="C1116" t="s">
        <v>2607</v>
      </c>
      <c r="D1116" s="1" t="s">
        <v>2</v>
      </c>
      <c r="E1116" t="b">
        <v>0</v>
      </c>
      <c r="F1116">
        <v>9646</v>
      </c>
      <c r="G1116">
        <v>45</v>
      </c>
      <c r="H1116" t="s">
        <v>11</v>
      </c>
      <c r="I1116" t="b">
        <v>0</v>
      </c>
      <c r="J1116" cm="1">
        <f t="array" ref="J1116">sentimentCalc(B1116)</f>
        <v>0</v>
      </c>
      <c r="K1116" t="str" cm="1">
        <f t="array" ref="K1116">sentimentCategory(J1116)</f>
        <v>Neutral</v>
      </c>
    </row>
    <row r="1117" spans="1:11" ht="17" x14ac:dyDescent="0.2">
      <c r="A1117" t="s">
        <v>4587</v>
      </c>
      <c r="B1117" s="1" t="s">
        <v>4588</v>
      </c>
      <c r="C1117" t="s">
        <v>4589</v>
      </c>
      <c r="D1117" s="1" t="s">
        <v>4590</v>
      </c>
      <c r="E1117" t="b">
        <v>0</v>
      </c>
      <c r="F1117">
        <v>94</v>
      </c>
      <c r="G1117">
        <v>54</v>
      </c>
      <c r="H1117" t="s">
        <v>11</v>
      </c>
      <c r="I1117" t="b">
        <v>0</v>
      </c>
      <c r="J1117" cm="1">
        <f t="array" ref="J1117">sentimentCalc(B1117)</f>
        <v>0</v>
      </c>
      <c r="K1117" t="str" cm="1">
        <f t="array" ref="K1117">sentimentCategory(J1117)</f>
        <v>Neutral</v>
      </c>
    </row>
    <row r="1118" spans="1:11" ht="17" x14ac:dyDescent="0.2">
      <c r="A1118" t="s">
        <v>7200</v>
      </c>
      <c r="B1118" s="1" t="s">
        <v>7201</v>
      </c>
      <c r="C1118" t="s">
        <v>4613</v>
      </c>
      <c r="D1118" s="1" t="s">
        <v>2</v>
      </c>
      <c r="E1118" t="b">
        <v>0</v>
      </c>
      <c r="F1118">
        <v>171</v>
      </c>
      <c r="G1118">
        <v>351</v>
      </c>
      <c r="H1118" t="s">
        <v>11</v>
      </c>
      <c r="I1118" t="b">
        <v>0</v>
      </c>
      <c r="J1118" cm="1">
        <f t="array" ref="J1118">sentimentCalc(B1118)</f>
        <v>2</v>
      </c>
      <c r="K1118" t="str" cm="1">
        <f t="array" ref="K1118">sentimentCategory(J1118)</f>
        <v>Positive</v>
      </c>
    </row>
    <row r="1119" spans="1:11" ht="34" x14ac:dyDescent="0.2">
      <c r="A1119" t="s">
        <v>2814</v>
      </c>
      <c r="B1119" s="1" t="s">
        <v>2815</v>
      </c>
      <c r="C1119" t="s">
        <v>279</v>
      </c>
      <c r="D1119" s="1" t="s">
        <v>2</v>
      </c>
      <c r="E1119" t="b">
        <v>0</v>
      </c>
      <c r="F1119">
        <v>24</v>
      </c>
      <c r="G1119">
        <v>242</v>
      </c>
      <c r="H1119" t="s">
        <v>11</v>
      </c>
      <c r="I1119" t="b">
        <v>0</v>
      </c>
      <c r="J1119" cm="1">
        <f t="array" ref="J1119">sentimentCalc(B1119)</f>
        <v>0</v>
      </c>
      <c r="K1119" t="str" cm="1">
        <f t="array" ref="K1119">sentimentCategory(J1119)</f>
        <v>Neutral</v>
      </c>
    </row>
    <row r="1120" spans="1:11" ht="34" x14ac:dyDescent="0.2">
      <c r="A1120" t="s">
        <v>2673</v>
      </c>
      <c r="B1120" s="1" t="s">
        <v>2674</v>
      </c>
      <c r="C1120" t="s">
        <v>2675</v>
      </c>
      <c r="D1120" s="1" t="s">
        <v>2</v>
      </c>
      <c r="E1120" t="b">
        <v>0</v>
      </c>
      <c r="F1120">
        <v>275</v>
      </c>
      <c r="G1120">
        <v>200</v>
      </c>
      <c r="H1120" t="s">
        <v>370</v>
      </c>
      <c r="I1120" t="b">
        <v>0</v>
      </c>
      <c r="J1120" cm="1">
        <f t="array" ref="J1120">sentimentCalc(B1120)</f>
        <v>2</v>
      </c>
      <c r="K1120" t="str" cm="1">
        <f t="array" ref="K1120">sentimentCategory(J1120)</f>
        <v>Positive</v>
      </c>
    </row>
    <row r="1121" spans="1:11" ht="34" x14ac:dyDescent="0.2">
      <c r="A1121" t="s">
        <v>4753</v>
      </c>
      <c r="B1121" s="1" t="s">
        <v>4754</v>
      </c>
      <c r="C1121" t="s">
        <v>4755</v>
      </c>
      <c r="D1121" s="1" t="s">
        <v>2</v>
      </c>
      <c r="E1121" t="b">
        <v>0</v>
      </c>
      <c r="F1121">
        <v>3182</v>
      </c>
      <c r="G1121">
        <v>4464</v>
      </c>
      <c r="H1121" t="s">
        <v>11</v>
      </c>
      <c r="I1121" t="b">
        <v>0</v>
      </c>
      <c r="J1121" cm="1">
        <f t="array" ref="J1121">sentimentCalc(B1121)</f>
        <v>0</v>
      </c>
      <c r="K1121" t="str" cm="1">
        <f t="array" ref="K1121">sentimentCategory(J1121)</f>
        <v>Neutral</v>
      </c>
    </row>
    <row r="1122" spans="1:11" ht="17" x14ac:dyDescent="0.2">
      <c r="A1122" t="s">
        <v>2649</v>
      </c>
      <c r="B1122" s="1" t="s">
        <v>2650</v>
      </c>
      <c r="C1122" t="s">
        <v>2651</v>
      </c>
      <c r="D1122" s="1" t="s">
        <v>2652</v>
      </c>
      <c r="E1122" t="b">
        <v>0</v>
      </c>
      <c r="F1122">
        <v>2580</v>
      </c>
      <c r="G1122">
        <v>4107</v>
      </c>
      <c r="H1122" t="s">
        <v>11</v>
      </c>
      <c r="I1122" t="b">
        <v>0</v>
      </c>
      <c r="J1122" cm="1">
        <f t="array" ref="J1122">sentimentCalc(B1122)</f>
        <v>0</v>
      </c>
      <c r="K1122" t="str" cm="1">
        <f t="array" ref="K1122">sentimentCategory(J1122)</f>
        <v>Neutral</v>
      </c>
    </row>
    <row r="1123" spans="1:11" ht="17" x14ac:dyDescent="0.2">
      <c r="A1123" t="s">
        <v>2928</v>
      </c>
      <c r="B1123" s="1" t="s">
        <v>2929</v>
      </c>
      <c r="C1123" t="s">
        <v>2930</v>
      </c>
      <c r="D1123" s="1" t="s">
        <v>2</v>
      </c>
      <c r="E1123" t="b">
        <v>0</v>
      </c>
      <c r="F1123">
        <v>15</v>
      </c>
      <c r="G1123">
        <v>159</v>
      </c>
      <c r="H1123" t="s">
        <v>370</v>
      </c>
      <c r="I1123" t="b">
        <v>0</v>
      </c>
      <c r="J1123" cm="1">
        <f t="array" ref="J1123">sentimentCalc(B1123)</f>
        <v>0</v>
      </c>
      <c r="K1123" t="str" cm="1">
        <f t="array" ref="K1123">sentimentCategory(J1123)</f>
        <v>Neutral</v>
      </c>
    </row>
    <row r="1124" spans="1:11" ht="34" x14ac:dyDescent="0.2">
      <c r="A1124" t="s">
        <v>2328</v>
      </c>
      <c r="B1124" s="1" t="s">
        <v>2329</v>
      </c>
      <c r="C1124" t="s">
        <v>2330</v>
      </c>
      <c r="D1124" s="1" t="s">
        <v>2331</v>
      </c>
      <c r="E1124" t="b">
        <v>0</v>
      </c>
      <c r="F1124">
        <v>120</v>
      </c>
      <c r="G1124">
        <v>140</v>
      </c>
      <c r="H1124" t="s">
        <v>11</v>
      </c>
      <c r="I1124" t="b">
        <v>0</v>
      </c>
      <c r="J1124" cm="1">
        <f t="array" ref="J1124">sentimentCalc(B1124)</f>
        <v>0</v>
      </c>
      <c r="K1124" t="str" cm="1">
        <f t="array" ref="K1124">sentimentCategory(J1124)</f>
        <v>Neutral</v>
      </c>
    </row>
    <row r="1125" spans="1:11" ht="17" x14ac:dyDescent="0.2">
      <c r="A1125" t="s">
        <v>2640</v>
      </c>
      <c r="B1125" s="1" t="s">
        <v>2641</v>
      </c>
      <c r="C1125" t="s">
        <v>2642</v>
      </c>
      <c r="D1125" s="1" t="s">
        <v>2643</v>
      </c>
      <c r="E1125" t="b">
        <v>0</v>
      </c>
      <c r="F1125">
        <v>312</v>
      </c>
      <c r="G1125">
        <v>182</v>
      </c>
      <c r="H1125" t="s">
        <v>11</v>
      </c>
      <c r="I1125" t="b">
        <v>0</v>
      </c>
      <c r="J1125" cm="1">
        <f t="array" ref="J1125">sentimentCalc(B1125)</f>
        <v>0</v>
      </c>
      <c r="K1125" t="str" cm="1">
        <f t="array" ref="K1125">sentimentCategory(J1125)</f>
        <v>Neutral</v>
      </c>
    </row>
    <row r="1126" spans="1:11" ht="17" x14ac:dyDescent="0.2">
      <c r="A1126" t="s">
        <v>3290</v>
      </c>
      <c r="B1126" s="1" t="s">
        <v>3291</v>
      </c>
      <c r="C1126" t="s">
        <v>2938</v>
      </c>
      <c r="D1126" s="1" t="s">
        <v>3292</v>
      </c>
      <c r="E1126" t="b">
        <v>0</v>
      </c>
      <c r="F1126">
        <v>266</v>
      </c>
      <c r="G1126">
        <v>687</v>
      </c>
      <c r="H1126" t="s">
        <v>11</v>
      </c>
      <c r="I1126" t="b">
        <v>0</v>
      </c>
      <c r="J1126" cm="1">
        <f t="array" ref="J1126">sentimentCalc(B1126)</f>
        <v>0</v>
      </c>
      <c r="K1126" t="str" cm="1">
        <f t="array" ref="K1126">sentimentCategory(J1126)</f>
        <v>Neutral</v>
      </c>
    </row>
    <row r="1127" spans="1:11" ht="17" x14ac:dyDescent="0.2">
      <c r="A1127" t="s">
        <v>6693</v>
      </c>
      <c r="B1127" s="1" t="s">
        <v>6694</v>
      </c>
      <c r="C1127" t="s">
        <v>2208</v>
      </c>
      <c r="D1127" s="1" t="s">
        <v>6680</v>
      </c>
      <c r="E1127" t="b">
        <v>0</v>
      </c>
      <c r="F1127">
        <v>9</v>
      </c>
      <c r="G1127">
        <v>8</v>
      </c>
      <c r="H1127" t="s">
        <v>11</v>
      </c>
      <c r="I1127" t="b">
        <v>0</v>
      </c>
      <c r="J1127" cm="1">
        <f t="array" ref="J1127">sentimentCalc(B1127)</f>
        <v>0</v>
      </c>
      <c r="K1127" t="str" cm="1">
        <f t="array" ref="K1127">sentimentCategory(J1127)</f>
        <v>Neutral</v>
      </c>
    </row>
    <row r="1128" spans="1:11" ht="34" x14ac:dyDescent="0.2">
      <c r="A1128" t="s">
        <v>4432</v>
      </c>
      <c r="B1128" s="1" t="s">
        <v>4433</v>
      </c>
      <c r="C1128" t="s">
        <v>4434</v>
      </c>
      <c r="D1128" s="1" t="s">
        <v>1372</v>
      </c>
      <c r="E1128" t="b">
        <v>0</v>
      </c>
      <c r="F1128">
        <v>144</v>
      </c>
      <c r="G1128">
        <v>539</v>
      </c>
      <c r="H1128" t="s">
        <v>11</v>
      </c>
      <c r="I1128" t="b">
        <v>0</v>
      </c>
      <c r="J1128" cm="1">
        <f t="array" ref="J1128">sentimentCalc(B1128)</f>
        <v>1</v>
      </c>
      <c r="K1128" t="str" cm="1">
        <f t="array" ref="K1128">sentimentCategory(J1128)</f>
        <v>Positive</v>
      </c>
    </row>
    <row r="1129" spans="1:11" ht="17" x14ac:dyDescent="0.2">
      <c r="A1129" t="s">
        <v>3313</v>
      </c>
      <c r="B1129" s="1" t="s">
        <v>3314</v>
      </c>
      <c r="C1129" t="s">
        <v>3315</v>
      </c>
      <c r="D1129" s="1" t="s">
        <v>3316</v>
      </c>
      <c r="E1129" t="b">
        <v>0</v>
      </c>
      <c r="F1129">
        <v>187</v>
      </c>
      <c r="G1129">
        <v>530</v>
      </c>
      <c r="H1129" t="s">
        <v>11</v>
      </c>
      <c r="I1129" t="b">
        <v>0</v>
      </c>
      <c r="J1129" cm="1">
        <f t="array" ref="J1129">sentimentCalc(B1129)</f>
        <v>0</v>
      </c>
      <c r="K1129" t="str" cm="1">
        <f t="array" ref="K1129">sentimentCategory(J1129)</f>
        <v>Neutral</v>
      </c>
    </row>
    <row r="1130" spans="1:11" ht="17" x14ac:dyDescent="0.2">
      <c r="A1130" t="s">
        <v>2359</v>
      </c>
      <c r="B1130" s="1" t="s">
        <v>2360</v>
      </c>
      <c r="C1130" t="s">
        <v>305</v>
      </c>
      <c r="D1130" s="1" t="s">
        <v>2</v>
      </c>
      <c r="E1130" t="b">
        <v>0</v>
      </c>
      <c r="F1130">
        <v>118</v>
      </c>
      <c r="G1130">
        <v>110</v>
      </c>
      <c r="H1130" t="s">
        <v>73</v>
      </c>
      <c r="I1130" t="b">
        <v>0</v>
      </c>
      <c r="J1130" cm="1">
        <f t="array" ref="J1130">sentimentCalc(B1130)</f>
        <v>0</v>
      </c>
      <c r="K1130" t="str" cm="1">
        <f t="array" ref="K1130">sentimentCategory(J1130)</f>
        <v>Neutral</v>
      </c>
    </row>
    <row r="1131" spans="1:11" ht="17" x14ac:dyDescent="0.2">
      <c r="A1131" t="s">
        <v>356</v>
      </c>
      <c r="B1131" s="1" t="s">
        <v>357</v>
      </c>
      <c r="C1131" t="s">
        <v>358</v>
      </c>
      <c r="D1131" s="1" t="s">
        <v>2</v>
      </c>
      <c r="E1131" t="b">
        <v>0</v>
      </c>
      <c r="F1131">
        <v>6</v>
      </c>
      <c r="G1131">
        <v>91</v>
      </c>
      <c r="H1131" t="s">
        <v>359</v>
      </c>
      <c r="I1131" t="b">
        <v>0</v>
      </c>
      <c r="J1131" cm="1">
        <f t="array" ref="J1131">sentimentCalc(B1131)</f>
        <v>0</v>
      </c>
      <c r="K1131" t="str" cm="1">
        <f t="array" ref="K1131">sentimentCategory(J1131)</f>
        <v>Neutral</v>
      </c>
    </row>
    <row r="1132" spans="1:11" ht="34" x14ac:dyDescent="0.2">
      <c r="A1132" t="s">
        <v>4559</v>
      </c>
      <c r="B1132" s="1" t="s">
        <v>4560</v>
      </c>
      <c r="C1132" t="s">
        <v>3729</v>
      </c>
      <c r="D1132" s="1" t="s">
        <v>1343</v>
      </c>
      <c r="E1132" t="b">
        <v>0</v>
      </c>
      <c r="F1132">
        <v>170</v>
      </c>
      <c r="G1132">
        <v>1093</v>
      </c>
      <c r="H1132" t="s">
        <v>11</v>
      </c>
      <c r="I1132" t="b">
        <v>0</v>
      </c>
      <c r="J1132" cm="1">
        <f t="array" ref="J1132">sentimentCalc(B1132)</f>
        <v>0</v>
      </c>
      <c r="K1132" t="str" cm="1">
        <f t="array" ref="K1132">sentimentCategory(J1132)</f>
        <v>Neutral</v>
      </c>
    </row>
    <row r="1133" spans="1:11" ht="17" x14ac:dyDescent="0.2">
      <c r="A1133" t="s">
        <v>5918</v>
      </c>
      <c r="B1133" s="1" t="s">
        <v>5919</v>
      </c>
      <c r="C1133" t="s">
        <v>5920</v>
      </c>
      <c r="D1133" s="1" t="s">
        <v>2</v>
      </c>
      <c r="E1133" t="b">
        <v>0</v>
      </c>
      <c r="F1133">
        <v>82</v>
      </c>
      <c r="G1133">
        <v>569</v>
      </c>
      <c r="H1133" t="s">
        <v>11</v>
      </c>
      <c r="I1133" t="b">
        <v>0</v>
      </c>
      <c r="J1133" cm="1">
        <f t="array" ref="J1133">sentimentCalc(B1133)</f>
        <v>0</v>
      </c>
      <c r="K1133" t="str" cm="1">
        <f t="array" ref="K1133">sentimentCategory(J1133)</f>
        <v>Neutral</v>
      </c>
    </row>
    <row r="1134" spans="1:11" ht="17" x14ac:dyDescent="0.2">
      <c r="A1134" t="s">
        <v>3038</v>
      </c>
      <c r="B1134" s="1" t="s">
        <v>3039</v>
      </c>
      <c r="C1134" t="s">
        <v>891</v>
      </c>
      <c r="D1134" s="1" t="s">
        <v>3040</v>
      </c>
      <c r="E1134" t="b">
        <v>0</v>
      </c>
      <c r="F1134">
        <v>79</v>
      </c>
      <c r="G1134">
        <v>543</v>
      </c>
      <c r="H1134" t="s">
        <v>11</v>
      </c>
      <c r="I1134" t="b">
        <v>0</v>
      </c>
      <c r="J1134" cm="1">
        <f t="array" ref="J1134">sentimentCalc(B1134)</f>
        <v>0</v>
      </c>
      <c r="K1134" t="str" cm="1">
        <f t="array" ref="K1134">sentimentCategory(J1134)</f>
        <v>Neutral</v>
      </c>
    </row>
    <row r="1135" spans="1:11" ht="17" x14ac:dyDescent="0.2">
      <c r="A1135" t="s">
        <v>2812</v>
      </c>
      <c r="B1135" s="1" t="s">
        <v>2813</v>
      </c>
      <c r="C1135" t="s">
        <v>564</v>
      </c>
      <c r="D1135" s="1" t="s">
        <v>61</v>
      </c>
      <c r="E1135" t="b">
        <v>0</v>
      </c>
      <c r="F1135">
        <v>42</v>
      </c>
      <c r="G1135">
        <v>209</v>
      </c>
      <c r="H1135" t="s">
        <v>11</v>
      </c>
      <c r="I1135" t="b">
        <v>0</v>
      </c>
      <c r="J1135" cm="1">
        <f t="array" ref="J1135">sentimentCalc(B1135)</f>
        <v>1</v>
      </c>
      <c r="K1135" t="str" cm="1">
        <f t="array" ref="K1135">sentimentCategory(J1135)</f>
        <v>Positive</v>
      </c>
    </row>
    <row r="1136" spans="1:11" ht="17" x14ac:dyDescent="0.2">
      <c r="A1136" t="s">
        <v>350</v>
      </c>
      <c r="B1136" s="1" t="s">
        <v>351</v>
      </c>
      <c r="C1136" t="s">
        <v>279</v>
      </c>
      <c r="D1136" s="1" t="s">
        <v>2</v>
      </c>
      <c r="E1136" t="b">
        <v>0</v>
      </c>
      <c r="F1136">
        <v>22</v>
      </c>
      <c r="G1136">
        <v>240</v>
      </c>
      <c r="H1136" t="s">
        <v>11</v>
      </c>
      <c r="I1136" t="b">
        <v>0</v>
      </c>
      <c r="J1136" cm="1">
        <f t="array" ref="J1136">sentimentCalc(B1136)</f>
        <v>0</v>
      </c>
      <c r="K1136" t="str" cm="1">
        <f t="array" ref="K1136">sentimentCategory(J1136)</f>
        <v>Neutral</v>
      </c>
    </row>
    <row r="1137" spans="1:11" ht="17" x14ac:dyDescent="0.2">
      <c r="A1137" t="s">
        <v>6681</v>
      </c>
      <c r="B1137" s="1" t="s">
        <v>6682</v>
      </c>
      <c r="C1137" t="s">
        <v>1250</v>
      </c>
      <c r="D1137" s="1" t="s">
        <v>322</v>
      </c>
      <c r="E1137" t="b">
        <v>0</v>
      </c>
      <c r="F1137">
        <v>55</v>
      </c>
      <c r="G1137">
        <v>305</v>
      </c>
      <c r="H1137" t="s">
        <v>11</v>
      </c>
      <c r="I1137" t="b">
        <v>0</v>
      </c>
      <c r="J1137" cm="1">
        <f t="array" ref="J1137">sentimentCalc(B1137)</f>
        <v>0</v>
      </c>
      <c r="K1137" t="str" cm="1">
        <f t="array" ref="K1137">sentimentCategory(J1137)</f>
        <v>Neutral</v>
      </c>
    </row>
    <row r="1138" spans="1:11" ht="17" x14ac:dyDescent="0.2">
      <c r="A1138" t="s">
        <v>2505</v>
      </c>
      <c r="B1138" s="1" t="s">
        <v>2506</v>
      </c>
      <c r="C1138" t="s">
        <v>1987</v>
      </c>
      <c r="D1138" s="1" t="s">
        <v>2507</v>
      </c>
      <c r="E1138" t="b">
        <v>0</v>
      </c>
      <c r="F1138">
        <v>191</v>
      </c>
      <c r="G1138">
        <v>648</v>
      </c>
      <c r="H1138" t="s">
        <v>11</v>
      </c>
      <c r="I1138" t="b">
        <v>0</v>
      </c>
      <c r="J1138" cm="1">
        <f t="array" ref="J1138">sentimentCalc(B1138)</f>
        <v>0</v>
      </c>
      <c r="K1138" t="str" cm="1">
        <f t="array" ref="K1138">sentimentCategory(J1138)</f>
        <v>Neutral</v>
      </c>
    </row>
    <row r="1139" spans="1:11" ht="17" x14ac:dyDescent="0.2">
      <c r="A1139" t="s">
        <v>4314</v>
      </c>
      <c r="B1139" s="1" t="s">
        <v>4315</v>
      </c>
      <c r="C1139" t="s">
        <v>2391</v>
      </c>
      <c r="D1139" s="1" t="s">
        <v>2</v>
      </c>
      <c r="E1139" t="b">
        <v>0</v>
      </c>
      <c r="F1139">
        <v>123</v>
      </c>
      <c r="G1139">
        <v>235</v>
      </c>
      <c r="H1139" t="s">
        <v>11</v>
      </c>
      <c r="I1139" t="b">
        <v>0</v>
      </c>
      <c r="J1139" cm="1">
        <f t="array" ref="J1139">sentimentCalc(B1139)</f>
        <v>0</v>
      </c>
      <c r="K1139" t="str" cm="1">
        <f t="array" ref="K1139">sentimentCategory(J1139)</f>
        <v>Neutral</v>
      </c>
    </row>
    <row r="1140" spans="1:11" ht="34" x14ac:dyDescent="0.2">
      <c r="A1140" t="s">
        <v>6396</v>
      </c>
      <c r="B1140" s="1" t="s">
        <v>6397</v>
      </c>
      <c r="C1140" t="s">
        <v>6398</v>
      </c>
      <c r="D1140" s="1" t="s">
        <v>6399</v>
      </c>
      <c r="E1140" t="b">
        <v>0</v>
      </c>
      <c r="F1140">
        <v>321</v>
      </c>
      <c r="G1140">
        <v>58</v>
      </c>
      <c r="H1140" t="s">
        <v>11</v>
      </c>
      <c r="I1140" t="b">
        <v>0</v>
      </c>
      <c r="J1140" cm="1">
        <f t="array" ref="J1140">sentimentCalc(B1140)</f>
        <v>0</v>
      </c>
      <c r="K1140" t="str" cm="1">
        <f t="array" ref="K1140">sentimentCategory(J1140)</f>
        <v>Neutral</v>
      </c>
    </row>
    <row r="1141" spans="1:11" ht="34" x14ac:dyDescent="0.2">
      <c r="A1141" t="s">
        <v>6382</v>
      </c>
      <c r="B1141" s="1" t="s">
        <v>6383</v>
      </c>
      <c r="C1141" t="s">
        <v>869</v>
      </c>
      <c r="D1141" s="1" t="s">
        <v>6384</v>
      </c>
      <c r="E1141" t="b">
        <v>0</v>
      </c>
      <c r="F1141">
        <v>77</v>
      </c>
      <c r="G1141">
        <v>146</v>
      </c>
      <c r="H1141" t="s">
        <v>11</v>
      </c>
      <c r="I1141" t="b">
        <v>0</v>
      </c>
      <c r="J1141" cm="1">
        <f t="array" ref="J1141">sentimentCalc(B1141)</f>
        <v>1</v>
      </c>
      <c r="K1141" t="str" cm="1">
        <f t="array" ref="K1141">sentimentCategory(J1141)</f>
        <v>Positive</v>
      </c>
    </row>
    <row r="1142" spans="1:11" ht="17" x14ac:dyDescent="0.2">
      <c r="A1142" t="s">
        <v>1386</v>
      </c>
      <c r="B1142" s="1" t="s">
        <v>1387</v>
      </c>
      <c r="C1142" t="s">
        <v>1388</v>
      </c>
      <c r="D1142" s="1" t="s">
        <v>2</v>
      </c>
      <c r="E1142" t="b">
        <v>0</v>
      </c>
      <c r="F1142">
        <v>10</v>
      </c>
      <c r="G1142">
        <v>23</v>
      </c>
      <c r="H1142" t="s">
        <v>11</v>
      </c>
      <c r="I1142" t="b">
        <v>0</v>
      </c>
      <c r="J1142" cm="1">
        <f t="array" ref="J1142">sentimentCalc(B1142)</f>
        <v>0</v>
      </c>
      <c r="K1142" t="str" cm="1">
        <f t="array" ref="K1142">sentimentCategory(J1142)</f>
        <v>Neutral</v>
      </c>
    </row>
    <row r="1143" spans="1:11" ht="17" x14ac:dyDescent="0.2">
      <c r="A1143" t="s">
        <v>1979</v>
      </c>
      <c r="B1143" s="1" t="s">
        <v>1980</v>
      </c>
      <c r="C1143" t="s">
        <v>1981</v>
      </c>
      <c r="D1143" s="1" t="s">
        <v>2</v>
      </c>
      <c r="E1143" t="b">
        <v>0</v>
      </c>
      <c r="F1143">
        <v>65</v>
      </c>
      <c r="G1143">
        <v>81</v>
      </c>
      <c r="H1143" t="s">
        <v>11</v>
      </c>
      <c r="I1143" t="b">
        <v>0</v>
      </c>
      <c r="J1143" cm="1">
        <f t="array" ref="J1143">sentimentCalc(B1143)</f>
        <v>0</v>
      </c>
      <c r="K1143" t="str" cm="1">
        <f t="array" ref="K1143">sentimentCategory(J1143)</f>
        <v>Neutral</v>
      </c>
    </row>
    <row r="1144" spans="1:11" ht="17" x14ac:dyDescent="0.2">
      <c r="A1144" t="s">
        <v>5370</v>
      </c>
      <c r="B1144" s="1" t="s">
        <v>5371</v>
      </c>
      <c r="C1144" t="s">
        <v>5372</v>
      </c>
      <c r="D1144" s="1" t="s">
        <v>2</v>
      </c>
      <c r="E1144" t="b">
        <v>0</v>
      </c>
      <c r="F1144">
        <v>403</v>
      </c>
      <c r="G1144">
        <v>746</v>
      </c>
      <c r="H1144" t="s">
        <v>11</v>
      </c>
      <c r="I1144" t="b">
        <v>0</v>
      </c>
      <c r="J1144" cm="1">
        <f t="array" ref="J1144">sentimentCalc(B1144)</f>
        <v>0</v>
      </c>
      <c r="K1144" t="str" cm="1">
        <f t="array" ref="K1144">sentimentCategory(J1144)</f>
        <v>Neutral</v>
      </c>
    </row>
    <row r="1145" spans="1:11" ht="17" x14ac:dyDescent="0.2">
      <c r="A1145" t="s">
        <v>5452</v>
      </c>
      <c r="B1145" s="1" t="s">
        <v>5453</v>
      </c>
      <c r="C1145" t="s">
        <v>5454</v>
      </c>
      <c r="D1145" s="1" t="s">
        <v>5455</v>
      </c>
      <c r="E1145" t="b">
        <v>0</v>
      </c>
      <c r="F1145">
        <v>192</v>
      </c>
      <c r="G1145">
        <v>198</v>
      </c>
      <c r="H1145" t="s">
        <v>11</v>
      </c>
      <c r="I1145" t="b">
        <v>0</v>
      </c>
      <c r="J1145" cm="1">
        <f t="array" ref="J1145">sentimentCalc(B1145)</f>
        <v>1</v>
      </c>
      <c r="K1145" t="str" cm="1">
        <f t="array" ref="K1145">sentimentCategory(J1145)</f>
        <v>Positive</v>
      </c>
    </row>
    <row r="1146" spans="1:11" ht="17" x14ac:dyDescent="0.2">
      <c r="A1146" t="s">
        <v>5161</v>
      </c>
      <c r="B1146" s="1" t="s">
        <v>5162</v>
      </c>
      <c r="C1146" t="s">
        <v>5163</v>
      </c>
      <c r="D1146" s="1" t="s">
        <v>4813</v>
      </c>
      <c r="E1146" t="b">
        <v>0</v>
      </c>
      <c r="F1146">
        <v>3</v>
      </c>
      <c r="G1146">
        <v>30</v>
      </c>
      <c r="H1146" t="s">
        <v>11</v>
      </c>
      <c r="I1146" t="b">
        <v>0</v>
      </c>
      <c r="J1146" cm="1">
        <f t="array" ref="J1146">sentimentCalc(B1146)</f>
        <v>0</v>
      </c>
      <c r="K1146" t="str" cm="1">
        <f t="array" ref="K1146">sentimentCategory(J1146)</f>
        <v>Neutral</v>
      </c>
    </row>
    <row r="1147" spans="1:11" ht="17" x14ac:dyDescent="0.2">
      <c r="A1147" t="s">
        <v>1663</v>
      </c>
      <c r="B1147" s="1" t="s">
        <v>1664</v>
      </c>
      <c r="C1147" t="s">
        <v>1665</v>
      </c>
      <c r="D1147" s="1" t="s">
        <v>1666</v>
      </c>
      <c r="E1147" t="b">
        <v>0</v>
      </c>
      <c r="F1147">
        <v>105</v>
      </c>
      <c r="G1147">
        <v>178</v>
      </c>
      <c r="H1147" t="s">
        <v>11</v>
      </c>
      <c r="I1147" t="b">
        <v>0</v>
      </c>
      <c r="J1147" cm="1">
        <f t="array" ref="J1147">sentimentCalc(B1147)</f>
        <v>0</v>
      </c>
      <c r="K1147" t="str" cm="1">
        <f t="array" ref="K1147">sentimentCategory(J1147)</f>
        <v>Neutral</v>
      </c>
    </row>
    <row r="1148" spans="1:11" ht="17" x14ac:dyDescent="0.2">
      <c r="A1148" t="s">
        <v>5422</v>
      </c>
      <c r="B1148" s="1" t="s">
        <v>5423</v>
      </c>
      <c r="C1148" t="s">
        <v>3631</v>
      </c>
      <c r="D1148" s="1" t="s">
        <v>5424</v>
      </c>
      <c r="E1148" t="b">
        <v>0</v>
      </c>
      <c r="F1148">
        <v>4248</v>
      </c>
      <c r="G1148">
        <v>1721</v>
      </c>
      <c r="H1148" t="s">
        <v>11</v>
      </c>
      <c r="I1148" t="b">
        <v>0</v>
      </c>
      <c r="J1148" cm="1">
        <f t="array" ref="J1148">sentimentCalc(B1148)</f>
        <v>1</v>
      </c>
      <c r="K1148" t="str" cm="1">
        <f t="array" ref="K1148">sentimentCategory(J1148)</f>
        <v>Positive</v>
      </c>
    </row>
    <row r="1149" spans="1:11" ht="34" x14ac:dyDescent="0.2">
      <c r="A1149" t="s">
        <v>6291</v>
      </c>
      <c r="B1149" s="1" t="s">
        <v>6292</v>
      </c>
      <c r="C1149" t="s">
        <v>6293</v>
      </c>
      <c r="D1149" s="1" t="s">
        <v>546</v>
      </c>
      <c r="E1149" t="b">
        <v>0</v>
      </c>
      <c r="F1149">
        <v>1594</v>
      </c>
      <c r="G1149">
        <v>2660</v>
      </c>
      <c r="H1149" t="s">
        <v>11</v>
      </c>
      <c r="I1149" t="b">
        <v>0</v>
      </c>
      <c r="J1149" cm="1">
        <f t="array" ref="J1149">sentimentCalc(B1149)</f>
        <v>0</v>
      </c>
      <c r="K1149" t="str" cm="1">
        <f t="array" ref="K1149">sentimentCategory(J1149)</f>
        <v>Neutral</v>
      </c>
    </row>
    <row r="1150" spans="1:11" ht="17" x14ac:dyDescent="0.2">
      <c r="A1150" t="s">
        <v>6736</v>
      </c>
      <c r="B1150" s="1" t="s">
        <v>6737</v>
      </c>
      <c r="C1150" t="s">
        <v>6738</v>
      </c>
      <c r="D1150" s="1" t="s">
        <v>6739</v>
      </c>
      <c r="E1150" t="b">
        <v>0</v>
      </c>
      <c r="F1150">
        <v>98</v>
      </c>
      <c r="G1150">
        <v>159</v>
      </c>
      <c r="H1150" t="s">
        <v>11</v>
      </c>
      <c r="I1150" t="b">
        <v>0</v>
      </c>
      <c r="J1150" cm="1">
        <f t="array" ref="J1150">sentimentCalc(B1150)</f>
        <v>-1</v>
      </c>
      <c r="K1150" t="str" cm="1">
        <f t="array" ref="K1150">sentimentCategory(J1150)</f>
        <v>Negative</v>
      </c>
    </row>
    <row r="1151" spans="1:11" ht="34" x14ac:dyDescent="0.2">
      <c r="A1151" t="s">
        <v>252</v>
      </c>
      <c r="B1151" s="1" t="s">
        <v>253</v>
      </c>
      <c r="C1151" t="s">
        <v>254</v>
      </c>
      <c r="D1151" s="1" t="s">
        <v>255</v>
      </c>
      <c r="E1151" t="b">
        <v>0</v>
      </c>
      <c r="F1151">
        <v>46</v>
      </c>
      <c r="G1151">
        <v>126</v>
      </c>
      <c r="H1151" t="s">
        <v>11</v>
      </c>
      <c r="I1151" t="b">
        <v>0</v>
      </c>
      <c r="J1151" cm="1">
        <f t="array" ref="J1151">sentimentCalc(B1151)</f>
        <v>0</v>
      </c>
      <c r="K1151" t="str" cm="1">
        <f t="array" ref="K1151">sentimentCategory(J1151)</f>
        <v>Neutral</v>
      </c>
    </row>
    <row r="1152" spans="1:11" ht="17" x14ac:dyDescent="0.2">
      <c r="A1152" t="s">
        <v>5143</v>
      </c>
      <c r="B1152" s="1" t="s">
        <v>5144</v>
      </c>
      <c r="C1152" t="s">
        <v>1495</v>
      </c>
      <c r="D1152" s="1" t="s">
        <v>2</v>
      </c>
      <c r="E1152" t="b">
        <v>0</v>
      </c>
      <c r="F1152">
        <v>64</v>
      </c>
      <c r="G1152">
        <v>71</v>
      </c>
      <c r="H1152" t="s">
        <v>11</v>
      </c>
      <c r="I1152" t="b">
        <v>0</v>
      </c>
      <c r="J1152" cm="1">
        <f t="array" ref="J1152">sentimentCalc(B1152)</f>
        <v>0</v>
      </c>
      <c r="K1152" t="str" cm="1">
        <f t="array" ref="K1152">sentimentCategory(J1152)</f>
        <v>Neutral</v>
      </c>
    </row>
    <row r="1153" spans="1:11" ht="17" x14ac:dyDescent="0.2">
      <c r="A1153" t="s">
        <v>2361</v>
      </c>
      <c r="B1153" s="1" t="s">
        <v>2362</v>
      </c>
      <c r="C1153" t="s">
        <v>2363</v>
      </c>
      <c r="D1153" s="1" t="s">
        <v>2</v>
      </c>
      <c r="E1153" t="b">
        <v>0</v>
      </c>
      <c r="F1153">
        <v>222</v>
      </c>
      <c r="G1153">
        <v>224</v>
      </c>
      <c r="H1153" t="s">
        <v>11</v>
      </c>
      <c r="I1153" t="b">
        <v>0</v>
      </c>
      <c r="J1153" cm="1">
        <f t="array" ref="J1153">sentimentCalc(B1153)</f>
        <v>0</v>
      </c>
      <c r="K1153" t="str" cm="1">
        <f t="array" ref="K1153">sentimentCategory(J1153)</f>
        <v>Neutral</v>
      </c>
    </row>
    <row r="1154" spans="1:11" ht="17" x14ac:dyDescent="0.2">
      <c r="A1154" t="s">
        <v>4738</v>
      </c>
      <c r="B1154" s="1" t="s">
        <v>4739</v>
      </c>
      <c r="C1154" t="s">
        <v>3765</v>
      </c>
      <c r="D1154" s="1" t="s">
        <v>61</v>
      </c>
      <c r="E1154" t="b">
        <v>0</v>
      </c>
      <c r="F1154">
        <v>162</v>
      </c>
      <c r="G1154">
        <v>362</v>
      </c>
      <c r="H1154" t="s">
        <v>11</v>
      </c>
      <c r="I1154" t="b">
        <v>0</v>
      </c>
      <c r="J1154" cm="1">
        <f t="array" ref="J1154">sentimentCalc(B1154)</f>
        <v>1</v>
      </c>
      <c r="K1154" t="str" cm="1">
        <f t="array" ref="K1154">sentimentCategory(J1154)</f>
        <v>Positive</v>
      </c>
    </row>
    <row r="1155" spans="1:11" ht="17" x14ac:dyDescent="0.2">
      <c r="A1155" t="s">
        <v>2575</v>
      </c>
      <c r="B1155" s="1" t="s">
        <v>2576</v>
      </c>
      <c r="C1155" t="s">
        <v>2577</v>
      </c>
      <c r="D1155" s="1" t="s">
        <v>316</v>
      </c>
      <c r="E1155" t="b">
        <v>0</v>
      </c>
      <c r="F1155">
        <v>159</v>
      </c>
      <c r="G1155">
        <v>122</v>
      </c>
      <c r="H1155" t="s">
        <v>11</v>
      </c>
      <c r="I1155" t="b">
        <v>0</v>
      </c>
      <c r="J1155" cm="1">
        <f t="array" ref="J1155">sentimentCalc(B1155)</f>
        <v>0</v>
      </c>
      <c r="K1155" t="str" cm="1">
        <f t="array" ref="K1155">sentimentCategory(J1155)</f>
        <v>Neutral</v>
      </c>
    </row>
    <row r="1156" spans="1:11" ht="17" x14ac:dyDescent="0.2">
      <c r="A1156" t="s">
        <v>3446</v>
      </c>
      <c r="B1156" s="1" t="s">
        <v>3448</v>
      </c>
      <c r="C1156" t="s">
        <v>1568</v>
      </c>
      <c r="D1156" s="1" t="s">
        <v>3449</v>
      </c>
      <c r="E1156" t="b">
        <v>0</v>
      </c>
      <c r="F1156">
        <v>183</v>
      </c>
      <c r="G1156">
        <v>358</v>
      </c>
      <c r="H1156" t="s">
        <v>11</v>
      </c>
      <c r="I1156" t="b">
        <v>0</v>
      </c>
      <c r="J1156" cm="1">
        <f t="array" ref="J1156">sentimentCalc(B1156)</f>
        <v>0</v>
      </c>
      <c r="K1156" t="str" cm="1">
        <f t="array" ref="K1156">sentimentCategory(J1156)</f>
        <v>Neutral</v>
      </c>
    </row>
    <row r="1157" spans="1:11" ht="34" x14ac:dyDescent="0.2">
      <c r="A1157" t="s">
        <v>5275</v>
      </c>
      <c r="B1157" s="1" t="s">
        <v>5276</v>
      </c>
      <c r="C1157" t="s">
        <v>5277</v>
      </c>
      <c r="D1157" s="1" t="s">
        <v>1023</v>
      </c>
      <c r="E1157" t="b">
        <v>0</v>
      </c>
      <c r="F1157">
        <v>6</v>
      </c>
      <c r="G1157">
        <v>36</v>
      </c>
      <c r="H1157" t="s">
        <v>11</v>
      </c>
      <c r="I1157" t="b">
        <v>0</v>
      </c>
      <c r="J1157" cm="1">
        <f t="array" ref="J1157">sentimentCalc(B1157)</f>
        <v>1</v>
      </c>
      <c r="K1157" t="str" cm="1">
        <f t="array" ref="K1157">sentimentCategory(J1157)</f>
        <v>Positive</v>
      </c>
    </row>
    <row r="1158" spans="1:11" ht="17" x14ac:dyDescent="0.2">
      <c r="A1158" t="s">
        <v>531</v>
      </c>
      <c r="B1158" s="1" t="s">
        <v>532</v>
      </c>
      <c r="C1158" t="s">
        <v>533</v>
      </c>
      <c r="D1158" s="1" t="s">
        <v>534</v>
      </c>
      <c r="E1158" t="b">
        <v>0</v>
      </c>
      <c r="F1158">
        <v>543</v>
      </c>
      <c r="G1158">
        <v>179</v>
      </c>
      <c r="H1158" t="s">
        <v>11</v>
      </c>
      <c r="I1158" t="b">
        <v>0</v>
      </c>
      <c r="J1158" cm="1">
        <f t="array" ref="J1158">sentimentCalc(B1158)</f>
        <v>0</v>
      </c>
      <c r="K1158" t="str" cm="1">
        <f t="array" ref="K1158">sentimentCategory(J1158)</f>
        <v>Neutral</v>
      </c>
    </row>
    <row r="1159" spans="1:11" ht="17" x14ac:dyDescent="0.2">
      <c r="A1159" t="s">
        <v>2543</v>
      </c>
      <c r="B1159" s="1" t="s">
        <v>2544</v>
      </c>
      <c r="C1159" t="s">
        <v>2545</v>
      </c>
      <c r="D1159" s="1" t="s">
        <v>2546</v>
      </c>
      <c r="E1159" t="b">
        <v>0</v>
      </c>
      <c r="F1159">
        <v>34</v>
      </c>
      <c r="G1159">
        <v>70</v>
      </c>
      <c r="H1159" t="s">
        <v>11</v>
      </c>
      <c r="I1159" t="b">
        <v>0</v>
      </c>
      <c r="J1159" cm="1">
        <f t="array" ref="J1159">sentimentCalc(B1159)</f>
        <v>0</v>
      </c>
      <c r="K1159" t="str" cm="1">
        <f t="array" ref="K1159">sentimentCategory(J1159)</f>
        <v>Neutral</v>
      </c>
    </row>
    <row r="1160" spans="1:11" ht="17" x14ac:dyDescent="0.2">
      <c r="A1160" t="s">
        <v>6402</v>
      </c>
      <c r="B1160" s="1" t="s">
        <v>6403</v>
      </c>
      <c r="C1160" t="s">
        <v>6404</v>
      </c>
      <c r="D1160" s="1" t="s">
        <v>6405</v>
      </c>
      <c r="E1160" t="b">
        <v>0</v>
      </c>
      <c r="F1160">
        <v>28</v>
      </c>
      <c r="G1160">
        <v>188</v>
      </c>
      <c r="H1160" t="s">
        <v>11</v>
      </c>
      <c r="I1160" t="b">
        <v>0</v>
      </c>
      <c r="J1160" cm="1">
        <f t="array" ref="J1160">sentimentCalc(B1160)</f>
        <v>0</v>
      </c>
      <c r="K1160" t="str" cm="1">
        <f t="array" ref="K1160">sentimentCategory(J1160)</f>
        <v>Neutral</v>
      </c>
    </row>
    <row r="1161" spans="1:11" ht="17" x14ac:dyDescent="0.2">
      <c r="A1161" t="s">
        <v>7180</v>
      </c>
      <c r="B1161" s="1" t="s">
        <v>7181</v>
      </c>
      <c r="C1161" t="s">
        <v>1943</v>
      </c>
      <c r="D1161" s="1" t="s">
        <v>7182</v>
      </c>
      <c r="E1161" t="b">
        <v>0</v>
      </c>
      <c r="F1161">
        <v>942</v>
      </c>
      <c r="G1161">
        <v>1121</v>
      </c>
      <c r="H1161" t="s">
        <v>11</v>
      </c>
      <c r="I1161" t="b">
        <v>0</v>
      </c>
      <c r="J1161" cm="1">
        <f t="array" ref="J1161">sentimentCalc(B1161)</f>
        <v>0</v>
      </c>
      <c r="K1161" t="str" cm="1">
        <f t="array" ref="K1161">sentimentCategory(J1161)</f>
        <v>Neutral</v>
      </c>
    </row>
    <row r="1162" spans="1:11" ht="34" x14ac:dyDescent="0.2">
      <c r="A1162" t="s">
        <v>1010</v>
      </c>
      <c r="B1162" s="1" t="s">
        <v>1011</v>
      </c>
      <c r="C1162" t="s">
        <v>1012</v>
      </c>
      <c r="D1162" s="1" t="s">
        <v>2</v>
      </c>
      <c r="E1162" t="b">
        <v>0</v>
      </c>
      <c r="F1162">
        <v>57</v>
      </c>
      <c r="G1162">
        <v>45</v>
      </c>
      <c r="H1162" t="s">
        <v>11</v>
      </c>
      <c r="I1162" t="b">
        <v>0</v>
      </c>
      <c r="J1162" cm="1">
        <f t="array" ref="J1162">sentimentCalc(B1162)</f>
        <v>0</v>
      </c>
      <c r="K1162" t="str" cm="1">
        <f t="array" ref="K1162">sentimentCategory(J1162)</f>
        <v>Neutral</v>
      </c>
    </row>
    <row r="1163" spans="1:11" ht="17" x14ac:dyDescent="0.2">
      <c r="A1163" t="s">
        <v>4005</v>
      </c>
      <c r="B1163" s="1" t="s">
        <v>4006</v>
      </c>
      <c r="C1163" t="s">
        <v>4007</v>
      </c>
      <c r="D1163" s="1" t="s">
        <v>2</v>
      </c>
      <c r="E1163" t="b">
        <v>0</v>
      </c>
      <c r="F1163">
        <v>1</v>
      </c>
      <c r="G1163">
        <v>1</v>
      </c>
      <c r="H1163" t="s">
        <v>11</v>
      </c>
      <c r="I1163" t="b">
        <v>0</v>
      </c>
      <c r="J1163" cm="1">
        <f t="array" ref="J1163">sentimentCalc(B1163)</f>
        <v>0</v>
      </c>
      <c r="K1163" t="str" cm="1">
        <f t="array" ref="K1163">sentimentCategory(J1163)</f>
        <v>Neutral</v>
      </c>
    </row>
    <row r="1164" spans="1:11" ht="17" x14ac:dyDescent="0.2">
      <c r="A1164" t="s">
        <v>1454</v>
      </c>
      <c r="B1164" s="1" t="s">
        <v>1455</v>
      </c>
      <c r="C1164" t="s">
        <v>1456</v>
      </c>
      <c r="D1164" s="1" t="s">
        <v>399</v>
      </c>
      <c r="E1164" t="b">
        <v>0</v>
      </c>
      <c r="F1164">
        <v>547</v>
      </c>
      <c r="G1164">
        <v>720</v>
      </c>
      <c r="H1164" t="s">
        <v>11</v>
      </c>
      <c r="I1164" t="b">
        <v>0</v>
      </c>
      <c r="J1164" cm="1">
        <f t="array" ref="J1164">sentimentCalc(B1164)</f>
        <v>0</v>
      </c>
      <c r="K1164" t="str" cm="1">
        <f t="array" ref="K1164">sentimentCategory(J1164)</f>
        <v>Neutral</v>
      </c>
    </row>
    <row r="1165" spans="1:11" ht="17" x14ac:dyDescent="0.2">
      <c r="A1165" t="s">
        <v>131</v>
      </c>
      <c r="B1165" s="1" t="s">
        <v>132</v>
      </c>
      <c r="C1165" t="s">
        <v>133</v>
      </c>
      <c r="D1165" s="1" t="s">
        <v>2</v>
      </c>
      <c r="E1165" t="b">
        <v>0</v>
      </c>
      <c r="F1165">
        <v>6</v>
      </c>
      <c r="G1165">
        <v>45</v>
      </c>
      <c r="H1165" t="s">
        <v>11</v>
      </c>
      <c r="I1165" t="b">
        <v>0</v>
      </c>
      <c r="J1165" cm="1">
        <f t="array" ref="J1165">sentimentCalc(B1165)</f>
        <v>0</v>
      </c>
      <c r="K1165" t="str" cm="1">
        <f t="array" ref="K1165">sentimentCategory(J1165)</f>
        <v>Neutral</v>
      </c>
    </row>
    <row r="1166" spans="1:11" ht="17" x14ac:dyDescent="0.2">
      <c r="A1166" t="s">
        <v>5535</v>
      </c>
      <c r="B1166" s="1" t="s">
        <v>5536</v>
      </c>
      <c r="C1166" t="s">
        <v>1568</v>
      </c>
      <c r="D1166" s="1" t="s">
        <v>5537</v>
      </c>
      <c r="E1166" t="b">
        <v>0</v>
      </c>
      <c r="F1166">
        <v>137</v>
      </c>
      <c r="G1166">
        <v>404</v>
      </c>
      <c r="H1166" t="s">
        <v>11</v>
      </c>
      <c r="I1166" t="b">
        <v>0</v>
      </c>
      <c r="J1166" cm="1">
        <f t="array" ref="J1166">sentimentCalc(B1166)</f>
        <v>1</v>
      </c>
      <c r="K1166" t="str" cm="1">
        <f t="array" ref="K1166">sentimentCategory(J1166)</f>
        <v>Positive</v>
      </c>
    </row>
    <row r="1167" spans="1:11" ht="17" x14ac:dyDescent="0.2">
      <c r="A1167" t="s">
        <v>4136</v>
      </c>
      <c r="B1167" s="1" t="s">
        <v>4137</v>
      </c>
      <c r="C1167" t="s">
        <v>4138</v>
      </c>
      <c r="D1167" s="1" t="s">
        <v>4139</v>
      </c>
      <c r="E1167" t="b">
        <v>0</v>
      </c>
      <c r="F1167">
        <v>1</v>
      </c>
      <c r="G1167">
        <v>7</v>
      </c>
      <c r="H1167" t="s">
        <v>1580</v>
      </c>
      <c r="I1167" t="b">
        <v>0</v>
      </c>
      <c r="J1167" cm="1">
        <f t="array" ref="J1167">sentimentCalc(B1167)</f>
        <v>0</v>
      </c>
      <c r="K1167" t="str" cm="1">
        <f t="array" ref="K1167">sentimentCategory(J1167)</f>
        <v>Neutral</v>
      </c>
    </row>
    <row r="1168" spans="1:11" ht="17" x14ac:dyDescent="0.2">
      <c r="A1168" t="s">
        <v>4325</v>
      </c>
      <c r="B1168" s="1" t="s">
        <v>4329</v>
      </c>
      <c r="C1168" t="s">
        <v>4110</v>
      </c>
      <c r="D1168" s="1" t="s">
        <v>2</v>
      </c>
      <c r="E1168" t="b">
        <v>0</v>
      </c>
      <c r="F1168">
        <v>9</v>
      </c>
      <c r="G1168">
        <v>57</v>
      </c>
      <c r="H1168" t="s">
        <v>11</v>
      </c>
      <c r="I1168" t="b">
        <v>0</v>
      </c>
      <c r="J1168" cm="1">
        <f t="array" ref="J1168">sentimentCalc(B1168)</f>
        <v>1</v>
      </c>
      <c r="K1168" t="str" cm="1">
        <f t="array" ref="K1168">sentimentCategory(J1168)</f>
        <v>Positive</v>
      </c>
    </row>
    <row r="1169" spans="1:11" ht="34" x14ac:dyDescent="0.2">
      <c r="A1169" t="s">
        <v>6650</v>
      </c>
      <c r="B1169" s="1" t="s">
        <v>6651</v>
      </c>
      <c r="C1169" t="s">
        <v>455</v>
      </c>
      <c r="D1169" s="1" t="s">
        <v>212</v>
      </c>
      <c r="E1169" t="b">
        <v>0</v>
      </c>
      <c r="F1169">
        <v>178</v>
      </c>
      <c r="G1169">
        <v>135</v>
      </c>
      <c r="H1169" t="s">
        <v>11</v>
      </c>
      <c r="I1169" t="b">
        <v>0</v>
      </c>
      <c r="J1169" cm="1">
        <f t="array" ref="J1169">sentimentCalc(B1169)</f>
        <v>0</v>
      </c>
      <c r="K1169" t="str" cm="1">
        <f t="array" ref="K1169">sentimentCategory(J1169)</f>
        <v>Neutral</v>
      </c>
    </row>
    <row r="1170" spans="1:11" ht="17" x14ac:dyDescent="0.2">
      <c r="A1170" t="s">
        <v>5527</v>
      </c>
      <c r="B1170" s="1" t="s">
        <v>5528</v>
      </c>
      <c r="C1170" t="s">
        <v>5529</v>
      </c>
      <c r="D1170" s="1" t="s">
        <v>2</v>
      </c>
      <c r="E1170" t="b">
        <v>0</v>
      </c>
      <c r="F1170">
        <v>3194</v>
      </c>
      <c r="G1170">
        <v>3136</v>
      </c>
      <c r="H1170" t="s">
        <v>3</v>
      </c>
      <c r="I1170" t="b">
        <v>0</v>
      </c>
      <c r="J1170" cm="1">
        <f t="array" ref="J1170">sentimentCalc(B1170)</f>
        <v>0</v>
      </c>
      <c r="K1170" t="str" cm="1">
        <f t="array" ref="K1170">sentimentCategory(J1170)</f>
        <v>Neutral</v>
      </c>
    </row>
    <row r="1171" spans="1:11" ht="17" x14ac:dyDescent="0.2">
      <c r="A1171" t="s">
        <v>3299</v>
      </c>
      <c r="B1171" s="1" t="s">
        <v>3300</v>
      </c>
      <c r="C1171" t="s">
        <v>3301</v>
      </c>
      <c r="D1171" s="1" t="s">
        <v>2</v>
      </c>
      <c r="E1171" t="b">
        <v>0</v>
      </c>
      <c r="F1171">
        <v>5395</v>
      </c>
      <c r="G1171">
        <v>698</v>
      </c>
      <c r="H1171" t="s">
        <v>11</v>
      </c>
      <c r="I1171" t="b">
        <v>0</v>
      </c>
      <c r="J1171" cm="1">
        <f t="array" ref="J1171">sentimentCalc(B1171)</f>
        <v>0</v>
      </c>
      <c r="K1171" t="str" cm="1">
        <f t="array" ref="K1171">sentimentCategory(J1171)</f>
        <v>Neutral</v>
      </c>
    </row>
    <row r="1172" spans="1:11" ht="34" x14ac:dyDescent="0.2">
      <c r="A1172" t="s">
        <v>1712</v>
      </c>
      <c r="B1172" s="1" t="s">
        <v>1713</v>
      </c>
      <c r="C1172" t="s">
        <v>1592</v>
      </c>
      <c r="D1172" s="1" t="s">
        <v>1593</v>
      </c>
      <c r="E1172" t="b">
        <v>0</v>
      </c>
      <c r="F1172">
        <v>4</v>
      </c>
      <c r="G1172">
        <v>0</v>
      </c>
      <c r="H1172" t="s">
        <v>11</v>
      </c>
      <c r="I1172" t="b">
        <v>0</v>
      </c>
      <c r="J1172" cm="1">
        <f t="array" ref="J1172">sentimentCalc(B1172)</f>
        <v>0</v>
      </c>
      <c r="K1172" t="str" cm="1">
        <f t="array" ref="K1172">sentimentCategory(J1172)</f>
        <v>Neutral</v>
      </c>
    </row>
    <row r="1173" spans="1:11" ht="34" x14ac:dyDescent="0.2">
      <c r="A1173" t="s">
        <v>4943</v>
      </c>
      <c r="B1173" s="1" t="s">
        <v>4944</v>
      </c>
      <c r="C1173" t="s">
        <v>4945</v>
      </c>
      <c r="D1173" s="1" t="s">
        <v>2</v>
      </c>
      <c r="E1173" t="b">
        <v>0</v>
      </c>
      <c r="F1173">
        <v>48</v>
      </c>
      <c r="G1173">
        <v>149</v>
      </c>
      <c r="H1173" t="s">
        <v>641</v>
      </c>
      <c r="I1173" t="b">
        <v>0</v>
      </c>
      <c r="J1173" cm="1">
        <f t="array" ref="J1173">sentimentCalc(B1173)</f>
        <v>0</v>
      </c>
      <c r="K1173" t="str" cm="1">
        <f t="array" ref="K1173">sentimentCategory(J1173)</f>
        <v>Neutral</v>
      </c>
    </row>
    <row r="1174" spans="1:11" ht="34" x14ac:dyDescent="0.2">
      <c r="A1174" t="s">
        <v>6458</v>
      </c>
      <c r="B1174" s="1" t="s">
        <v>6459</v>
      </c>
      <c r="C1174" t="s">
        <v>1371</v>
      </c>
      <c r="D1174" s="1" t="s">
        <v>2</v>
      </c>
      <c r="E1174" t="b">
        <v>0</v>
      </c>
      <c r="F1174">
        <v>62</v>
      </c>
      <c r="G1174">
        <v>130</v>
      </c>
      <c r="H1174" t="s">
        <v>11</v>
      </c>
      <c r="I1174" t="b">
        <v>0</v>
      </c>
      <c r="J1174" cm="1">
        <f t="array" ref="J1174">sentimentCalc(B1174)</f>
        <v>0</v>
      </c>
      <c r="K1174" t="str" cm="1">
        <f t="array" ref="K1174">sentimentCategory(J1174)</f>
        <v>Neutral</v>
      </c>
    </row>
    <row r="1175" spans="1:11" ht="17" x14ac:dyDescent="0.2">
      <c r="A1175" t="s">
        <v>6366</v>
      </c>
      <c r="B1175" s="1" t="s">
        <v>6367</v>
      </c>
      <c r="C1175" t="s">
        <v>3553</v>
      </c>
      <c r="D1175" s="1" t="s">
        <v>6368</v>
      </c>
      <c r="E1175" t="b">
        <v>0</v>
      </c>
      <c r="F1175">
        <v>319</v>
      </c>
      <c r="G1175">
        <v>582</v>
      </c>
      <c r="H1175" t="s">
        <v>11</v>
      </c>
      <c r="I1175" t="b">
        <v>0</v>
      </c>
      <c r="J1175" cm="1">
        <f t="array" ref="J1175">sentimentCalc(B1175)</f>
        <v>0</v>
      </c>
      <c r="K1175" t="str" cm="1">
        <f t="array" ref="K1175">sentimentCategory(J1175)</f>
        <v>Neutral</v>
      </c>
    </row>
    <row r="1176" spans="1:11" ht="17" x14ac:dyDescent="0.2">
      <c r="A1176" t="s">
        <v>3335</v>
      </c>
      <c r="B1176" s="1" t="s">
        <v>3336</v>
      </c>
      <c r="C1176" t="s">
        <v>1022</v>
      </c>
      <c r="D1176" s="1" t="s">
        <v>2</v>
      </c>
      <c r="E1176" t="b">
        <v>0</v>
      </c>
      <c r="F1176">
        <v>82</v>
      </c>
      <c r="G1176">
        <v>238</v>
      </c>
      <c r="H1176" t="s">
        <v>11</v>
      </c>
      <c r="I1176" t="b">
        <v>0</v>
      </c>
      <c r="J1176" cm="1">
        <f t="array" ref="J1176">sentimentCalc(B1176)</f>
        <v>-1</v>
      </c>
      <c r="K1176" t="str" cm="1">
        <f t="array" ref="K1176">sentimentCategory(J1176)</f>
        <v>Negative</v>
      </c>
    </row>
    <row r="1177" spans="1:11" ht="17" x14ac:dyDescent="0.2">
      <c r="A1177" t="s">
        <v>6786</v>
      </c>
      <c r="B1177" s="1" t="s">
        <v>6787</v>
      </c>
      <c r="C1177" t="s">
        <v>591</v>
      </c>
      <c r="D1177" s="1" t="s">
        <v>1841</v>
      </c>
      <c r="E1177" t="b">
        <v>0</v>
      </c>
      <c r="F1177">
        <v>1282</v>
      </c>
      <c r="G1177">
        <v>270</v>
      </c>
      <c r="H1177" t="s">
        <v>11</v>
      </c>
      <c r="I1177" t="b">
        <v>0</v>
      </c>
      <c r="J1177" cm="1">
        <f t="array" ref="J1177">sentimentCalc(B1177)</f>
        <v>-1</v>
      </c>
      <c r="K1177" t="str" cm="1">
        <f t="array" ref="K1177">sentimentCategory(J1177)</f>
        <v>Negative</v>
      </c>
    </row>
    <row r="1178" spans="1:11" ht="17" x14ac:dyDescent="0.2">
      <c r="A1178" t="s">
        <v>6805</v>
      </c>
      <c r="B1178" s="1" t="s">
        <v>6806</v>
      </c>
      <c r="C1178" t="s">
        <v>319</v>
      </c>
      <c r="D1178" s="1" t="s">
        <v>2</v>
      </c>
      <c r="E1178" t="b">
        <v>0</v>
      </c>
      <c r="F1178">
        <v>19</v>
      </c>
      <c r="G1178">
        <v>75</v>
      </c>
      <c r="H1178" t="s">
        <v>11</v>
      </c>
      <c r="I1178" t="b">
        <v>0</v>
      </c>
      <c r="J1178" cm="1">
        <f t="array" ref="J1178">sentimentCalc(B1178)</f>
        <v>0</v>
      </c>
      <c r="K1178" t="str" cm="1">
        <f t="array" ref="K1178">sentimentCategory(J1178)</f>
        <v>Neutral</v>
      </c>
    </row>
    <row r="1179" spans="1:11" ht="17" x14ac:dyDescent="0.2">
      <c r="A1179" t="s">
        <v>2450</v>
      </c>
      <c r="B1179" s="1" t="s">
        <v>2451</v>
      </c>
      <c r="C1179" t="s">
        <v>311</v>
      </c>
      <c r="D1179" s="1" t="s">
        <v>2452</v>
      </c>
      <c r="E1179" t="b">
        <v>0</v>
      </c>
      <c r="F1179">
        <v>23</v>
      </c>
      <c r="G1179">
        <v>150</v>
      </c>
      <c r="H1179" t="s">
        <v>11</v>
      </c>
      <c r="I1179" t="b">
        <v>0</v>
      </c>
      <c r="J1179" cm="1">
        <f t="array" ref="J1179">sentimentCalc(B1179)</f>
        <v>0</v>
      </c>
      <c r="K1179" t="str" cm="1">
        <f t="array" ref="K1179">sentimentCategory(J1179)</f>
        <v>Neutral</v>
      </c>
    </row>
    <row r="1180" spans="1:11" ht="34" x14ac:dyDescent="0.2">
      <c r="A1180" t="s">
        <v>6165</v>
      </c>
      <c r="B1180" s="1" t="s">
        <v>6166</v>
      </c>
      <c r="C1180" t="s">
        <v>4907</v>
      </c>
      <c r="D1180" s="1" t="s">
        <v>2</v>
      </c>
      <c r="E1180" t="b">
        <v>0</v>
      </c>
      <c r="F1180">
        <v>1515</v>
      </c>
      <c r="G1180">
        <v>5002</v>
      </c>
      <c r="H1180" t="s">
        <v>31</v>
      </c>
      <c r="I1180" t="b">
        <v>0</v>
      </c>
      <c r="J1180" cm="1">
        <f t="array" ref="J1180">sentimentCalc(B1180)</f>
        <v>0</v>
      </c>
      <c r="K1180" t="str" cm="1">
        <f t="array" ref="K1180">sentimentCategory(J1180)</f>
        <v>Neutral</v>
      </c>
    </row>
    <row r="1181" spans="1:11" ht="17" x14ac:dyDescent="0.2">
      <c r="A1181" t="s">
        <v>3108</v>
      </c>
      <c r="B1181" s="1" t="s">
        <v>3109</v>
      </c>
      <c r="C1181" t="s">
        <v>773</v>
      </c>
      <c r="D1181" s="1" t="s">
        <v>2</v>
      </c>
      <c r="E1181" t="b">
        <v>0</v>
      </c>
      <c r="F1181">
        <v>8</v>
      </c>
      <c r="G1181">
        <v>29</v>
      </c>
      <c r="H1181" t="s">
        <v>11</v>
      </c>
      <c r="I1181" t="b">
        <v>0</v>
      </c>
      <c r="J1181" cm="1">
        <f t="array" ref="J1181">sentimentCalc(B1181)</f>
        <v>0</v>
      </c>
      <c r="K1181" t="str" cm="1">
        <f t="array" ref="K1181">sentimentCategory(J1181)</f>
        <v>Neutral</v>
      </c>
    </row>
    <row r="1182" spans="1:11" ht="17" x14ac:dyDescent="0.2">
      <c r="A1182" t="s">
        <v>1874</v>
      </c>
      <c r="B1182" s="1" t="s">
        <v>1875</v>
      </c>
      <c r="C1182" t="s">
        <v>1635</v>
      </c>
      <c r="D1182" s="1" t="s">
        <v>1636</v>
      </c>
      <c r="E1182" t="b">
        <v>0</v>
      </c>
      <c r="F1182">
        <v>85</v>
      </c>
      <c r="G1182">
        <v>113</v>
      </c>
      <c r="H1182" t="s">
        <v>11</v>
      </c>
      <c r="I1182" t="b">
        <v>0</v>
      </c>
      <c r="J1182" cm="1">
        <f t="array" ref="J1182">sentimentCalc(B1182)</f>
        <v>0</v>
      </c>
      <c r="K1182" t="str" cm="1">
        <f t="array" ref="K1182">sentimentCategory(J1182)</f>
        <v>Neutral</v>
      </c>
    </row>
    <row r="1183" spans="1:11" ht="34" x14ac:dyDescent="0.2">
      <c r="A1183" t="s">
        <v>7216</v>
      </c>
      <c r="B1183" s="1" t="s">
        <v>7217</v>
      </c>
      <c r="C1183" t="s">
        <v>1254</v>
      </c>
      <c r="D1183" s="1" t="s">
        <v>2</v>
      </c>
      <c r="E1183" t="b">
        <v>0</v>
      </c>
      <c r="F1183">
        <v>377</v>
      </c>
      <c r="G1183">
        <v>1113</v>
      </c>
      <c r="H1183" t="s">
        <v>31</v>
      </c>
      <c r="I1183" t="b">
        <v>0</v>
      </c>
      <c r="J1183" cm="1">
        <f t="array" ref="J1183">sentimentCalc(B1183)</f>
        <v>0</v>
      </c>
      <c r="K1183" t="str" cm="1">
        <f t="array" ref="K1183">sentimentCategory(J1183)</f>
        <v>Neutral</v>
      </c>
    </row>
    <row r="1184" spans="1:11" ht="17" x14ac:dyDescent="0.2">
      <c r="A1184" t="s">
        <v>5469</v>
      </c>
      <c r="B1184" s="1" t="s">
        <v>5470</v>
      </c>
      <c r="C1184" t="s">
        <v>5471</v>
      </c>
      <c r="D1184" s="1" t="s">
        <v>5472</v>
      </c>
      <c r="E1184" t="b">
        <v>0</v>
      </c>
      <c r="F1184">
        <v>134</v>
      </c>
      <c r="G1184">
        <v>205</v>
      </c>
      <c r="H1184" t="s">
        <v>11</v>
      </c>
      <c r="I1184" t="b">
        <v>0</v>
      </c>
      <c r="J1184" cm="1">
        <f t="array" ref="J1184">sentimentCalc(B1184)</f>
        <v>0</v>
      </c>
      <c r="K1184" t="str" cm="1">
        <f t="array" ref="K1184">sentimentCategory(J1184)</f>
        <v>Neutral</v>
      </c>
    </row>
    <row r="1185" spans="1:11" ht="17" x14ac:dyDescent="0.2">
      <c r="A1185" t="s">
        <v>5883</v>
      </c>
      <c r="B1185" s="1" t="s">
        <v>5884</v>
      </c>
      <c r="C1185" t="s">
        <v>1530</v>
      </c>
      <c r="D1185" s="1" t="s">
        <v>2272</v>
      </c>
      <c r="E1185" t="b">
        <v>0</v>
      </c>
      <c r="F1185">
        <v>313</v>
      </c>
      <c r="G1185">
        <v>79</v>
      </c>
      <c r="H1185" t="s">
        <v>11</v>
      </c>
      <c r="I1185" t="b">
        <v>0</v>
      </c>
      <c r="J1185" cm="1">
        <f t="array" ref="J1185">sentimentCalc(B1185)</f>
        <v>0</v>
      </c>
      <c r="K1185" t="str" cm="1">
        <f t="array" ref="K1185">sentimentCategory(J1185)</f>
        <v>Neutral</v>
      </c>
    </row>
    <row r="1186" spans="1:11" ht="17" x14ac:dyDescent="0.2">
      <c r="A1186" t="s">
        <v>4922</v>
      </c>
      <c r="B1186" s="1" t="s">
        <v>4923</v>
      </c>
      <c r="C1186" t="s">
        <v>4643</v>
      </c>
      <c r="D1186" s="1" t="s">
        <v>2</v>
      </c>
      <c r="E1186" t="b">
        <v>0</v>
      </c>
      <c r="F1186">
        <v>3795</v>
      </c>
      <c r="G1186">
        <v>95</v>
      </c>
      <c r="H1186" t="s">
        <v>47</v>
      </c>
      <c r="I1186" t="b">
        <v>0</v>
      </c>
      <c r="J1186" cm="1">
        <f t="array" ref="J1186">sentimentCalc(B1186)</f>
        <v>1</v>
      </c>
      <c r="K1186" t="str" cm="1">
        <f t="array" ref="K1186">sentimentCategory(J1186)</f>
        <v>Positive</v>
      </c>
    </row>
    <row r="1187" spans="1:11" ht="17" x14ac:dyDescent="0.2">
      <c r="A1187" t="s">
        <v>3187</v>
      </c>
      <c r="B1187" s="1" t="s">
        <v>3188</v>
      </c>
      <c r="C1187" t="s">
        <v>3189</v>
      </c>
      <c r="D1187" s="1" t="s">
        <v>3190</v>
      </c>
      <c r="E1187" t="b">
        <v>0</v>
      </c>
      <c r="F1187">
        <v>1073</v>
      </c>
      <c r="G1187">
        <v>290</v>
      </c>
      <c r="H1187" t="s">
        <v>47</v>
      </c>
      <c r="I1187" t="b">
        <v>0</v>
      </c>
      <c r="J1187" cm="1">
        <f t="array" ref="J1187">sentimentCalc(B1187)</f>
        <v>1</v>
      </c>
      <c r="K1187" t="str" cm="1">
        <f t="array" ref="K1187">sentimentCategory(J1187)</f>
        <v>Positive</v>
      </c>
    </row>
    <row r="1188" spans="1:11" ht="17" x14ac:dyDescent="0.2">
      <c r="A1188" t="s">
        <v>6505</v>
      </c>
      <c r="B1188" s="1" t="s">
        <v>6506</v>
      </c>
      <c r="C1188" t="s">
        <v>3967</v>
      </c>
      <c r="D1188" s="1" t="s">
        <v>2</v>
      </c>
      <c r="E1188" t="b">
        <v>0</v>
      </c>
      <c r="F1188">
        <v>54</v>
      </c>
      <c r="G1188">
        <v>147</v>
      </c>
      <c r="H1188" t="s">
        <v>11</v>
      </c>
      <c r="I1188" t="b">
        <v>0</v>
      </c>
      <c r="J1188" cm="1">
        <f t="array" ref="J1188">sentimentCalc(B1188)</f>
        <v>0</v>
      </c>
      <c r="K1188" t="str" cm="1">
        <f t="array" ref="K1188">sentimentCategory(J1188)</f>
        <v>Neutral</v>
      </c>
    </row>
    <row r="1189" spans="1:11" ht="34" x14ac:dyDescent="0.2">
      <c r="A1189" t="s">
        <v>3023</v>
      </c>
      <c r="B1189" s="1" t="s">
        <v>3024</v>
      </c>
      <c r="C1189" t="s">
        <v>100</v>
      </c>
      <c r="D1189" s="1" t="s">
        <v>2</v>
      </c>
      <c r="E1189" t="b">
        <v>0</v>
      </c>
      <c r="F1189">
        <v>2</v>
      </c>
      <c r="G1189">
        <v>0</v>
      </c>
      <c r="H1189" t="s">
        <v>359</v>
      </c>
      <c r="I1189" t="b">
        <v>0</v>
      </c>
      <c r="J1189" cm="1">
        <f t="array" ref="J1189">sentimentCalc(B1189)</f>
        <v>3</v>
      </c>
      <c r="K1189" t="str" cm="1">
        <f t="array" ref="K1189">sentimentCategory(J1189)</f>
        <v>Positive</v>
      </c>
    </row>
    <row r="1190" spans="1:11" ht="17" x14ac:dyDescent="0.2">
      <c r="A1190" t="s">
        <v>4507</v>
      </c>
      <c r="B1190" s="1" t="s">
        <v>4508</v>
      </c>
      <c r="C1190" t="s">
        <v>509</v>
      </c>
      <c r="D1190" s="1" t="s">
        <v>4509</v>
      </c>
      <c r="E1190" t="b">
        <v>0</v>
      </c>
      <c r="F1190">
        <v>129</v>
      </c>
      <c r="G1190">
        <v>603</v>
      </c>
      <c r="H1190" t="s">
        <v>11</v>
      </c>
      <c r="I1190" t="b">
        <v>0</v>
      </c>
      <c r="J1190" cm="1">
        <f t="array" ref="J1190">sentimentCalc(B1190)</f>
        <v>2</v>
      </c>
      <c r="K1190" t="str" cm="1">
        <f t="array" ref="K1190">sentimentCategory(J1190)</f>
        <v>Positive</v>
      </c>
    </row>
    <row r="1191" spans="1:11" ht="17" x14ac:dyDescent="0.2">
      <c r="A1191" t="s">
        <v>4224</v>
      </c>
      <c r="B1191" s="1" t="s">
        <v>4225</v>
      </c>
      <c r="C1191" t="s">
        <v>1355</v>
      </c>
      <c r="D1191" s="1" t="s">
        <v>4226</v>
      </c>
      <c r="E1191" t="b">
        <v>0</v>
      </c>
      <c r="F1191">
        <v>4753</v>
      </c>
      <c r="G1191">
        <v>1512</v>
      </c>
      <c r="H1191" t="s">
        <v>11</v>
      </c>
      <c r="I1191" t="b">
        <v>0</v>
      </c>
      <c r="J1191" cm="1">
        <f t="array" ref="J1191">sentimentCalc(B1191)</f>
        <v>1</v>
      </c>
      <c r="K1191" t="str" cm="1">
        <f t="array" ref="K1191">sentimentCategory(J1191)</f>
        <v>Positive</v>
      </c>
    </row>
    <row r="1192" spans="1:11" ht="34" x14ac:dyDescent="0.2">
      <c r="A1192" t="s">
        <v>24</v>
      </c>
      <c r="B1192" s="1" t="s">
        <v>25</v>
      </c>
      <c r="C1192" t="s">
        <v>26</v>
      </c>
      <c r="D1192" s="1" t="s">
        <v>2</v>
      </c>
      <c r="E1192" t="b">
        <v>0</v>
      </c>
      <c r="F1192">
        <v>34</v>
      </c>
      <c r="G1192">
        <v>90</v>
      </c>
      <c r="H1192" t="s">
        <v>11</v>
      </c>
      <c r="I1192" t="b">
        <v>0</v>
      </c>
      <c r="J1192" cm="1">
        <f t="array" ref="J1192">sentimentCalc(B1192)</f>
        <v>1</v>
      </c>
      <c r="K1192" t="str" cm="1">
        <f t="array" ref="K1192">sentimentCategory(J1192)</f>
        <v>Positive</v>
      </c>
    </row>
    <row r="1193" spans="1:11" ht="17" x14ac:dyDescent="0.2">
      <c r="A1193" t="s">
        <v>4570</v>
      </c>
      <c r="B1193" s="1" t="s">
        <v>4571</v>
      </c>
      <c r="C1193" t="s">
        <v>6</v>
      </c>
      <c r="D1193" s="1" t="s">
        <v>2</v>
      </c>
      <c r="E1193" t="b">
        <v>0</v>
      </c>
      <c r="F1193">
        <v>520</v>
      </c>
      <c r="G1193">
        <v>1752</v>
      </c>
      <c r="H1193" t="s">
        <v>11</v>
      </c>
      <c r="I1193" t="b">
        <v>0</v>
      </c>
      <c r="J1193" cm="1">
        <f t="array" ref="J1193">sentimentCalc(B1193)</f>
        <v>0</v>
      </c>
      <c r="K1193" t="str" cm="1">
        <f t="array" ref="K1193">sentimentCategory(J1193)</f>
        <v>Neutral</v>
      </c>
    </row>
    <row r="1194" spans="1:11" ht="17" x14ac:dyDescent="0.2">
      <c r="A1194" t="s">
        <v>6565</v>
      </c>
      <c r="B1194" s="1" t="s">
        <v>6566</v>
      </c>
      <c r="C1194" t="s">
        <v>2116</v>
      </c>
      <c r="D1194" s="1" t="s">
        <v>6567</v>
      </c>
      <c r="E1194" t="b">
        <v>0</v>
      </c>
      <c r="F1194">
        <v>120</v>
      </c>
      <c r="G1194">
        <v>778</v>
      </c>
      <c r="H1194" t="s">
        <v>11</v>
      </c>
      <c r="I1194" t="b">
        <v>0</v>
      </c>
      <c r="J1194" cm="1">
        <f t="array" ref="J1194">sentimentCalc(B1194)</f>
        <v>1</v>
      </c>
      <c r="K1194" t="str" cm="1">
        <f t="array" ref="K1194">sentimentCategory(J1194)</f>
        <v>Positive</v>
      </c>
    </row>
    <row r="1195" spans="1:11" ht="17" x14ac:dyDescent="0.2">
      <c r="A1195" t="s">
        <v>4572</v>
      </c>
      <c r="B1195" s="1" t="s">
        <v>4575</v>
      </c>
      <c r="C1195" t="s">
        <v>1873</v>
      </c>
      <c r="D1195" s="1" t="s">
        <v>2</v>
      </c>
      <c r="E1195" t="b">
        <v>0</v>
      </c>
      <c r="F1195">
        <v>159</v>
      </c>
      <c r="G1195">
        <v>193</v>
      </c>
      <c r="H1195" t="s">
        <v>11</v>
      </c>
      <c r="I1195" t="b">
        <v>0</v>
      </c>
      <c r="J1195" cm="1">
        <f t="array" ref="J1195">sentimentCalc(B1195)</f>
        <v>1</v>
      </c>
      <c r="K1195" t="str" cm="1">
        <f t="array" ref="K1195">sentimentCategory(J1195)</f>
        <v>Positive</v>
      </c>
    </row>
    <row r="1196" spans="1:11" ht="34" x14ac:dyDescent="0.2">
      <c r="A1196" t="s">
        <v>3112</v>
      </c>
      <c r="B1196" s="1" t="s">
        <v>3113</v>
      </c>
      <c r="C1196" t="s">
        <v>522</v>
      </c>
      <c r="D1196" s="1" t="s">
        <v>3114</v>
      </c>
      <c r="E1196" t="b">
        <v>0</v>
      </c>
      <c r="F1196">
        <v>632</v>
      </c>
      <c r="G1196">
        <v>419</v>
      </c>
      <c r="H1196" t="s">
        <v>11</v>
      </c>
      <c r="I1196" t="b">
        <v>0</v>
      </c>
      <c r="J1196" cm="1">
        <f t="array" ref="J1196">sentimentCalc(B1196)</f>
        <v>1</v>
      </c>
      <c r="K1196" t="str" cm="1">
        <f t="array" ref="K1196">sentimentCategory(J1196)</f>
        <v>Positive</v>
      </c>
    </row>
    <row r="1197" spans="1:11" ht="34" x14ac:dyDescent="0.2">
      <c r="A1197" t="s">
        <v>2747</v>
      </c>
      <c r="B1197" s="1" t="s">
        <v>2748</v>
      </c>
      <c r="C1197" t="s">
        <v>2749</v>
      </c>
      <c r="D1197" s="1" t="s">
        <v>829</v>
      </c>
      <c r="E1197" t="b">
        <v>0</v>
      </c>
      <c r="F1197">
        <v>585</v>
      </c>
      <c r="G1197">
        <v>439</v>
      </c>
      <c r="H1197" t="s">
        <v>11</v>
      </c>
      <c r="I1197" t="b">
        <v>0</v>
      </c>
      <c r="J1197" cm="1">
        <f t="array" ref="J1197">sentimentCalc(B1197)</f>
        <v>0</v>
      </c>
      <c r="K1197" t="str" cm="1">
        <f t="array" ref="K1197">sentimentCategory(J1197)</f>
        <v>Neutral</v>
      </c>
    </row>
    <row r="1198" spans="1:11" ht="17" x14ac:dyDescent="0.2">
      <c r="A1198" t="s">
        <v>7001</v>
      </c>
      <c r="B1198" s="1" t="s">
        <v>7002</v>
      </c>
      <c r="C1198" t="s">
        <v>3059</v>
      </c>
      <c r="D1198" s="1" t="s">
        <v>7003</v>
      </c>
      <c r="E1198" t="b">
        <v>0</v>
      </c>
      <c r="F1198">
        <v>102</v>
      </c>
      <c r="G1198">
        <v>418</v>
      </c>
      <c r="H1198" t="s">
        <v>11</v>
      </c>
      <c r="I1198" t="b">
        <v>0</v>
      </c>
      <c r="J1198" cm="1">
        <f t="array" ref="J1198">sentimentCalc(B1198)</f>
        <v>0</v>
      </c>
      <c r="K1198" t="str" cm="1">
        <f t="array" ref="K1198">sentimentCategory(J1198)</f>
        <v>Neutral</v>
      </c>
    </row>
    <row r="1199" spans="1:11" ht="34" x14ac:dyDescent="0.2">
      <c r="A1199" t="s">
        <v>6704</v>
      </c>
      <c r="B1199" s="1" t="s">
        <v>6705</v>
      </c>
      <c r="C1199" t="s">
        <v>1162</v>
      </c>
      <c r="D1199" s="1" t="s">
        <v>2</v>
      </c>
      <c r="E1199" t="b">
        <v>0</v>
      </c>
      <c r="F1199">
        <v>91</v>
      </c>
      <c r="G1199">
        <v>334</v>
      </c>
      <c r="H1199" t="s">
        <v>11</v>
      </c>
      <c r="I1199" t="b">
        <v>0</v>
      </c>
      <c r="J1199" cm="1">
        <f t="array" ref="J1199">sentimentCalc(B1199)</f>
        <v>0</v>
      </c>
      <c r="K1199" t="str" cm="1">
        <f t="array" ref="K1199">sentimentCategory(J1199)</f>
        <v>Neutral</v>
      </c>
    </row>
    <row r="1200" spans="1:11" ht="17" x14ac:dyDescent="0.2">
      <c r="A1200" t="s">
        <v>6057</v>
      </c>
      <c r="B1200" s="1" t="s">
        <v>6058</v>
      </c>
      <c r="C1200" t="s">
        <v>6059</v>
      </c>
      <c r="D1200" s="1" t="s">
        <v>2</v>
      </c>
      <c r="E1200" t="b">
        <v>0</v>
      </c>
      <c r="F1200">
        <v>145</v>
      </c>
      <c r="G1200">
        <v>230</v>
      </c>
      <c r="H1200" t="s">
        <v>83</v>
      </c>
      <c r="I1200" t="b">
        <v>0</v>
      </c>
      <c r="J1200" cm="1">
        <f t="array" ref="J1200">sentimentCalc(B1200)</f>
        <v>0</v>
      </c>
      <c r="K1200" t="str" cm="1">
        <f t="array" ref="K1200">sentimentCategory(J1200)</f>
        <v>Neutral</v>
      </c>
    </row>
    <row r="1201" spans="1:11" ht="34" x14ac:dyDescent="0.2">
      <c r="A1201" t="s">
        <v>6173</v>
      </c>
      <c r="B1201" s="1" t="s">
        <v>6174</v>
      </c>
      <c r="C1201" t="s">
        <v>6175</v>
      </c>
      <c r="D1201" s="1" t="s">
        <v>6176</v>
      </c>
      <c r="E1201" t="b">
        <v>0</v>
      </c>
      <c r="F1201">
        <v>1404</v>
      </c>
      <c r="G1201">
        <v>498</v>
      </c>
      <c r="H1201" t="s">
        <v>11</v>
      </c>
      <c r="I1201" t="b">
        <v>0</v>
      </c>
      <c r="J1201" cm="1">
        <f t="array" ref="J1201">sentimentCalc(B1201)</f>
        <v>0</v>
      </c>
      <c r="K1201" t="str" cm="1">
        <f t="array" ref="K1201">sentimentCategory(J1201)</f>
        <v>Neutral</v>
      </c>
    </row>
    <row r="1202" spans="1:11" ht="34" x14ac:dyDescent="0.2">
      <c r="A1202" t="s">
        <v>4801</v>
      </c>
      <c r="B1202" s="1" t="s">
        <v>4802</v>
      </c>
      <c r="C1202" t="s">
        <v>222</v>
      </c>
      <c r="D1202" s="1" t="s">
        <v>223</v>
      </c>
      <c r="E1202" t="b">
        <v>0</v>
      </c>
      <c r="F1202">
        <v>9228</v>
      </c>
      <c r="G1202">
        <v>7170</v>
      </c>
      <c r="H1202" t="s">
        <v>11</v>
      </c>
      <c r="I1202" t="b">
        <v>0</v>
      </c>
      <c r="J1202" cm="1">
        <f t="array" ref="J1202">sentimentCalc(B1202)</f>
        <v>0</v>
      </c>
      <c r="K1202" t="str" cm="1">
        <f t="array" ref="K1202">sentimentCategory(J1202)</f>
        <v>Neutral</v>
      </c>
    </row>
    <row r="1203" spans="1:11" ht="34" x14ac:dyDescent="0.2">
      <c r="A1203" t="s">
        <v>3370</v>
      </c>
      <c r="B1203" s="1" t="s">
        <v>3371</v>
      </c>
      <c r="C1203" t="s">
        <v>2828</v>
      </c>
      <c r="D1203" s="1" t="s">
        <v>19</v>
      </c>
      <c r="E1203" t="b">
        <v>0</v>
      </c>
      <c r="F1203">
        <v>215</v>
      </c>
      <c r="G1203">
        <v>137</v>
      </c>
      <c r="H1203" t="s">
        <v>11</v>
      </c>
      <c r="I1203" t="b">
        <v>0</v>
      </c>
      <c r="J1203" cm="1">
        <f t="array" ref="J1203">sentimentCalc(B1203)</f>
        <v>-1</v>
      </c>
      <c r="K1203" t="str" cm="1">
        <f t="array" ref="K1203">sentimentCategory(J1203)</f>
        <v>Negative</v>
      </c>
    </row>
    <row r="1204" spans="1:11" ht="17" x14ac:dyDescent="0.2">
      <c r="A1204" t="s">
        <v>5432</v>
      </c>
      <c r="B1204" s="1" t="s">
        <v>5433</v>
      </c>
      <c r="C1204" t="s">
        <v>5434</v>
      </c>
      <c r="D1204" s="1" t="s">
        <v>2</v>
      </c>
      <c r="E1204" t="b">
        <v>0</v>
      </c>
      <c r="F1204">
        <v>147</v>
      </c>
      <c r="G1204">
        <v>231</v>
      </c>
      <c r="H1204" t="s">
        <v>11</v>
      </c>
      <c r="I1204" t="b">
        <v>0</v>
      </c>
      <c r="J1204" cm="1">
        <f t="array" ref="J1204">sentimentCalc(B1204)</f>
        <v>0</v>
      </c>
      <c r="K1204" t="str" cm="1">
        <f t="array" ref="K1204">sentimentCategory(J1204)</f>
        <v>Neutral</v>
      </c>
    </row>
    <row r="1205" spans="1:11" ht="34" x14ac:dyDescent="0.2">
      <c r="A1205" t="s">
        <v>3704</v>
      </c>
      <c r="B1205" s="1" t="s">
        <v>3705</v>
      </c>
      <c r="C1205" t="s">
        <v>3706</v>
      </c>
      <c r="D1205" s="1" t="s">
        <v>2</v>
      </c>
      <c r="E1205" t="b">
        <v>0</v>
      </c>
      <c r="F1205">
        <v>62</v>
      </c>
      <c r="G1205">
        <v>332</v>
      </c>
      <c r="H1205" t="s">
        <v>11</v>
      </c>
      <c r="I1205" t="b">
        <v>0</v>
      </c>
      <c r="J1205" cm="1">
        <f t="array" ref="J1205">sentimentCalc(B1205)</f>
        <v>0</v>
      </c>
      <c r="K1205" t="str" cm="1">
        <f t="array" ref="K1205">sentimentCategory(J1205)</f>
        <v>Neutral</v>
      </c>
    </row>
    <row r="1206" spans="1:11" ht="17" x14ac:dyDescent="0.2">
      <c r="A1206" t="s">
        <v>224</v>
      </c>
      <c r="B1206" s="1" t="s">
        <v>225</v>
      </c>
      <c r="C1206" t="s">
        <v>226</v>
      </c>
      <c r="D1206" s="1" t="s">
        <v>227</v>
      </c>
      <c r="E1206" t="b">
        <v>0</v>
      </c>
      <c r="F1206">
        <v>3601</v>
      </c>
      <c r="G1206">
        <v>4869</v>
      </c>
      <c r="H1206" t="s">
        <v>11</v>
      </c>
      <c r="I1206" t="b">
        <v>0</v>
      </c>
      <c r="J1206" cm="1">
        <f t="array" ref="J1206">sentimentCalc(B1206)</f>
        <v>0</v>
      </c>
      <c r="K1206" t="str" cm="1">
        <f t="array" ref="K1206">sentimentCategory(J1206)</f>
        <v>Neutral</v>
      </c>
    </row>
    <row r="1207" spans="1:11" ht="17" x14ac:dyDescent="0.2">
      <c r="A1207" t="s">
        <v>5145</v>
      </c>
      <c r="B1207" s="1" t="s">
        <v>5146</v>
      </c>
      <c r="C1207" t="s">
        <v>2628</v>
      </c>
      <c r="D1207" s="1" t="s">
        <v>928</v>
      </c>
      <c r="E1207" t="b">
        <v>0</v>
      </c>
      <c r="F1207">
        <v>486</v>
      </c>
      <c r="G1207">
        <v>358</v>
      </c>
      <c r="H1207" t="s">
        <v>11</v>
      </c>
      <c r="I1207" t="b">
        <v>0</v>
      </c>
      <c r="J1207" cm="1">
        <f t="array" ref="J1207">sentimentCalc(B1207)</f>
        <v>0</v>
      </c>
      <c r="K1207" t="str" cm="1">
        <f t="array" ref="K1207">sentimentCategory(J1207)</f>
        <v>Neutral</v>
      </c>
    </row>
    <row r="1208" spans="1:11" ht="17" x14ac:dyDescent="0.2">
      <c r="A1208" t="s">
        <v>5380</v>
      </c>
      <c r="B1208" s="1" t="s">
        <v>5381</v>
      </c>
      <c r="C1208" t="s">
        <v>782</v>
      </c>
      <c r="D1208" s="1" t="s">
        <v>928</v>
      </c>
      <c r="E1208" t="b">
        <v>0</v>
      </c>
      <c r="F1208">
        <v>167</v>
      </c>
      <c r="G1208">
        <v>62</v>
      </c>
      <c r="H1208" t="s">
        <v>11</v>
      </c>
      <c r="I1208" t="b">
        <v>0</v>
      </c>
      <c r="J1208" cm="1">
        <f t="array" ref="J1208">sentimentCalc(B1208)</f>
        <v>0</v>
      </c>
      <c r="K1208" t="str" cm="1">
        <f t="array" ref="K1208">sentimentCategory(J1208)</f>
        <v>Neutral</v>
      </c>
    </row>
    <row r="1209" spans="1:11" ht="17" x14ac:dyDescent="0.2">
      <c r="A1209" t="s">
        <v>886</v>
      </c>
      <c r="B1209" s="1" t="s">
        <v>887</v>
      </c>
      <c r="C1209" t="s">
        <v>888</v>
      </c>
      <c r="D1209" s="1" t="s">
        <v>2</v>
      </c>
      <c r="E1209" t="b">
        <v>0</v>
      </c>
      <c r="F1209">
        <v>5</v>
      </c>
      <c r="G1209">
        <v>21</v>
      </c>
      <c r="H1209" t="s">
        <v>31</v>
      </c>
      <c r="I1209" t="b">
        <v>0</v>
      </c>
      <c r="J1209" cm="1">
        <f t="array" ref="J1209">sentimentCalc(B1209)</f>
        <v>0</v>
      </c>
      <c r="K1209" t="str" cm="1">
        <f t="array" ref="K1209">sentimentCategory(J1209)</f>
        <v>Neutral</v>
      </c>
    </row>
    <row r="1210" spans="1:11" ht="17" x14ac:dyDescent="0.2">
      <c r="A1210" t="s">
        <v>2998</v>
      </c>
      <c r="B1210" s="1" t="s">
        <v>2999</v>
      </c>
      <c r="C1210" t="s">
        <v>2425</v>
      </c>
      <c r="D1210" s="1" t="s">
        <v>3000</v>
      </c>
      <c r="E1210" t="b">
        <v>0</v>
      </c>
      <c r="F1210">
        <v>5366</v>
      </c>
      <c r="G1210">
        <v>1650</v>
      </c>
      <c r="H1210" t="s">
        <v>11</v>
      </c>
      <c r="I1210" t="b">
        <v>0</v>
      </c>
      <c r="J1210" cm="1">
        <f t="array" ref="J1210">sentimentCalc(B1210)</f>
        <v>1</v>
      </c>
      <c r="K1210" t="str" cm="1">
        <f t="array" ref="K1210">sentimentCategory(J1210)</f>
        <v>Positive</v>
      </c>
    </row>
    <row r="1211" spans="1:11" ht="17" x14ac:dyDescent="0.2">
      <c r="A1211" t="s">
        <v>2110</v>
      </c>
      <c r="B1211" s="1" t="s">
        <v>2111</v>
      </c>
      <c r="C1211" t="s">
        <v>2112</v>
      </c>
      <c r="D1211" s="1" t="s">
        <v>2113</v>
      </c>
      <c r="E1211" t="b">
        <v>0</v>
      </c>
      <c r="F1211">
        <v>728</v>
      </c>
      <c r="G1211">
        <v>448</v>
      </c>
      <c r="H1211" t="s">
        <v>11</v>
      </c>
      <c r="I1211" t="b">
        <v>0</v>
      </c>
      <c r="J1211" cm="1">
        <f t="array" ref="J1211">sentimentCalc(B1211)</f>
        <v>0</v>
      </c>
      <c r="K1211" t="str" cm="1">
        <f t="array" ref="K1211">sentimentCategory(J1211)</f>
        <v>Neutral</v>
      </c>
    </row>
    <row r="1212" spans="1:11" ht="17" x14ac:dyDescent="0.2">
      <c r="A1212" t="s">
        <v>2400</v>
      </c>
      <c r="B1212" s="1" t="s">
        <v>2401</v>
      </c>
      <c r="C1212" t="s">
        <v>2402</v>
      </c>
      <c r="D1212" s="1" t="s">
        <v>2</v>
      </c>
      <c r="E1212" t="b">
        <v>0</v>
      </c>
      <c r="F1212">
        <v>31</v>
      </c>
      <c r="G1212">
        <v>113</v>
      </c>
      <c r="H1212" t="s">
        <v>11</v>
      </c>
      <c r="I1212" t="b">
        <v>0</v>
      </c>
      <c r="J1212" cm="1">
        <f t="array" ref="J1212">sentimentCalc(B1212)</f>
        <v>0</v>
      </c>
      <c r="K1212" t="str" cm="1">
        <f t="array" ref="K1212">sentimentCategory(J1212)</f>
        <v>Neutral</v>
      </c>
    </row>
    <row r="1213" spans="1:11" ht="34" x14ac:dyDescent="0.2">
      <c r="A1213" t="s">
        <v>2171</v>
      </c>
      <c r="B1213" s="1" t="s">
        <v>2172</v>
      </c>
      <c r="C1213" t="s">
        <v>2173</v>
      </c>
      <c r="D1213" s="1" t="s">
        <v>2</v>
      </c>
      <c r="E1213" t="b">
        <v>0</v>
      </c>
      <c r="F1213">
        <v>2</v>
      </c>
      <c r="G1213">
        <v>27</v>
      </c>
      <c r="H1213" t="s">
        <v>11</v>
      </c>
      <c r="I1213" t="b">
        <v>0</v>
      </c>
      <c r="J1213" cm="1">
        <f t="array" ref="J1213">sentimentCalc(B1213)</f>
        <v>0</v>
      </c>
      <c r="K1213" t="str" cm="1">
        <f t="array" ref="K1213">sentimentCategory(J1213)</f>
        <v>Neutral</v>
      </c>
    </row>
    <row r="1214" spans="1:11" ht="34" x14ac:dyDescent="0.2">
      <c r="A1214" t="s">
        <v>2079</v>
      </c>
      <c r="B1214" s="1" t="s">
        <v>2080</v>
      </c>
      <c r="C1214" t="s">
        <v>2081</v>
      </c>
      <c r="D1214" s="1" t="s">
        <v>2</v>
      </c>
      <c r="E1214" t="b">
        <v>0</v>
      </c>
      <c r="F1214">
        <v>13</v>
      </c>
      <c r="G1214">
        <v>26</v>
      </c>
      <c r="H1214" t="s">
        <v>11</v>
      </c>
      <c r="I1214" t="b">
        <v>0</v>
      </c>
      <c r="J1214" cm="1">
        <f t="array" ref="J1214">sentimentCalc(B1214)</f>
        <v>0</v>
      </c>
      <c r="K1214" t="str" cm="1">
        <f t="array" ref="K1214">sentimentCategory(J1214)</f>
        <v>Neutral</v>
      </c>
    </row>
    <row r="1215" spans="1:11" ht="34" x14ac:dyDescent="0.2">
      <c r="A1215" t="s">
        <v>149</v>
      </c>
      <c r="B1215" s="1" t="s">
        <v>150</v>
      </c>
      <c r="C1215" t="s">
        <v>151</v>
      </c>
      <c r="D1215" s="1" t="s">
        <v>152</v>
      </c>
      <c r="E1215" t="b">
        <v>0</v>
      </c>
      <c r="F1215">
        <v>2748</v>
      </c>
      <c r="G1215">
        <v>1544</v>
      </c>
      <c r="H1215" t="s">
        <v>11</v>
      </c>
      <c r="I1215" t="b">
        <v>0</v>
      </c>
      <c r="J1215" cm="1">
        <f t="array" ref="J1215">sentimentCalc(B1215)</f>
        <v>0</v>
      </c>
      <c r="K1215" t="str" cm="1">
        <f t="array" ref="K1215">sentimentCategory(J1215)</f>
        <v>Neutral</v>
      </c>
    </row>
    <row r="1216" spans="1:11" ht="17" x14ac:dyDescent="0.2">
      <c r="A1216" t="s">
        <v>1670</v>
      </c>
      <c r="B1216" s="1" t="s">
        <v>1671</v>
      </c>
      <c r="C1216" t="s">
        <v>1672</v>
      </c>
      <c r="D1216" s="1" t="s">
        <v>2</v>
      </c>
      <c r="E1216" t="b">
        <v>0</v>
      </c>
      <c r="F1216">
        <v>10</v>
      </c>
      <c r="G1216">
        <v>110</v>
      </c>
      <c r="H1216" t="s">
        <v>11</v>
      </c>
      <c r="I1216" t="b">
        <v>0</v>
      </c>
      <c r="J1216" cm="1">
        <f t="array" ref="J1216">sentimentCalc(B1216)</f>
        <v>0</v>
      </c>
      <c r="K1216" t="str" cm="1">
        <f t="array" ref="K1216">sentimentCategory(J1216)</f>
        <v>Neutral</v>
      </c>
    </row>
    <row r="1217" spans="1:11" ht="17" x14ac:dyDescent="0.2">
      <c r="A1217" t="s">
        <v>3950</v>
      </c>
      <c r="B1217" s="1" t="s">
        <v>3951</v>
      </c>
      <c r="C1217" t="s">
        <v>461</v>
      </c>
      <c r="D1217" s="1" t="s">
        <v>2</v>
      </c>
      <c r="E1217" t="b">
        <v>0</v>
      </c>
      <c r="F1217">
        <v>27</v>
      </c>
      <c r="G1217">
        <v>162</v>
      </c>
      <c r="H1217" t="s">
        <v>11</v>
      </c>
      <c r="I1217" t="b">
        <v>0</v>
      </c>
      <c r="J1217" cm="1">
        <f t="array" ref="J1217">sentimentCalc(B1217)</f>
        <v>0</v>
      </c>
      <c r="K1217" t="str" cm="1">
        <f t="array" ref="K1217">sentimentCategory(J1217)</f>
        <v>Neutral</v>
      </c>
    </row>
    <row r="1218" spans="1:11" ht="17" x14ac:dyDescent="0.2">
      <c r="A1218" t="s">
        <v>5797</v>
      </c>
      <c r="B1218" s="1" t="s">
        <v>5798</v>
      </c>
      <c r="C1218" t="s">
        <v>992</v>
      </c>
      <c r="D1218" s="1" t="s">
        <v>2</v>
      </c>
      <c r="E1218" t="b">
        <v>0</v>
      </c>
      <c r="F1218">
        <v>355</v>
      </c>
      <c r="G1218">
        <v>880</v>
      </c>
      <c r="H1218" t="s">
        <v>11</v>
      </c>
      <c r="I1218" t="b">
        <v>0</v>
      </c>
      <c r="J1218" cm="1">
        <f t="array" ref="J1218">sentimentCalc(B1218)</f>
        <v>0</v>
      </c>
      <c r="K1218" t="str" cm="1">
        <f t="array" ref="K1218">sentimentCategory(J1218)</f>
        <v>Neutral</v>
      </c>
    </row>
    <row r="1219" spans="1:11" ht="17" x14ac:dyDescent="0.2">
      <c r="A1219" t="s">
        <v>4185</v>
      </c>
      <c r="B1219" s="1" t="s">
        <v>4186</v>
      </c>
      <c r="C1219" t="s">
        <v>2607</v>
      </c>
      <c r="D1219" s="1" t="s">
        <v>2</v>
      </c>
      <c r="E1219" t="b">
        <v>0</v>
      </c>
      <c r="F1219">
        <v>9717</v>
      </c>
      <c r="G1219">
        <v>45</v>
      </c>
      <c r="H1219" t="s">
        <v>11</v>
      </c>
      <c r="I1219" t="b">
        <v>0</v>
      </c>
      <c r="J1219" cm="1">
        <f t="array" ref="J1219">sentimentCalc(B1219)</f>
        <v>0</v>
      </c>
      <c r="K1219" t="str" cm="1">
        <f t="array" ref="K1219">sentimentCategory(J1219)</f>
        <v>Neutral</v>
      </c>
    </row>
    <row r="1220" spans="1:11" ht="34" x14ac:dyDescent="0.2">
      <c r="A1220" t="s">
        <v>2901</v>
      </c>
      <c r="B1220" s="1" t="s">
        <v>2902</v>
      </c>
      <c r="C1220" t="s">
        <v>1091</v>
      </c>
      <c r="D1220" s="1" t="s">
        <v>2903</v>
      </c>
      <c r="E1220" t="b">
        <v>0</v>
      </c>
      <c r="F1220">
        <v>1195</v>
      </c>
      <c r="G1220">
        <v>468</v>
      </c>
      <c r="H1220" t="s">
        <v>11</v>
      </c>
      <c r="I1220" t="b">
        <v>0</v>
      </c>
      <c r="J1220" cm="1">
        <f t="array" ref="J1220">sentimentCalc(B1220)</f>
        <v>1</v>
      </c>
      <c r="K1220" t="str" cm="1">
        <f t="array" ref="K1220">sentimentCategory(J1220)</f>
        <v>Positive</v>
      </c>
    </row>
    <row r="1221" spans="1:11" ht="17" x14ac:dyDescent="0.2">
      <c r="A1221" t="s">
        <v>2610</v>
      </c>
      <c r="B1221" s="1" t="s">
        <v>2611</v>
      </c>
      <c r="C1221" t="s">
        <v>2612</v>
      </c>
      <c r="D1221" s="1" t="s">
        <v>2</v>
      </c>
      <c r="E1221" t="b">
        <v>0</v>
      </c>
      <c r="F1221">
        <v>625</v>
      </c>
      <c r="G1221">
        <v>478</v>
      </c>
      <c r="H1221" t="s">
        <v>11</v>
      </c>
      <c r="I1221" t="b">
        <v>0</v>
      </c>
      <c r="J1221" cm="1">
        <f t="array" ref="J1221">sentimentCalc(B1221)</f>
        <v>1</v>
      </c>
      <c r="K1221" t="str" cm="1">
        <f t="array" ref="K1221">sentimentCategory(J1221)</f>
        <v>Positive</v>
      </c>
    </row>
    <row r="1222" spans="1:11" ht="17" x14ac:dyDescent="0.2">
      <c r="A1222" t="s">
        <v>1773</v>
      </c>
      <c r="B1222" s="1" t="s">
        <v>1774</v>
      </c>
      <c r="C1222" t="s">
        <v>675</v>
      </c>
      <c r="D1222" s="1" t="s">
        <v>1775</v>
      </c>
      <c r="E1222" t="b">
        <v>0</v>
      </c>
      <c r="F1222">
        <v>102</v>
      </c>
      <c r="G1222">
        <v>144</v>
      </c>
      <c r="H1222" t="s">
        <v>11</v>
      </c>
      <c r="I1222" t="b">
        <v>0</v>
      </c>
      <c r="J1222" cm="1">
        <f t="array" ref="J1222">sentimentCalc(B1222)</f>
        <v>-2</v>
      </c>
      <c r="K1222" t="str" cm="1">
        <f t="array" ref="K1222">sentimentCategory(J1222)</f>
        <v>Negative</v>
      </c>
    </row>
    <row r="1223" spans="1:11" ht="17" x14ac:dyDescent="0.2">
      <c r="A1223" t="s">
        <v>1084</v>
      </c>
      <c r="B1223" s="1" t="s">
        <v>1085</v>
      </c>
      <c r="C1223" t="s">
        <v>1086</v>
      </c>
      <c r="D1223" s="1" t="s">
        <v>1087</v>
      </c>
      <c r="E1223" t="b">
        <v>0</v>
      </c>
      <c r="F1223">
        <v>15</v>
      </c>
      <c r="G1223">
        <v>2</v>
      </c>
      <c r="H1223" t="s">
        <v>1088</v>
      </c>
      <c r="I1223" t="b">
        <v>0</v>
      </c>
      <c r="J1223" cm="1">
        <f t="array" ref="J1223">sentimentCalc(B1223)</f>
        <v>0</v>
      </c>
      <c r="K1223" t="str" cm="1">
        <f t="array" ref="K1223">sentimentCategory(J1223)</f>
        <v>Neutral</v>
      </c>
    </row>
    <row r="1224" spans="1:11" ht="17" x14ac:dyDescent="0.2">
      <c r="A1224" t="s">
        <v>1152</v>
      </c>
      <c r="B1224" s="1" t="s">
        <v>1153</v>
      </c>
      <c r="C1224" t="s">
        <v>1154</v>
      </c>
      <c r="D1224" s="1" t="s">
        <v>1155</v>
      </c>
      <c r="E1224" t="b">
        <v>0</v>
      </c>
      <c r="F1224">
        <v>139</v>
      </c>
      <c r="G1224">
        <v>306</v>
      </c>
      <c r="H1224" t="s">
        <v>11</v>
      </c>
      <c r="I1224" t="b">
        <v>0</v>
      </c>
      <c r="J1224" cm="1">
        <f t="array" ref="J1224">sentimentCalc(B1224)</f>
        <v>1</v>
      </c>
      <c r="K1224" t="str" cm="1">
        <f t="array" ref="K1224">sentimentCategory(J1224)</f>
        <v>Positive</v>
      </c>
    </row>
    <row r="1225" spans="1:11" ht="34" x14ac:dyDescent="0.2">
      <c r="A1225" t="s">
        <v>3070</v>
      </c>
      <c r="B1225" s="1" t="s">
        <v>3071</v>
      </c>
      <c r="C1225" t="s">
        <v>3072</v>
      </c>
      <c r="D1225" s="1" t="s">
        <v>506</v>
      </c>
      <c r="E1225" t="b">
        <v>0</v>
      </c>
      <c r="F1225">
        <v>7</v>
      </c>
      <c r="G1225">
        <v>35</v>
      </c>
      <c r="H1225" t="s">
        <v>11</v>
      </c>
      <c r="I1225" t="b">
        <v>0</v>
      </c>
      <c r="J1225" cm="1">
        <f t="array" ref="J1225">sentimentCalc(B1225)</f>
        <v>-3</v>
      </c>
      <c r="K1225" t="str" cm="1">
        <f t="array" ref="K1225">sentimentCategory(J1225)</f>
        <v>Negative</v>
      </c>
    </row>
    <row r="1226" spans="1:11" ht="34" x14ac:dyDescent="0.2">
      <c r="A1226" t="s">
        <v>2340</v>
      </c>
      <c r="B1226" s="1" t="s">
        <v>2341</v>
      </c>
      <c r="C1226" t="s">
        <v>2342</v>
      </c>
      <c r="D1226" s="1" t="s">
        <v>2343</v>
      </c>
      <c r="E1226" t="b">
        <v>0</v>
      </c>
      <c r="F1226">
        <v>48</v>
      </c>
      <c r="G1226">
        <v>108</v>
      </c>
      <c r="H1226" t="s">
        <v>11</v>
      </c>
      <c r="I1226" t="b">
        <v>0</v>
      </c>
      <c r="J1226" cm="1">
        <f t="array" ref="J1226">sentimentCalc(B1226)</f>
        <v>0</v>
      </c>
      <c r="K1226" t="str" cm="1">
        <f t="array" ref="K1226">sentimentCategory(J1226)</f>
        <v>Neutral</v>
      </c>
    </row>
    <row r="1227" spans="1:11" ht="17" x14ac:dyDescent="0.2">
      <c r="A1227" t="s">
        <v>2441</v>
      </c>
      <c r="B1227" s="1" t="s">
        <v>2442</v>
      </c>
      <c r="C1227" t="s">
        <v>2443</v>
      </c>
      <c r="D1227" s="1" t="s">
        <v>2</v>
      </c>
      <c r="E1227" t="b">
        <v>0</v>
      </c>
      <c r="F1227">
        <v>2</v>
      </c>
      <c r="G1227">
        <v>21</v>
      </c>
      <c r="H1227" t="s">
        <v>11</v>
      </c>
      <c r="I1227" t="b">
        <v>0</v>
      </c>
      <c r="J1227" cm="1">
        <f t="array" ref="J1227">sentimentCalc(B1227)</f>
        <v>1</v>
      </c>
      <c r="K1227" t="str" cm="1">
        <f t="array" ref="K1227">sentimentCategory(J1227)</f>
        <v>Positive</v>
      </c>
    </row>
    <row r="1228" spans="1:11" ht="34" x14ac:dyDescent="0.2">
      <c r="A1228" t="s">
        <v>2302</v>
      </c>
      <c r="B1228" s="1" t="s">
        <v>2303</v>
      </c>
      <c r="C1228" t="s">
        <v>587</v>
      </c>
      <c r="D1228" s="1" t="s">
        <v>2</v>
      </c>
      <c r="E1228" t="b">
        <v>0</v>
      </c>
      <c r="F1228">
        <v>4610</v>
      </c>
      <c r="G1228">
        <v>449</v>
      </c>
      <c r="H1228" t="s">
        <v>11</v>
      </c>
      <c r="I1228" t="b">
        <v>0</v>
      </c>
      <c r="J1228" cm="1">
        <f t="array" ref="J1228">sentimentCalc(B1228)</f>
        <v>0</v>
      </c>
      <c r="K1228" t="str" cm="1">
        <f t="array" ref="K1228">sentimentCategory(J1228)</f>
        <v>Neutral</v>
      </c>
    </row>
    <row r="1229" spans="1:11" ht="17" x14ac:dyDescent="0.2">
      <c r="A1229" t="s">
        <v>317</v>
      </c>
      <c r="B1229" s="1" t="s">
        <v>318</v>
      </c>
      <c r="C1229" t="s">
        <v>319</v>
      </c>
      <c r="D1229" s="1" t="s">
        <v>2</v>
      </c>
      <c r="E1229" t="b">
        <v>0</v>
      </c>
      <c r="F1229">
        <v>18</v>
      </c>
      <c r="G1229">
        <v>74</v>
      </c>
      <c r="H1229" t="s">
        <v>11</v>
      </c>
      <c r="I1229" t="b">
        <v>0</v>
      </c>
      <c r="J1229" cm="1">
        <f t="array" ref="J1229">sentimentCalc(B1229)</f>
        <v>0</v>
      </c>
      <c r="K1229" t="str" cm="1">
        <f t="array" ref="K1229">sentimentCategory(J1229)</f>
        <v>Neutral</v>
      </c>
    </row>
    <row r="1230" spans="1:11" ht="34" x14ac:dyDescent="0.2">
      <c r="A1230" t="s">
        <v>5662</v>
      </c>
      <c r="B1230" s="1" t="s">
        <v>5663</v>
      </c>
      <c r="C1230" t="s">
        <v>679</v>
      </c>
      <c r="D1230" s="1" t="s">
        <v>4139</v>
      </c>
      <c r="E1230" t="b">
        <v>0</v>
      </c>
      <c r="F1230">
        <v>354</v>
      </c>
      <c r="G1230">
        <v>291</v>
      </c>
      <c r="H1230" t="s">
        <v>11</v>
      </c>
      <c r="I1230" t="b">
        <v>0</v>
      </c>
      <c r="J1230" cm="1">
        <f t="array" ref="J1230">sentimentCalc(B1230)</f>
        <v>1</v>
      </c>
      <c r="K1230" t="str" cm="1">
        <f t="array" ref="K1230">sentimentCategory(J1230)</f>
        <v>Positive</v>
      </c>
    </row>
    <row r="1231" spans="1:11" ht="17" x14ac:dyDescent="0.2">
      <c r="A1231" t="s">
        <v>5111</v>
      </c>
      <c r="B1231" s="1" t="s">
        <v>5112</v>
      </c>
      <c r="C1231" t="s">
        <v>726</v>
      </c>
      <c r="D1231" s="1" t="s">
        <v>2</v>
      </c>
      <c r="E1231" t="b">
        <v>0</v>
      </c>
      <c r="F1231">
        <v>49</v>
      </c>
      <c r="G1231">
        <v>146</v>
      </c>
      <c r="H1231" t="s">
        <v>11</v>
      </c>
      <c r="I1231" t="b">
        <v>0</v>
      </c>
      <c r="J1231" cm="1">
        <f t="array" ref="J1231">sentimentCalc(B1231)</f>
        <v>0</v>
      </c>
      <c r="K1231" t="str" cm="1">
        <f t="array" ref="K1231">sentimentCategory(J1231)</f>
        <v>Neutral</v>
      </c>
    </row>
    <row r="1232" spans="1:11" ht="34" x14ac:dyDescent="0.2">
      <c r="A1232" t="s">
        <v>6263</v>
      </c>
      <c r="B1232" s="1" t="s">
        <v>6264</v>
      </c>
      <c r="C1232" t="s">
        <v>4076</v>
      </c>
      <c r="D1232" s="1" t="s">
        <v>6265</v>
      </c>
      <c r="E1232" t="b">
        <v>0</v>
      </c>
      <c r="F1232">
        <v>138</v>
      </c>
      <c r="G1232">
        <v>588</v>
      </c>
      <c r="H1232" t="s">
        <v>1580</v>
      </c>
      <c r="I1232" t="b">
        <v>0</v>
      </c>
      <c r="J1232" cm="1">
        <f t="array" ref="J1232">sentimentCalc(B1232)</f>
        <v>-1</v>
      </c>
      <c r="K1232" t="str" cm="1">
        <f t="array" ref="K1232">sentimentCategory(J1232)</f>
        <v>Negative</v>
      </c>
    </row>
    <row r="1233" spans="1:11" ht="34" x14ac:dyDescent="0.2">
      <c r="A1233" t="s">
        <v>2722</v>
      </c>
      <c r="B1233" s="1" t="s">
        <v>2723</v>
      </c>
      <c r="C1233" t="s">
        <v>2607</v>
      </c>
      <c r="D1233" s="1" t="s">
        <v>2724</v>
      </c>
      <c r="E1233" t="b">
        <v>0</v>
      </c>
      <c r="F1233">
        <v>35</v>
      </c>
      <c r="G1233">
        <v>274</v>
      </c>
      <c r="H1233" t="s">
        <v>11</v>
      </c>
      <c r="I1233" t="b">
        <v>0</v>
      </c>
      <c r="J1233" cm="1">
        <f t="array" ref="J1233">sentimentCalc(B1233)</f>
        <v>-1</v>
      </c>
      <c r="K1233" t="str" cm="1">
        <f t="array" ref="K1233">sentimentCategory(J1233)</f>
        <v>Negative</v>
      </c>
    </row>
    <row r="1234" spans="1:11" ht="17" x14ac:dyDescent="0.2">
      <c r="A1234" t="s">
        <v>4894</v>
      </c>
      <c r="B1234" s="1" t="s">
        <v>4895</v>
      </c>
      <c r="C1234" t="s">
        <v>3439</v>
      </c>
      <c r="D1234" s="1" t="s">
        <v>168</v>
      </c>
      <c r="E1234" t="b">
        <v>0</v>
      </c>
      <c r="F1234">
        <v>184</v>
      </c>
      <c r="G1234">
        <v>268</v>
      </c>
      <c r="H1234" t="s">
        <v>11</v>
      </c>
      <c r="I1234" t="b">
        <v>0</v>
      </c>
      <c r="J1234" cm="1">
        <f t="array" ref="J1234">sentimentCalc(B1234)</f>
        <v>0</v>
      </c>
      <c r="K1234" t="str" cm="1">
        <f t="array" ref="K1234">sentimentCategory(J1234)</f>
        <v>Neutral</v>
      </c>
    </row>
    <row r="1235" spans="1:11" ht="17" x14ac:dyDescent="0.2">
      <c r="A1235" t="s">
        <v>5458</v>
      </c>
      <c r="B1235" s="1" t="s">
        <v>5459</v>
      </c>
      <c r="C1235" t="s">
        <v>5460</v>
      </c>
      <c r="D1235" s="1" t="s">
        <v>5461</v>
      </c>
      <c r="E1235" t="b">
        <v>0</v>
      </c>
      <c r="F1235">
        <v>8588</v>
      </c>
      <c r="G1235">
        <v>1223</v>
      </c>
      <c r="H1235" t="s">
        <v>11</v>
      </c>
      <c r="I1235" t="b">
        <v>0</v>
      </c>
      <c r="J1235" cm="1">
        <f t="array" ref="J1235">sentimentCalc(B1235)</f>
        <v>0</v>
      </c>
      <c r="K1235" t="str" cm="1">
        <f t="array" ref="K1235">sentimentCategory(J1235)</f>
        <v>Neutral</v>
      </c>
    </row>
    <row r="1236" spans="1:11" ht="17" x14ac:dyDescent="0.2">
      <c r="A1236" t="s">
        <v>4159</v>
      </c>
      <c r="B1236" s="1" t="s">
        <v>4160</v>
      </c>
      <c r="C1236" t="s">
        <v>4161</v>
      </c>
      <c r="D1236" s="1" t="s">
        <v>2</v>
      </c>
      <c r="E1236" t="b">
        <v>0</v>
      </c>
      <c r="F1236">
        <v>413</v>
      </c>
      <c r="G1236">
        <v>379</v>
      </c>
      <c r="H1236" t="s">
        <v>11</v>
      </c>
      <c r="I1236" t="b">
        <v>0</v>
      </c>
      <c r="J1236" cm="1">
        <f t="array" ref="J1236">sentimentCalc(B1236)</f>
        <v>0</v>
      </c>
      <c r="K1236" t="str" cm="1">
        <f t="array" ref="K1236">sentimentCategory(J1236)</f>
        <v>Neutral</v>
      </c>
    </row>
    <row r="1237" spans="1:11" ht="34" x14ac:dyDescent="0.2">
      <c r="A1237" t="s">
        <v>2114</v>
      </c>
      <c r="B1237" s="1" t="s">
        <v>2115</v>
      </c>
      <c r="C1237" t="s">
        <v>2116</v>
      </c>
      <c r="D1237" s="1" t="s">
        <v>2117</v>
      </c>
      <c r="E1237" t="b">
        <v>0</v>
      </c>
      <c r="F1237">
        <v>173</v>
      </c>
      <c r="G1237">
        <v>291</v>
      </c>
      <c r="H1237" t="s">
        <v>11</v>
      </c>
      <c r="I1237" t="b">
        <v>0</v>
      </c>
      <c r="J1237" cm="1">
        <f t="array" ref="J1237">sentimentCalc(B1237)</f>
        <v>1</v>
      </c>
      <c r="K1237" t="str" cm="1">
        <f t="array" ref="K1237">sentimentCategory(J1237)</f>
        <v>Positive</v>
      </c>
    </row>
    <row r="1238" spans="1:11" ht="17" x14ac:dyDescent="0.2">
      <c r="A1238" t="s">
        <v>2581</v>
      </c>
      <c r="B1238" s="1" t="s">
        <v>2582</v>
      </c>
      <c r="C1238" t="s">
        <v>2583</v>
      </c>
      <c r="D1238" s="1" t="s">
        <v>2584</v>
      </c>
      <c r="E1238" t="b">
        <v>0</v>
      </c>
      <c r="F1238">
        <v>7</v>
      </c>
      <c r="G1238">
        <v>44</v>
      </c>
      <c r="H1238" t="s">
        <v>11</v>
      </c>
      <c r="I1238" t="b">
        <v>0</v>
      </c>
      <c r="J1238" cm="1">
        <f t="array" ref="J1238">sentimentCalc(B1238)</f>
        <v>2</v>
      </c>
      <c r="K1238" t="str" cm="1">
        <f t="array" ref="K1238">sentimentCategory(J1238)</f>
        <v>Positive</v>
      </c>
    </row>
    <row r="1239" spans="1:11" ht="17" x14ac:dyDescent="0.2">
      <c r="A1239" t="s">
        <v>339</v>
      </c>
      <c r="B1239" s="1" t="s">
        <v>340</v>
      </c>
      <c r="C1239" t="s">
        <v>341</v>
      </c>
      <c r="D1239" s="1" t="s">
        <v>342</v>
      </c>
      <c r="E1239" t="b">
        <v>0</v>
      </c>
      <c r="F1239">
        <v>594</v>
      </c>
      <c r="G1239">
        <v>80</v>
      </c>
      <c r="H1239" t="s">
        <v>11</v>
      </c>
      <c r="I1239" t="b">
        <v>0</v>
      </c>
      <c r="J1239" cm="1">
        <f t="array" ref="J1239">sentimentCalc(B1239)</f>
        <v>1</v>
      </c>
      <c r="K1239" t="str" cm="1">
        <f t="array" ref="K1239">sentimentCategory(J1239)</f>
        <v>Positive</v>
      </c>
    </row>
    <row r="1240" spans="1:11" ht="17" x14ac:dyDescent="0.2">
      <c r="A1240" t="s">
        <v>1093</v>
      </c>
      <c r="B1240" s="1" t="s">
        <v>1094</v>
      </c>
      <c r="C1240" t="s">
        <v>1095</v>
      </c>
      <c r="D1240" s="1" t="s">
        <v>1096</v>
      </c>
      <c r="E1240" t="b">
        <v>0</v>
      </c>
      <c r="F1240">
        <v>1700</v>
      </c>
      <c r="G1240">
        <v>328</v>
      </c>
      <c r="H1240" t="s">
        <v>11</v>
      </c>
      <c r="I1240" t="b">
        <v>0</v>
      </c>
      <c r="J1240" cm="1">
        <f t="array" ref="J1240">sentimentCalc(B1240)</f>
        <v>1</v>
      </c>
      <c r="K1240" t="str" cm="1">
        <f t="array" ref="K1240">sentimentCategory(J1240)</f>
        <v>Positive</v>
      </c>
    </row>
    <row r="1241" spans="1:11" ht="17" x14ac:dyDescent="0.2">
      <c r="A1241" t="s">
        <v>2557</v>
      </c>
      <c r="B1241" s="1" t="s">
        <v>2558</v>
      </c>
      <c r="C1241" t="s">
        <v>617</v>
      </c>
      <c r="D1241" s="1" t="s">
        <v>2</v>
      </c>
      <c r="E1241" t="b">
        <v>0</v>
      </c>
      <c r="F1241">
        <v>818</v>
      </c>
      <c r="G1241">
        <v>160</v>
      </c>
      <c r="H1241" t="s">
        <v>11</v>
      </c>
      <c r="I1241" t="b">
        <v>0</v>
      </c>
      <c r="J1241" cm="1">
        <f t="array" ref="J1241">sentimentCalc(B1241)</f>
        <v>2</v>
      </c>
      <c r="K1241" t="str" cm="1">
        <f t="array" ref="K1241">sentimentCategory(J1241)</f>
        <v>Positive</v>
      </c>
    </row>
    <row r="1242" spans="1:11" ht="17" x14ac:dyDescent="0.2">
      <c r="A1242" t="s">
        <v>812</v>
      </c>
      <c r="B1242" s="1" t="s">
        <v>813</v>
      </c>
      <c r="C1242" t="s">
        <v>814</v>
      </c>
      <c r="D1242" s="1" t="s">
        <v>2</v>
      </c>
      <c r="E1242" t="b">
        <v>0</v>
      </c>
      <c r="F1242">
        <v>49</v>
      </c>
      <c r="G1242">
        <v>172</v>
      </c>
      <c r="H1242" t="s">
        <v>11</v>
      </c>
      <c r="I1242" t="b">
        <v>0</v>
      </c>
      <c r="J1242" cm="1">
        <f t="array" ref="J1242">sentimentCalc(B1242)</f>
        <v>1</v>
      </c>
      <c r="K1242" t="str" cm="1">
        <f t="array" ref="K1242">sentimentCategory(J1242)</f>
        <v>Positive</v>
      </c>
    </row>
    <row r="1243" spans="1:11" ht="34" x14ac:dyDescent="0.2">
      <c r="A1243" t="s">
        <v>7145</v>
      </c>
      <c r="B1243" s="1" t="s">
        <v>7146</v>
      </c>
      <c r="C1243" t="s">
        <v>3425</v>
      </c>
      <c r="D1243" s="1" t="s">
        <v>7147</v>
      </c>
      <c r="E1243" t="b">
        <v>0</v>
      </c>
      <c r="F1243">
        <v>41350</v>
      </c>
      <c r="G1243">
        <v>974</v>
      </c>
      <c r="H1243" t="s">
        <v>11</v>
      </c>
      <c r="I1243" t="b">
        <v>0</v>
      </c>
      <c r="J1243" cm="1">
        <f t="array" ref="J1243">sentimentCalc(B1243)</f>
        <v>0</v>
      </c>
      <c r="K1243" t="str" cm="1">
        <f t="array" ref="K1243">sentimentCategory(J1243)</f>
        <v>Neutral</v>
      </c>
    </row>
    <row r="1244" spans="1:11" ht="34" x14ac:dyDescent="0.2">
      <c r="A1244" t="s">
        <v>5288</v>
      </c>
      <c r="B1244" s="1" t="s">
        <v>5289</v>
      </c>
      <c r="C1244" t="s">
        <v>617</v>
      </c>
      <c r="D1244" s="1" t="s">
        <v>5248</v>
      </c>
      <c r="E1244" t="b">
        <v>0</v>
      </c>
      <c r="F1244">
        <v>329</v>
      </c>
      <c r="G1244">
        <v>294</v>
      </c>
      <c r="H1244" t="s">
        <v>110</v>
      </c>
      <c r="I1244" t="b">
        <v>0</v>
      </c>
      <c r="J1244" cm="1">
        <f t="array" ref="J1244">sentimentCalc(B1244)</f>
        <v>0</v>
      </c>
      <c r="K1244" t="str" cm="1">
        <f t="array" ref="K1244">sentimentCategory(J1244)</f>
        <v>Neutral</v>
      </c>
    </row>
    <row r="1245" spans="1:11" ht="17" x14ac:dyDescent="0.2">
      <c r="A1245" t="s">
        <v>870</v>
      </c>
      <c r="B1245" s="1" t="s">
        <v>871</v>
      </c>
      <c r="C1245" t="s">
        <v>872</v>
      </c>
      <c r="D1245" s="1" t="s">
        <v>2</v>
      </c>
      <c r="E1245" t="b">
        <v>0</v>
      </c>
      <c r="F1245">
        <v>94</v>
      </c>
      <c r="G1245">
        <v>221</v>
      </c>
      <c r="H1245" t="s">
        <v>11</v>
      </c>
      <c r="I1245" t="b">
        <v>0</v>
      </c>
      <c r="J1245" cm="1">
        <f t="array" ref="J1245">sentimentCalc(B1245)</f>
        <v>0</v>
      </c>
      <c r="K1245" t="str" cm="1">
        <f t="array" ref="K1245">sentimentCategory(J1245)</f>
        <v>Neutral</v>
      </c>
    </row>
    <row r="1246" spans="1:11" ht="34" x14ac:dyDescent="0.2">
      <c r="A1246" t="s">
        <v>4675</v>
      </c>
      <c r="B1246" s="1" t="s">
        <v>4676</v>
      </c>
      <c r="C1246" t="s">
        <v>181</v>
      </c>
      <c r="D1246" s="1" t="s">
        <v>4677</v>
      </c>
      <c r="E1246" t="b">
        <v>1</v>
      </c>
      <c r="F1246">
        <v>1809</v>
      </c>
      <c r="G1246">
        <v>1138</v>
      </c>
      <c r="H1246" t="s">
        <v>11</v>
      </c>
      <c r="I1246" t="b">
        <v>0</v>
      </c>
      <c r="J1246" cm="1">
        <f t="array" ref="J1246">sentimentCalc(B1246)</f>
        <v>1</v>
      </c>
      <c r="K1246" t="str" cm="1">
        <f t="array" ref="K1246">sentimentCategory(J1246)</f>
        <v>Positive</v>
      </c>
    </row>
    <row r="1247" spans="1:11" ht="17" x14ac:dyDescent="0.2">
      <c r="A1247" t="s">
        <v>6978</v>
      </c>
      <c r="B1247" s="1" t="s">
        <v>6979</v>
      </c>
      <c r="C1247" t="s">
        <v>6714</v>
      </c>
      <c r="D1247" s="1" t="s">
        <v>6980</v>
      </c>
      <c r="E1247" t="b">
        <v>0</v>
      </c>
      <c r="F1247">
        <v>585</v>
      </c>
      <c r="G1247">
        <v>468</v>
      </c>
      <c r="H1247" t="s">
        <v>11</v>
      </c>
      <c r="I1247" t="b">
        <v>0</v>
      </c>
      <c r="J1247" cm="1">
        <f t="array" ref="J1247">sentimentCalc(B1247)</f>
        <v>0</v>
      </c>
      <c r="K1247" t="str" cm="1">
        <f t="array" ref="K1247">sentimentCategory(J1247)</f>
        <v>Neutral</v>
      </c>
    </row>
    <row r="1248" spans="1:11" ht="17" x14ac:dyDescent="0.2">
      <c r="A1248" t="s">
        <v>6254</v>
      </c>
      <c r="B1248" s="1" t="s">
        <v>6255</v>
      </c>
      <c r="C1248" t="s">
        <v>6256</v>
      </c>
      <c r="D1248" s="1" t="s">
        <v>6257</v>
      </c>
      <c r="E1248" t="b">
        <v>0</v>
      </c>
      <c r="F1248">
        <v>75</v>
      </c>
      <c r="G1248">
        <v>186</v>
      </c>
      <c r="H1248" t="s">
        <v>47</v>
      </c>
      <c r="I1248" t="b">
        <v>0</v>
      </c>
      <c r="J1248" cm="1">
        <f t="array" ref="J1248">sentimentCalc(B1248)</f>
        <v>-1</v>
      </c>
      <c r="K1248" t="str" cm="1">
        <f t="array" ref="K1248">sentimentCategory(J1248)</f>
        <v>Negative</v>
      </c>
    </row>
    <row r="1249" spans="1:11" ht="34" x14ac:dyDescent="0.2">
      <c r="A1249" t="s">
        <v>589</v>
      </c>
      <c r="B1249" s="1" t="s">
        <v>590</v>
      </c>
      <c r="C1249" t="s">
        <v>591</v>
      </c>
      <c r="D1249" s="1" t="s">
        <v>2</v>
      </c>
      <c r="E1249" t="b">
        <v>0</v>
      </c>
      <c r="F1249">
        <v>327</v>
      </c>
      <c r="G1249">
        <v>372</v>
      </c>
      <c r="H1249" t="s">
        <v>11</v>
      </c>
      <c r="I1249" t="b">
        <v>0</v>
      </c>
      <c r="J1249" cm="1">
        <f t="array" ref="J1249">sentimentCalc(B1249)</f>
        <v>1</v>
      </c>
      <c r="K1249" t="str" cm="1">
        <f t="array" ref="K1249">sentimentCategory(J1249)</f>
        <v>Positive</v>
      </c>
    </row>
    <row r="1250" spans="1:11" ht="17" x14ac:dyDescent="0.2">
      <c r="A1250" t="s">
        <v>6559</v>
      </c>
      <c r="B1250" s="1" t="s">
        <v>6560</v>
      </c>
      <c r="C1250" t="s">
        <v>151</v>
      </c>
      <c r="D1250" s="1" t="s">
        <v>178</v>
      </c>
      <c r="E1250" t="b">
        <v>0</v>
      </c>
      <c r="F1250">
        <v>362</v>
      </c>
      <c r="G1250">
        <v>25</v>
      </c>
      <c r="H1250" t="s">
        <v>11</v>
      </c>
      <c r="I1250" t="b">
        <v>0</v>
      </c>
      <c r="J1250" cm="1">
        <f t="array" ref="J1250">sentimentCalc(B1250)</f>
        <v>0</v>
      </c>
      <c r="K1250" t="str" cm="1">
        <f t="array" ref="K1250">sentimentCategory(J1250)</f>
        <v>Neutral</v>
      </c>
    </row>
    <row r="1251" spans="1:11" ht="17" x14ac:dyDescent="0.2">
      <c r="A1251" t="s">
        <v>6582</v>
      </c>
      <c r="B1251" s="1" t="s">
        <v>6583</v>
      </c>
      <c r="C1251" t="s">
        <v>151</v>
      </c>
      <c r="D1251" s="1" t="s">
        <v>178</v>
      </c>
      <c r="E1251" t="b">
        <v>0</v>
      </c>
      <c r="F1251">
        <v>362</v>
      </c>
      <c r="G1251">
        <v>25</v>
      </c>
      <c r="H1251" t="s">
        <v>11</v>
      </c>
      <c r="I1251" t="b">
        <v>0</v>
      </c>
      <c r="J1251" cm="1">
        <f t="array" ref="J1251">sentimentCalc(B1251)</f>
        <v>0</v>
      </c>
      <c r="K1251" t="str" cm="1">
        <f t="array" ref="K1251">sentimentCategory(J1251)</f>
        <v>Neutral</v>
      </c>
    </row>
    <row r="1252" spans="1:11" ht="34" x14ac:dyDescent="0.2">
      <c r="A1252" t="s">
        <v>1895</v>
      </c>
      <c r="B1252" s="1" t="s">
        <v>1896</v>
      </c>
      <c r="C1252" t="s">
        <v>1324</v>
      </c>
      <c r="D1252" s="1" t="s">
        <v>1897</v>
      </c>
      <c r="E1252" t="b">
        <v>0</v>
      </c>
      <c r="F1252">
        <v>97</v>
      </c>
      <c r="G1252">
        <v>89</v>
      </c>
      <c r="H1252" t="s">
        <v>11</v>
      </c>
      <c r="I1252" t="b">
        <v>0</v>
      </c>
      <c r="J1252" cm="1">
        <f t="array" ref="J1252">sentimentCalc(B1252)</f>
        <v>0</v>
      </c>
      <c r="K1252" t="str" cm="1">
        <f t="array" ref="K1252">sentimentCategory(J1252)</f>
        <v>Neutral</v>
      </c>
    </row>
    <row r="1253" spans="1:11" ht="17" x14ac:dyDescent="0.2">
      <c r="A1253" t="s">
        <v>2439</v>
      </c>
      <c r="B1253" s="1" t="s">
        <v>2440</v>
      </c>
      <c r="C1253" t="s">
        <v>1858</v>
      </c>
      <c r="D1253" s="1" t="s">
        <v>216</v>
      </c>
      <c r="E1253" t="b">
        <v>0</v>
      </c>
      <c r="F1253">
        <v>580</v>
      </c>
      <c r="G1253">
        <v>501</v>
      </c>
      <c r="H1253" t="s">
        <v>11</v>
      </c>
      <c r="I1253" t="b">
        <v>0</v>
      </c>
      <c r="J1253" cm="1">
        <f t="array" ref="J1253">sentimentCalc(B1253)</f>
        <v>-1</v>
      </c>
      <c r="K1253" t="str" cm="1">
        <f t="array" ref="K1253">sentimentCategory(J1253)</f>
        <v>Negative</v>
      </c>
    </row>
    <row r="1254" spans="1:11" ht="17" x14ac:dyDescent="0.2">
      <c r="A1254" t="s">
        <v>1414</v>
      </c>
      <c r="B1254" s="1" t="s">
        <v>1415</v>
      </c>
      <c r="C1254" t="s">
        <v>1416</v>
      </c>
      <c r="D1254" s="1" t="s">
        <v>546</v>
      </c>
      <c r="E1254" t="b">
        <v>0</v>
      </c>
      <c r="F1254">
        <v>501</v>
      </c>
      <c r="G1254">
        <v>641</v>
      </c>
      <c r="H1254" t="s">
        <v>11</v>
      </c>
      <c r="I1254" t="b">
        <v>0</v>
      </c>
      <c r="J1254" cm="1">
        <f t="array" ref="J1254">sentimentCalc(B1254)</f>
        <v>0</v>
      </c>
      <c r="K1254" t="str" cm="1">
        <f t="array" ref="K1254">sentimentCategory(J1254)</f>
        <v>Neutral</v>
      </c>
    </row>
    <row r="1255" spans="1:11" ht="34" x14ac:dyDescent="0.2">
      <c r="A1255" t="s">
        <v>1146</v>
      </c>
      <c r="B1255" s="1" t="s">
        <v>1147</v>
      </c>
      <c r="C1255" t="s">
        <v>1148</v>
      </c>
      <c r="D1255" s="1" t="s">
        <v>1149</v>
      </c>
      <c r="E1255" t="b">
        <v>0</v>
      </c>
      <c r="F1255">
        <v>413</v>
      </c>
      <c r="G1255">
        <v>784</v>
      </c>
      <c r="H1255" t="s">
        <v>11</v>
      </c>
      <c r="I1255" t="b">
        <v>0</v>
      </c>
      <c r="J1255" cm="1">
        <f t="array" ref="J1255">sentimentCalc(B1255)</f>
        <v>0</v>
      </c>
      <c r="K1255" t="str" cm="1">
        <f t="array" ref="K1255">sentimentCategory(J1255)</f>
        <v>Neutral</v>
      </c>
    </row>
    <row r="1256" spans="1:11" ht="34" x14ac:dyDescent="0.2">
      <c r="A1256" t="s">
        <v>695</v>
      </c>
      <c r="B1256" s="1" t="s">
        <v>696</v>
      </c>
      <c r="C1256" t="s">
        <v>697</v>
      </c>
      <c r="D1256" s="1" t="s">
        <v>659</v>
      </c>
      <c r="E1256" t="b">
        <v>0</v>
      </c>
      <c r="F1256">
        <v>85</v>
      </c>
      <c r="G1256">
        <v>79</v>
      </c>
      <c r="H1256" t="s">
        <v>11</v>
      </c>
      <c r="I1256" t="b">
        <v>0</v>
      </c>
      <c r="J1256" cm="1">
        <f t="array" ref="J1256">sentimentCalc(B1256)</f>
        <v>0</v>
      </c>
      <c r="K1256" t="str" cm="1">
        <f t="array" ref="K1256">sentimentCategory(J1256)</f>
        <v>Neutral</v>
      </c>
    </row>
    <row r="1257" spans="1:11" ht="17" x14ac:dyDescent="0.2">
      <c r="A1257" t="s">
        <v>3472</v>
      </c>
      <c r="B1257" s="1" t="s">
        <v>3473</v>
      </c>
      <c r="C1257" t="s">
        <v>3474</v>
      </c>
      <c r="D1257" s="1" t="s">
        <v>2</v>
      </c>
      <c r="E1257" t="b">
        <v>0</v>
      </c>
      <c r="F1257">
        <v>2</v>
      </c>
      <c r="G1257">
        <v>24</v>
      </c>
      <c r="H1257" t="s">
        <v>11</v>
      </c>
      <c r="I1257" t="b">
        <v>0</v>
      </c>
      <c r="J1257" cm="1">
        <f t="array" ref="J1257">sentimentCalc(B1257)</f>
        <v>0</v>
      </c>
      <c r="K1257" t="str" cm="1">
        <f t="array" ref="K1257">sentimentCategory(J1257)</f>
        <v>Neutral</v>
      </c>
    </row>
    <row r="1258" spans="1:11" ht="17" x14ac:dyDescent="0.2">
      <c r="A1258" t="s">
        <v>3398</v>
      </c>
      <c r="B1258" s="1" t="s">
        <v>3399</v>
      </c>
      <c r="C1258" t="s">
        <v>3400</v>
      </c>
      <c r="D1258" s="1" t="s">
        <v>3401</v>
      </c>
      <c r="E1258" t="b">
        <v>0</v>
      </c>
      <c r="F1258">
        <v>474</v>
      </c>
      <c r="G1258">
        <v>748</v>
      </c>
      <c r="H1258" t="s">
        <v>11</v>
      </c>
      <c r="I1258" t="b">
        <v>0</v>
      </c>
      <c r="J1258" cm="1">
        <f t="array" ref="J1258">sentimentCalc(B1258)</f>
        <v>0</v>
      </c>
      <c r="K1258" t="str" cm="1">
        <f t="array" ref="K1258">sentimentCategory(J1258)</f>
        <v>Neutral</v>
      </c>
    </row>
    <row r="1259" spans="1:11" ht="34" x14ac:dyDescent="0.2">
      <c r="A1259" t="s">
        <v>1308</v>
      </c>
      <c r="B1259" s="1" t="s">
        <v>1309</v>
      </c>
      <c r="C1259" t="s">
        <v>345</v>
      </c>
      <c r="D1259" s="1" t="s">
        <v>1310</v>
      </c>
      <c r="E1259" t="b">
        <v>0</v>
      </c>
      <c r="F1259">
        <v>785</v>
      </c>
      <c r="G1259">
        <v>682</v>
      </c>
      <c r="H1259" t="s">
        <v>11</v>
      </c>
      <c r="I1259" t="b">
        <v>0</v>
      </c>
      <c r="J1259" cm="1">
        <f t="array" ref="J1259">sentimentCalc(B1259)</f>
        <v>1</v>
      </c>
      <c r="K1259" t="str" cm="1">
        <f t="array" ref="K1259">sentimentCategory(J1259)</f>
        <v>Positive</v>
      </c>
    </row>
    <row r="1260" spans="1:11" ht="34" x14ac:dyDescent="0.2">
      <c r="A1260" t="s">
        <v>6330</v>
      </c>
      <c r="B1260" s="1" t="s">
        <v>6331</v>
      </c>
      <c r="C1260" t="s">
        <v>5101</v>
      </c>
      <c r="D1260" s="1" t="s">
        <v>6332</v>
      </c>
      <c r="E1260" t="b">
        <v>0</v>
      </c>
      <c r="F1260">
        <v>1414</v>
      </c>
      <c r="G1260">
        <v>413</v>
      </c>
      <c r="H1260" t="s">
        <v>11</v>
      </c>
      <c r="I1260" t="b">
        <v>0</v>
      </c>
      <c r="J1260" cm="1">
        <f t="array" ref="J1260">sentimentCalc(B1260)</f>
        <v>1</v>
      </c>
      <c r="K1260" t="str" cm="1">
        <f t="array" ref="K1260">sentimentCategory(J1260)</f>
        <v>Positive</v>
      </c>
    </row>
    <row r="1261" spans="1:11" ht="34" x14ac:dyDescent="0.2">
      <c r="A1261" t="s">
        <v>3632</v>
      </c>
      <c r="B1261" s="1" t="s">
        <v>3633</v>
      </c>
      <c r="C1261" t="s">
        <v>2595</v>
      </c>
      <c r="D1261" s="1" t="s">
        <v>2</v>
      </c>
      <c r="E1261" t="b">
        <v>0</v>
      </c>
      <c r="F1261">
        <v>502</v>
      </c>
      <c r="G1261">
        <v>1865</v>
      </c>
      <c r="H1261" t="s">
        <v>11</v>
      </c>
      <c r="I1261" t="b">
        <v>0</v>
      </c>
      <c r="J1261" cm="1">
        <f t="array" ref="J1261">sentimentCalc(B1261)</f>
        <v>0</v>
      </c>
      <c r="K1261" t="str" cm="1">
        <f t="array" ref="K1261">sentimentCategory(J1261)</f>
        <v>Neutral</v>
      </c>
    </row>
    <row r="1262" spans="1:11" ht="17" x14ac:dyDescent="0.2">
      <c r="A1262" t="s">
        <v>4423</v>
      </c>
      <c r="B1262" s="1" t="s">
        <v>4424</v>
      </c>
      <c r="C1262" t="s">
        <v>4425</v>
      </c>
      <c r="D1262" s="1" t="s">
        <v>2276</v>
      </c>
      <c r="E1262" t="b">
        <v>0</v>
      </c>
      <c r="F1262">
        <v>512</v>
      </c>
      <c r="G1262">
        <v>786</v>
      </c>
      <c r="H1262" t="s">
        <v>11</v>
      </c>
      <c r="I1262" t="b">
        <v>0</v>
      </c>
      <c r="J1262" cm="1">
        <f t="array" ref="J1262">sentimentCalc(B1262)</f>
        <v>-1</v>
      </c>
      <c r="K1262" t="str" cm="1">
        <f t="array" ref="K1262">sentimentCategory(J1262)</f>
        <v>Negative</v>
      </c>
    </row>
    <row r="1263" spans="1:11" ht="17" x14ac:dyDescent="0.2">
      <c r="A1263" t="s">
        <v>2786</v>
      </c>
      <c r="B1263" s="1" t="s">
        <v>2787</v>
      </c>
      <c r="C1263" t="s">
        <v>2151</v>
      </c>
      <c r="D1263" s="1" t="s">
        <v>1960</v>
      </c>
      <c r="E1263" t="b">
        <v>0</v>
      </c>
      <c r="F1263">
        <v>137</v>
      </c>
      <c r="G1263">
        <v>513</v>
      </c>
      <c r="H1263" t="s">
        <v>11</v>
      </c>
      <c r="I1263" t="b">
        <v>0</v>
      </c>
      <c r="J1263" cm="1">
        <f t="array" ref="J1263">sentimentCalc(B1263)</f>
        <v>0</v>
      </c>
      <c r="K1263" t="str" cm="1">
        <f t="array" ref="K1263">sentimentCategory(J1263)</f>
        <v>Neutral</v>
      </c>
    </row>
    <row r="1264" spans="1:11" ht="34" x14ac:dyDescent="0.2">
      <c r="A1264" t="s">
        <v>4986</v>
      </c>
      <c r="B1264" s="1" t="s">
        <v>4987</v>
      </c>
      <c r="C1264" t="s">
        <v>4013</v>
      </c>
      <c r="D1264" s="1" t="s">
        <v>3601</v>
      </c>
      <c r="E1264" t="b">
        <v>0</v>
      </c>
      <c r="F1264">
        <v>1309</v>
      </c>
      <c r="G1264">
        <v>4954</v>
      </c>
      <c r="H1264" t="s">
        <v>11</v>
      </c>
      <c r="I1264" t="b">
        <v>0</v>
      </c>
      <c r="J1264" cm="1">
        <f t="array" ref="J1264">sentimentCalc(B1264)</f>
        <v>0</v>
      </c>
      <c r="K1264" t="str" cm="1">
        <f t="array" ref="K1264">sentimentCategory(J1264)</f>
        <v>Neutral</v>
      </c>
    </row>
    <row r="1265" spans="1:11" ht="17" x14ac:dyDescent="0.2">
      <c r="A1265" t="s">
        <v>1466</v>
      </c>
      <c r="B1265" s="1" t="s">
        <v>1467</v>
      </c>
      <c r="C1265" t="s">
        <v>1468</v>
      </c>
      <c r="D1265" s="1" t="s">
        <v>1469</v>
      </c>
      <c r="E1265" t="b">
        <v>0</v>
      </c>
      <c r="F1265">
        <v>285</v>
      </c>
      <c r="G1265">
        <v>608</v>
      </c>
      <c r="H1265" t="s">
        <v>11</v>
      </c>
      <c r="I1265" t="b">
        <v>0</v>
      </c>
      <c r="J1265" cm="1">
        <f t="array" ref="J1265">sentimentCalc(B1265)</f>
        <v>0</v>
      </c>
      <c r="K1265" t="str" cm="1">
        <f t="array" ref="K1265">sentimentCategory(J1265)</f>
        <v>Neutral</v>
      </c>
    </row>
    <row r="1266" spans="1:11" ht="17" x14ac:dyDescent="0.2">
      <c r="A1266" t="s">
        <v>5847</v>
      </c>
      <c r="B1266" s="1" t="s">
        <v>5848</v>
      </c>
      <c r="C1266" t="s">
        <v>1808</v>
      </c>
      <c r="D1266" s="1" t="s">
        <v>2</v>
      </c>
      <c r="E1266" t="b">
        <v>0</v>
      </c>
      <c r="F1266">
        <v>5</v>
      </c>
      <c r="G1266">
        <v>56</v>
      </c>
      <c r="H1266" t="s">
        <v>11</v>
      </c>
      <c r="I1266" t="b">
        <v>0</v>
      </c>
      <c r="J1266" cm="1">
        <f t="array" ref="J1266">sentimentCalc(B1266)</f>
        <v>0</v>
      </c>
      <c r="K1266" t="str" cm="1">
        <f t="array" ref="K1266">sentimentCategory(J1266)</f>
        <v>Neutral</v>
      </c>
    </row>
    <row r="1267" spans="1:11" ht="17" x14ac:dyDescent="0.2">
      <c r="A1267" t="s">
        <v>1399</v>
      </c>
      <c r="B1267" s="1" t="s">
        <v>1400</v>
      </c>
      <c r="C1267" t="s">
        <v>1401</v>
      </c>
      <c r="D1267" s="1" t="s">
        <v>1402</v>
      </c>
      <c r="E1267" t="b">
        <v>0</v>
      </c>
      <c r="F1267">
        <v>243</v>
      </c>
      <c r="G1267">
        <v>307</v>
      </c>
      <c r="H1267" t="s">
        <v>11</v>
      </c>
      <c r="I1267" t="b">
        <v>0</v>
      </c>
      <c r="J1267" cm="1">
        <f t="array" ref="J1267">sentimentCalc(B1267)</f>
        <v>0</v>
      </c>
      <c r="K1267" t="str" cm="1">
        <f t="array" ref="K1267">sentimentCategory(J1267)</f>
        <v>Neutral</v>
      </c>
    </row>
    <row r="1268" spans="1:11" ht="17" x14ac:dyDescent="0.2">
      <c r="A1268" t="s">
        <v>7162</v>
      </c>
      <c r="B1268" s="1" t="s">
        <v>7163</v>
      </c>
      <c r="C1268" t="s">
        <v>5296</v>
      </c>
      <c r="D1268" s="1" t="s">
        <v>5297</v>
      </c>
      <c r="E1268" t="b">
        <v>0</v>
      </c>
      <c r="F1268">
        <v>41</v>
      </c>
      <c r="G1268">
        <v>178</v>
      </c>
      <c r="H1268" t="s">
        <v>11</v>
      </c>
      <c r="I1268" t="b">
        <v>0</v>
      </c>
      <c r="J1268" cm="1">
        <f t="array" ref="J1268">sentimentCalc(B1268)</f>
        <v>0</v>
      </c>
      <c r="K1268" t="str" cm="1">
        <f t="array" ref="K1268">sentimentCategory(J1268)</f>
        <v>Neutral</v>
      </c>
    </row>
    <row r="1269" spans="1:11" ht="17" x14ac:dyDescent="0.2">
      <c r="A1269" t="s">
        <v>794</v>
      </c>
      <c r="B1269" s="1" t="s">
        <v>795</v>
      </c>
      <c r="C1269" t="s">
        <v>796</v>
      </c>
      <c r="D1269" s="1" t="s">
        <v>797</v>
      </c>
      <c r="E1269" t="b">
        <v>0</v>
      </c>
      <c r="F1269">
        <v>147</v>
      </c>
      <c r="G1269">
        <v>946</v>
      </c>
      <c r="H1269" t="s">
        <v>11</v>
      </c>
      <c r="I1269" t="b">
        <v>0</v>
      </c>
      <c r="J1269" cm="1">
        <f t="array" ref="J1269">sentimentCalc(B1269)</f>
        <v>1</v>
      </c>
      <c r="K1269" t="str" cm="1">
        <f t="array" ref="K1269">sentimentCategory(J1269)</f>
        <v>Positive</v>
      </c>
    </row>
    <row r="1270" spans="1:11" ht="34" x14ac:dyDescent="0.2">
      <c r="A1270" t="s">
        <v>6024</v>
      </c>
      <c r="B1270" s="1" t="s">
        <v>6025</v>
      </c>
      <c r="C1270" t="s">
        <v>3081</v>
      </c>
      <c r="D1270" s="1" t="s">
        <v>68</v>
      </c>
      <c r="E1270" t="b">
        <v>0</v>
      </c>
      <c r="F1270">
        <v>212</v>
      </c>
      <c r="G1270">
        <v>87</v>
      </c>
      <c r="H1270" t="s">
        <v>11</v>
      </c>
      <c r="I1270" t="b">
        <v>0</v>
      </c>
      <c r="J1270" cm="1">
        <f t="array" ref="J1270">sentimentCalc(B1270)</f>
        <v>0</v>
      </c>
      <c r="K1270" t="str" cm="1">
        <f t="array" ref="K1270">sentimentCategory(J1270)</f>
        <v>Neutral</v>
      </c>
    </row>
    <row r="1271" spans="1:11" ht="17" x14ac:dyDescent="0.2">
      <c r="A1271" t="s">
        <v>6552</v>
      </c>
      <c r="B1271" s="1" t="s">
        <v>6554</v>
      </c>
      <c r="C1271" t="s">
        <v>828</v>
      </c>
      <c r="D1271" s="1" t="s">
        <v>2</v>
      </c>
      <c r="E1271" t="b">
        <v>0</v>
      </c>
      <c r="F1271">
        <v>435</v>
      </c>
      <c r="G1271">
        <v>497</v>
      </c>
      <c r="H1271" t="s">
        <v>11</v>
      </c>
      <c r="I1271" t="b">
        <v>0</v>
      </c>
      <c r="J1271" cm="1">
        <f t="array" ref="J1271">sentimentCalc(B1271)</f>
        <v>0</v>
      </c>
      <c r="K1271" t="str" cm="1">
        <f t="array" ref="K1271">sentimentCategory(J1271)</f>
        <v>Neutral</v>
      </c>
    </row>
    <row r="1272" spans="1:11" ht="34" x14ac:dyDescent="0.2">
      <c r="A1272" t="s">
        <v>3104</v>
      </c>
      <c r="B1272" s="1" t="s">
        <v>3106</v>
      </c>
      <c r="C1272" t="s">
        <v>575</v>
      </c>
      <c r="D1272" s="1" t="s">
        <v>3107</v>
      </c>
      <c r="E1272" t="b">
        <v>0</v>
      </c>
      <c r="F1272">
        <v>956</v>
      </c>
      <c r="G1272">
        <v>35</v>
      </c>
      <c r="H1272" t="s">
        <v>11</v>
      </c>
      <c r="I1272" t="b">
        <v>0</v>
      </c>
      <c r="J1272" cm="1">
        <f t="array" ref="J1272">sentimentCalc(B1272)</f>
        <v>0</v>
      </c>
      <c r="K1272" t="str" cm="1">
        <f t="array" ref="K1272">sentimentCategory(J1272)</f>
        <v>Neutral</v>
      </c>
    </row>
    <row r="1273" spans="1:11" ht="17" x14ac:dyDescent="0.2">
      <c r="A1273" t="s">
        <v>3861</v>
      </c>
      <c r="B1273" s="1" t="s">
        <v>3862</v>
      </c>
      <c r="C1273" t="s">
        <v>3863</v>
      </c>
      <c r="D1273" s="1" t="s">
        <v>1079</v>
      </c>
      <c r="E1273" t="b">
        <v>0</v>
      </c>
      <c r="F1273">
        <v>1194</v>
      </c>
      <c r="G1273">
        <v>610</v>
      </c>
      <c r="H1273" t="s">
        <v>11</v>
      </c>
      <c r="I1273" t="b">
        <v>0</v>
      </c>
      <c r="J1273" cm="1">
        <f t="array" ref="J1273">sentimentCalc(B1273)</f>
        <v>1</v>
      </c>
      <c r="K1273" t="str" cm="1">
        <f t="array" ref="K1273">sentimentCategory(J1273)</f>
        <v>Positive</v>
      </c>
    </row>
    <row r="1274" spans="1:11" ht="34" x14ac:dyDescent="0.2">
      <c r="A1274" t="s">
        <v>6972</v>
      </c>
      <c r="B1274" s="1" t="s">
        <v>6973</v>
      </c>
      <c r="C1274" t="s">
        <v>3081</v>
      </c>
      <c r="D1274" s="1" t="s">
        <v>1435</v>
      </c>
      <c r="E1274" t="b">
        <v>0</v>
      </c>
      <c r="F1274">
        <v>123</v>
      </c>
      <c r="G1274">
        <v>426</v>
      </c>
      <c r="H1274" t="s">
        <v>11</v>
      </c>
      <c r="I1274" t="b">
        <v>0</v>
      </c>
      <c r="J1274" cm="1">
        <f t="array" ref="J1274">sentimentCalc(B1274)</f>
        <v>1</v>
      </c>
      <c r="K1274" t="str" cm="1">
        <f t="array" ref="K1274">sentimentCategory(J1274)</f>
        <v>Positive</v>
      </c>
    </row>
    <row r="1275" spans="1:11" ht="34" x14ac:dyDescent="0.2">
      <c r="A1275" t="s">
        <v>4867</v>
      </c>
      <c r="B1275" s="1" t="s">
        <v>4868</v>
      </c>
      <c r="C1275" t="s">
        <v>4869</v>
      </c>
      <c r="D1275" s="1" t="s">
        <v>2497</v>
      </c>
      <c r="E1275" t="b">
        <v>0</v>
      </c>
      <c r="F1275">
        <v>26</v>
      </c>
      <c r="G1275">
        <v>116</v>
      </c>
      <c r="H1275" t="s">
        <v>11</v>
      </c>
      <c r="I1275" t="b">
        <v>0</v>
      </c>
      <c r="J1275" cm="1">
        <f t="array" ref="J1275">sentimentCalc(B1275)</f>
        <v>0</v>
      </c>
      <c r="K1275" t="str" cm="1">
        <f t="array" ref="K1275">sentimentCategory(J1275)</f>
        <v>Neutral</v>
      </c>
    </row>
    <row r="1276" spans="1:11" ht="17" x14ac:dyDescent="0.2">
      <c r="A1276" t="s">
        <v>6827</v>
      </c>
      <c r="B1276" s="1" t="s">
        <v>6828</v>
      </c>
      <c r="C1276" t="s">
        <v>4898</v>
      </c>
      <c r="D1276" s="1" t="s">
        <v>1238</v>
      </c>
      <c r="E1276" t="b">
        <v>0</v>
      </c>
      <c r="F1276">
        <v>240</v>
      </c>
      <c r="G1276">
        <v>171</v>
      </c>
      <c r="H1276" t="s">
        <v>11</v>
      </c>
      <c r="I1276" t="b">
        <v>0</v>
      </c>
      <c r="J1276" cm="1">
        <f t="array" ref="J1276">sentimentCalc(B1276)</f>
        <v>1</v>
      </c>
      <c r="K1276" t="str" cm="1">
        <f t="array" ref="K1276">sentimentCategory(J1276)</f>
        <v>Positive</v>
      </c>
    </row>
    <row r="1277" spans="1:11" ht="17" x14ac:dyDescent="0.2">
      <c r="A1277" t="s">
        <v>6868</v>
      </c>
      <c r="B1277" s="1" t="s">
        <v>6869</v>
      </c>
      <c r="C1277" t="s">
        <v>5877</v>
      </c>
      <c r="D1277" s="1" t="s">
        <v>6870</v>
      </c>
      <c r="E1277" t="b">
        <v>0</v>
      </c>
      <c r="F1277">
        <v>41</v>
      </c>
      <c r="G1277">
        <v>58</v>
      </c>
      <c r="H1277" t="s">
        <v>11</v>
      </c>
      <c r="I1277" t="b">
        <v>0</v>
      </c>
      <c r="J1277" cm="1">
        <f t="array" ref="J1277">sentimentCalc(B1277)</f>
        <v>0</v>
      </c>
      <c r="K1277" t="str" cm="1">
        <f t="array" ref="K1277">sentimentCategory(J1277)</f>
        <v>Neutral</v>
      </c>
    </row>
    <row r="1278" spans="1:11" ht="17" x14ac:dyDescent="0.2">
      <c r="A1278" t="s">
        <v>6142</v>
      </c>
      <c r="B1278" s="1" t="s">
        <v>6143</v>
      </c>
      <c r="C1278" t="s">
        <v>545</v>
      </c>
      <c r="D1278" s="1" t="s">
        <v>2</v>
      </c>
      <c r="E1278" t="b">
        <v>0</v>
      </c>
      <c r="F1278">
        <v>52</v>
      </c>
      <c r="G1278">
        <v>74</v>
      </c>
      <c r="H1278" t="s">
        <v>11</v>
      </c>
      <c r="I1278" t="b">
        <v>0</v>
      </c>
      <c r="J1278" cm="1">
        <f t="array" ref="J1278">sentimentCalc(B1278)</f>
        <v>0</v>
      </c>
      <c r="K1278" t="str" cm="1">
        <f t="array" ref="K1278">sentimentCategory(J1278)</f>
        <v>Neutral</v>
      </c>
    </row>
    <row r="1279" spans="1:11" ht="34" x14ac:dyDescent="0.2">
      <c r="A1279" t="s">
        <v>3573</v>
      </c>
      <c r="B1279" s="1" t="s">
        <v>3574</v>
      </c>
      <c r="C1279" t="s">
        <v>955</v>
      </c>
      <c r="D1279" s="1" t="s">
        <v>2</v>
      </c>
      <c r="E1279" t="b">
        <v>0</v>
      </c>
      <c r="F1279">
        <v>2191</v>
      </c>
      <c r="G1279">
        <v>151</v>
      </c>
      <c r="H1279" t="s">
        <v>11</v>
      </c>
      <c r="I1279" t="b">
        <v>0</v>
      </c>
      <c r="J1279" cm="1">
        <f t="array" ref="J1279">sentimentCalc(B1279)</f>
        <v>0</v>
      </c>
      <c r="K1279" t="str" cm="1">
        <f t="array" ref="K1279">sentimentCategory(J1279)</f>
        <v>Neutral</v>
      </c>
    </row>
    <row r="1280" spans="1:11" ht="34" x14ac:dyDescent="0.2">
      <c r="A1280" t="s">
        <v>1306</v>
      </c>
      <c r="B1280" s="1" t="s">
        <v>1307</v>
      </c>
      <c r="C1280" t="s">
        <v>271</v>
      </c>
      <c r="D1280" s="1" t="s">
        <v>2</v>
      </c>
      <c r="E1280" t="b">
        <v>0</v>
      </c>
      <c r="F1280">
        <v>39</v>
      </c>
      <c r="G1280">
        <v>67</v>
      </c>
      <c r="H1280" t="s">
        <v>11</v>
      </c>
      <c r="I1280" t="b">
        <v>0</v>
      </c>
      <c r="J1280" cm="1">
        <f t="array" ref="J1280">sentimentCalc(B1280)</f>
        <v>1</v>
      </c>
      <c r="K1280" t="str" cm="1">
        <f t="array" ref="K1280">sentimentCategory(J1280)</f>
        <v>Positive</v>
      </c>
    </row>
    <row r="1281" spans="1:11" ht="17" x14ac:dyDescent="0.2">
      <c r="A1281" t="s">
        <v>1890</v>
      </c>
      <c r="B1281" s="1" t="s">
        <v>1891</v>
      </c>
      <c r="C1281" t="s">
        <v>1892</v>
      </c>
      <c r="D1281" s="1" t="s">
        <v>1813</v>
      </c>
      <c r="E1281" t="b">
        <v>0</v>
      </c>
      <c r="F1281">
        <v>6391</v>
      </c>
      <c r="G1281">
        <v>1185</v>
      </c>
      <c r="H1281" t="s">
        <v>11</v>
      </c>
      <c r="I1281" t="b">
        <v>0</v>
      </c>
      <c r="J1281" cm="1">
        <f t="array" ref="J1281">sentimentCalc(B1281)</f>
        <v>0</v>
      </c>
      <c r="K1281" t="str" cm="1">
        <f t="array" ref="K1281">sentimentCategory(J1281)</f>
        <v>Neutral</v>
      </c>
    </row>
    <row r="1282" spans="1:11" ht="34" x14ac:dyDescent="0.2">
      <c r="A1282" t="s">
        <v>2326</v>
      </c>
      <c r="B1282" s="1" t="s">
        <v>2327</v>
      </c>
      <c r="C1282" t="s">
        <v>391</v>
      </c>
      <c r="D1282" s="1" t="s">
        <v>392</v>
      </c>
      <c r="E1282" t="b">
        <v>0</v>
      </c>
      <c r="F1282">
        <v>53</v>
      </c>
      <c r="G1282">
        <v>242</v>
      </c>
      <c r="H1282" t="s">
        <v>11</v>
      </c>
      <c r="I1282" t="b">
        <v>0</v>
      </c>
      <c r="J1282" cm="1">
        <f t="array" ref="J1282">sentimentCalc(B1282)</f>
        <v>0</v>
      </c>
      <c r="K1282" t="str" cm="1">
        <f t="array" ref="K1282">sentimentCategory(J1282)</f>
        <v>Neutral</v>
      </c>
    </row>
    <row r="1283" spans="1:11" ht="34" x14ac:dyDescent="0.2">
      <c r="A1283" t="s">
        <v>2281</v>
      </c>
      <c r="B1283" s="1" t="s">
        <v>2282</v>
      </c>
      <c r="C1283" t="s">
        <v>2283</v>
      </c>
      <c r="D1283" s="1" t="s">
        <v>2284</v>
      </c>
      <c r="E1283" t="b">
        <v>0</v>
      </c>
      <c r="F1283">
        <v>8</v>
      </c>
      <c r="G1283">
        <v>20</v>
      </c>
      <c r="H1283" t="s">
        <v>338</v>
      </c>
      <c r="I1283" t="b">
        <v>0</v>
      </c>
      <c r="J1283" cm="1">
        <f t="array" ref="J1283">sentimentCalc(B1283)</f>
        <v>0</v>
      </c>
      <c r="K1283" t="str" cm="1">
        <f t="array" ref="K1283">sentimentCategory(J1283)</f>
        <v>Neutral</v>
      </c>
    </row>
    <row r="1284" spans="1:11" ht="17" x14ac:dyDescent="0.2">
      <c r="A1284" t="s">
        <v>5558</v>
      </c>
      <c r="B1284" s="1" t="s">
        <v>5559</v>
      </c>
      <c r="C1284" t="s">
        <v>2061</v>
      </c>
      <c r="D1284" s="1" t="s">
        <v>2062</v>
      </c>
      <c r="E1284" t="b">
        <v>0</v>
      </c>
      <c r="F1284">
        <v>9756</v>
      </c>
      <c r="G1284">
        <v>399</v>
      </c>
      <c r="H1284" t="s">
        <v>11</v>
      </c>
      <c r="I1284" t="b">
        <v>0</v>
      </c>
      <c r="J1284" cm="1">
        <f t="array" ref="J1284">sentimentCalc(B1284)</f>
        <v>0</v>
      </c>
      <c r="K1284" t="str" cm="1">
        <f t="array" ref="K1284">sentimentCategory(J1284)</f>
        <v>Neutral</v>
      </c>
    </row>
    <row r="1285" spans="1:11" ht="17" x14ac:dyDescent="0.2">
      <c r="A1285" t="s">
        <v>48</v>
      </c>
      <c r="B1285" s="1" t="s">
        <v>49</v>
      </c>
      <c r="C1285" t="s">
        <v>50</v>
      </c>
      <c r="D1285" s="1" t="s">
        <v>51</v>
      </c>
      <c r="E1285" t="b">
        <v>0</v>
      </c>
      <c r="F1285">
        <v>629</v>
      </c>
      <c r="G1285">
        <v>139</v>
      </c>
      <c r="H1285" t="s">
        <v>11</v>
      </c>
      <c r="I1285" t="b">
        <v>0</v>
      </c>
      <c r="J1285" cm="1">
        <f t="array" ref="J1285">sentimentCalc(B1285)</f>
        <v>-1</v>
      </c>
      <c r="K1285" t="str" cm="1">
        <f t="array" ref="K1285">sentimentCategory(J1285)</f>
        <v>Negative</v>
      </c>
    </row>
    <row r="1286" spans="1:11" ht="17" x14ac:dyDescent="0.2">
      <c r="A1286" t="s">
        <v>1587</v>
      </c>
      <c r="B1286" s="1" t="s">
        <v>1588</v>
      </c>
      <c r="C1286" t="s">
        <v>754</v>
      </c>
      <c r="D1286" s="1" t="s">
        <v>1589</v>
      </c>
      <c r="E1286" t="b">
        <v>0</v>
      </c>
      <c r="F1286">
        <v>950</v>
      </c>
      <c r="G1286">
        <v>264</v>
      </c>
      <c r="H1286" t="s">
        <v>11</v>
      </c>
      <c r="I1286" t="b">
        <v>0</v>
      </c>
      <c r="J1286" cm="1">
        <f t="array" ref="J1286">sentimentCalc(B1286)</f>
        <v>1</v>
      </c>
      <c r="K1286" t="str" cm="1">
        <f t="array" ref="K1286">sentimentCategory(J1286)</f>
        <v>Positive</v>
      </c>
    </row>
    <row r="1287" spans="1:11" ht="34" x14ac:dyDescent="0.2">
      <c r="A1287" t="s">
        <v>1789</v>
      </c>
      <c r="B1287" s="1" t="s">
        <v>1790</v>
      </c>
      <c r="C1287" t="s">
        <v>1791</v>
      </c>
      <c r="D1287" s="1" t="s">
        <v>2</v>
      </c>
      <c r="E1287" t="b">
        <v>0</v>
      </c>
      <c r="F1287">
        <v>285</v>
      </c>
      <c r="G1287">
        <v>545</v>
      </c>
      <c r="H1287" t="s">
        <v>11</v>
      </c>
      <c r="I1287" t="b">
        <v>0</v>
      </c>
      <c r="J1287" cm="1">
        <f t="array" ref="J1287">sentimentCalc(B1287)</f>
        <v>-1</v>
      </c>
      <c r="K1287" t="str" cm="1">
        <f t="array" ref="K1287">sentimentCategory(J1287)</f>
        <v>Negative</v>
      </c>
    </row>
    <row r="1288" spans="1:11" ht="34" x14ac:dyDescent="0.2">
      <c r="A1288" t="s">
        <v>6665</v>
      </c>
      <c r="B1288" s="1" t="s">
        <v>6666</v>
      </c>
      <c r="C1288" t="s">
        <v>2757</v>
      </c>
      <c r="D1288" s="1" t="s">
        <v>6667</v>
      </c>
      <c r="E1288" t="b">
        <v>0</v>
      </c>
      <c r="F1288">
        <v>1880</v>
      </c>
      <c r="G1288">
        <v>562</v>
      </c>
      <c r="H1288" t="s">
        <v>11</v>
      </c>
      <c r="I1288" t="b">
        <v>0</v>
      </c>
      <c r="J1288" cm="1">
        <f t="array" ref="J1288">sentimentCalc(B1288)</f>
        <v>0</v>
      </c>
      <c r="K1288" t="str" cm="1">
        <f t="array" ref="K1288">sentimentCategory(J1288)</f>
        <v>Neutral</v>
      </c>
    </row>
    <row r="1289" spans="1:11" ht="17" x14ac:dyDescent="0.2">
      <c r="A1289" t="s">
        <v>3529</v>
      </c>
      <c r="B1289" s="1" t="s">
        <v>3530</v>
      </c>
      <c r="C1289" t="s">
        <v>2102</v>
      </c>
      <c r="D1289" s="1" t="s">
        <v>3531</v>
      </c>
      <c r="E1289" t="b">
        <v>0</v>
      </c>
      <c r="F1289">
        <v>33</v>
      </c>
      <c r="G1289">
        <v>293</v>
      </c>
      <c r="H1289" t="s">
        <v>11</v>
      </c>
      <c r="I1289" t="b">
        <v>0</v>
      </c>
      <c r="J1289" cm="1">
        <f t="array" ref="J1289">sentimentCalc(B1289)</f>
        <v>-1</v>
      </c>
      <c r="K1289" t="str" cm="1">
        <f t="array" ref="K1289">sentimentCategory(J1289)</f>
        <v>Negative</v>
      </c>
    </row>
    <row r="1290" spans="1:11" ht="17" x14ac:dyDescent="0.2">
      <c r="A1290" t="s">
        <v>966</v>
      </c>
      <c r="B1290" s="1" t="s">
        <v>967</v>
      </c>
      <c r="C1290" t="s">
        <v>564</v>
      </c>
      <c r="D1290" s="1" t="s">
        <v>2</v>
      </c>
      <c r="E1290" t="b">
        <v>0</v>
      </c>
      <c r="F1290">
        <v>7</v>
      </c>
      <c r="G1290">
        <v>77</v>
      </c>
      <c r="H1290" t="s">
        <v>11</v>
      </c>
      <c r="I1290" t="b">
        <v>0</v>
      </c>
      <c r="J1290" cm="1">
        <f t="array" ref="J1290">sentimentCalc(B1290)</f>
        <v>-1</v>
      </c>
      <c r="K1290" t="str" cm="1">
        <f t="array" ref="K1290">sentimentCategory(J1290)</f>
        <v>Negative</v>
      </c>
    </row>
    <row r="1291" spans="1:11" ht="34" x14ac:dyDescent="0.2">
      <c r="A1291" t="s">
        <v>7069</v>
      </c>
      <c r="B1291" s="1" t="s">
        <v>7070</v>
      </c>
      <c r="C1291" t="s">
        <v>7043</v>
      </c>
      <c r="D1291" s="1" t="s">
        <v>2</v>
      </c>
      <c r="E1291" t="b">
        <v>0</v>
      </c>
      <c r="F1291">
        <v>683</v>
      </c>
      <c r="G1291">
        <v>230</v>
      </c>
      <c r="H1291" t="s">
        <v>11</v>
      </c>
      <c r="I1291" t="b">
        <v>0</v>
      </c>
      <c r="J1291" cm="1">
        <f t="array" ref="J1291">sentimentCalc(B1291)</f>
        <v>1</v>
      </c>
      <c r="K1291" t="str" cm="1">
        <f t="array" ref="K1291">sentimentCategory(J1291)</f>
        <v>Positive</v>
      </c>
    </row>
    <row r="1292" spans="1:11" ht="17" x14ac:dyDescent="0.2">
      <c r="A1292" t="s">
        <v>7224</v>
      </c>
      <c r="B1292" s="1" t="s">
        <v>7225</v>
      </c>
      <c r="C1292" t="s">
        <v>2050</v>
      </c>
      <c r="D1292" s="1" t="s">
        <v>7226</v>
      </c>
      <c r="E1292" t="b">
        <v>0</v>
      </c>
      <c r="F1292">
        <v>175</v>
      </c>
      <c r="G1292">
        <v>261</v>
      </c>
      <c r="H1292" t="s">
        <v>11</v>
      </c>
      <c r="I1292" t="b">
        <v>0</v>
      </c>
      <c r="J1292" cm="1">
        <f t="array" ref="J1292">sentimentCalc(B1292)</f>
        <v>0</v>
      </c>
      <c r="K1292" t="str" cm="1">
        <f t="array" ref="K1292">sentimentCategory(J1292)</f>
        <v>Neutral</v>
      </c>
    </row>
    <row r="1293" spans="1:11" ht="34" x14ac:dyDescent="0.2">
      <c r="A1293" t="s">
        <v>850</v>
      </c>
      <c r="B1293" s="1" t="s">
        <v>851</v>
      </c>
      <c r="C1293" t="s">
        <v>852</v>
      </c>
      <c r="D1293" s="1" t="s">
        <v>2</v>
      </c>
      <c r="E1293" t="b">
        <v>0</v>
      </c>
      <c r="F1293">
        <v>2902</v>
      </c>
      <c r="G1293">
        <v>434</v>
      </c>
      <c r="H1293" t="s">
        <v>11</v>
      </c>
      <c r="I1293" t="b">
        <v>0</v>
      </c>
      <c r="J1293" cm="1">
        <f t="array" ref="J1293">sentimentCalc(B1293)</f>
        <v>0</v>
      </c>
      <c r="K1293" t="str" cm="1">
        <f t="array" ref="K1293">sentimentCategory(J1293)</f>
        <v>Neutral</v>
      </c>
    </row>
    <row r="1294" spans="1:11" ht="34" x14ac:dyDescent="0.2">
      <c r="A1294" t="s">
        <v>3747</v>
      </c>
      <c r="B1294" s="1" t="s">
        <v>3748</v>
      </c>
      <c r="C1294" t="s">
        <v>806</v>
      </c>
      <c r="D1294" s="1" t="s">
        <v>3749</v>
      </c>
      <c r="E1294" t="b">
        <v>0</v>
      </c>
      <c r="F1294">
        <v>37</v>
      </c>
      <c r="G1294">
        <v>92</v>
      </c>
      <c r="H1294" t="s">
        <v>11</v>
      </c>
      <c r="I1294" t="b">
        <v>0</v>
      </c>
      <c r="J1294" cm="1">
        <f t="array" ref="J1294">sentimentCalc(B1294)</f>
        <v>-1</v>
      </c>
      <c r="K1294" t="str" cm="1">
        <f t="array" ref="K1294">sentimentCategory(J1294)</f>
        <v>Negative</v>
      </c>
    </row>
    <row r="1295" spans="1:11" ht="17" x14ac:dyDescent="0.2">
      <c r="A1295" t="s">
        <v>1497</v>
      </c>
      <c r="B1295" s="1" t="s">
        <v>1498</v>
      </c>
      <c r="C1295" t="s">
        <v>1499</v>
      </c>
      <c r="D1295" s="1" t="s">
        <v>1500</v>
      </c>
      <c r="E1295" t="b">
        <v>0</v>
      </c>
      <c r="F1295">
        <v>69</v>
      </c>
      <c r="G1295">
        <v>87</v>
      </c>
      <c r="H1295" t="s">
        <v>11</v>
      </c>
      <c r="I1295" t="b">
        <v>0</v>
      </c>
      <c r="J1295" cm="1">
        <f t="array" ref="J1295">sentimentCalc(B1295)</f>
        <v>0</v>
      </c>
      <c r="K1295" t="str" cm="1">
        <f t="array" ref="K1295">sentimentCategory(J1295)</f>
        <v>Neutral</v>
      </c>
    </row>
    <row r="1296" spans="1:11" ht="17" x14ac:dyDescent="0.2">
      <c r="A1296" t="s">
        <v>1703</v>
      </c>
      <c r="B1296" s="1" t="s">
        <v>1704</v>
      </c>
      <c r="C1296" t="s">
        <v>1705</v>
      </c>
      <c r="D1296" s="1" t="s">
        <v>1706</v>
      </c>
      <c r="E1296" t="b">
        <v>0</v>
      </c>
      <c r="F1296">
        <v>1879</v>
      </c>
      <c r="G1296">
        <v>1636</v>
      </c>
      <c r="H1296" t="s">
        <v>11</v>
      </c>
      <c r="I1296" t="b">
        <v>0</v>
      </c>
      <c r="J1296" cm="1">
        <f t="array" ref="J1296">sentimentCalc(B1296)</f>
        <v>0</v>
      </c>
      <c r="K1296" t="str" cm="1">
        <f t="array" ref="K1296">sentimentCategory(J1296)</f>
        <v>Neutral</v>
      </c>
    </row>
    <row r="1297" spans="1:11" ht="34" x14ac:dyDescent="0.2">
      <c r="A1297" t="s">
        <v>6919</v>
      </c>
      <c r="B1297" s="1" t="s">
        <v>6920</v>
      </c>
      <c r="C1297" t="s">
        <v>6921</v>
      </c>
      <c r="D1297" s="1" t="s">
        <v>61</v>
      </c>
      <c r="E1297" t="b">
        <v>0</v>
      </c>
      <c r="F1297">
        <v>64</v>
      </c>
      <c r="G1297">
        <v>223</v>
      </c>
      <c r="H1297" t="s">
        <v>11</v>
      </c>
      <c r="I1297" t="b">
        <v>0</v>
      </c>
      <c r="J1297" cm="1">
        <f t="array" ref="J1297">sentimentCalc(B1297)</f>
        <v>0</v>
      </c>
      <c r="K1297" t="str" cm="1">
        <f t="array" ref="K1297">sentimentCategory(J1297)</f>
        <v>Neutral</v>
      </c>
    </row>
    <row r="1298" spans="1:11" ht="34" x14ac:dyDescent="0.2">
      <c r="A1298" t="s">
        <v>2495</v>
      </c>
      <c r="B1298" s="1" t="s">
        <v>2496</v>
      </c>
      <c r="C1298" t="s">
        <v>104</v>
      </c>
      <c r="D1298" s="1" t="s">
        <v>2497</v>
      </c>
      <c r="E1298" t="b">
        <v>0</v>
      </c>
      <c r="F1298">
        <v>25</v>
      </c>
      <c r="G1298">
        <v>73</v>
      </c>
      <c r="H1298" t="s">
        <v>11</v>
      </c>
      <c r="I1298" t="b">
        <v>0</v>
      </c>
      <c r="J1298" cm="1">
        <f t="array" ref="J1298">sentimentCalc(B1298)</f>
        <v>1</v>
      </c>
      <c r="K1298" t="str" cm="1">
        <f t="array" ref="K1298">sentimentCategory(J1298)</f>
        <v>Positive</v>
      </c>
    </row>
    <row r="1299" spans="1:11" ht="34" x14ac:dyDescent="0.2">
      <c r="A1299" t="s">
        <v>527</v>
      </c>
      <c r="B1299" s="1" t="s">
        <v>528</v>
      </c>
      <c r="C1299" t="s">
        <v>529</v>
      </c>
      <c r="D1299" s="1" t="s">
        <v>530</v>
      </c>
      <c r="E1299" t="b">
        <v>0</v>
      </c>
      <c r="F1299">
        <v>27</v>
      </c>
      <c r="G1299">
        <v>477</v>
      </c>
      <c r="H1299" t="s">
        <v>11</v>
      </c>
      <c r="I1299" t="b">
        <v>0</v>
      </c>
      <c r="J1299" cm="1">
        <f t="array" ref="J1299">sentimentCalc(B1299)</f>
        <v>0</v>
      </c>
      <c r="K1299" t="str" cm="1">
        <f t="array" ref="K1299">sentimentCategory(J1299)</f>
        <v>Neutral</v>
      </c>
    </row>
    <row r="1300" spans="1:11" ht="34" x14ac:dyDescent="0.2">
      <c r="A1300" t="s">
        <v>6111</v>
      </c>
      <c r="B1300" s="1" t="s">
        <v>6112</v>
      </c>
      <c r="C1300" t="s">
        <v>5499</v>
      </c>
      <c r="D1300" s="1" t="s">
        <v>6113</v>
      </c>
      <c r="E1300" t="b">
        <v>0</v>
      </c>
      <c r="F1300">
        <v>1032</v>
      </c>
      <c r="G1300">
        <v>1810</v>
      </c>
      <c r="H1300" t="s">
        <v>11</v>
      </c>
      <c r="I1300" t="b">
        <v>0</v>
      </c>
      <c r="J1300" cm="1">
        <f t="array" ref="J1300">sentimentCalc(B1300)</f>
        <v>0</v>
      </c>
      <c r="K1300" t="str" cm="1">
        <f t="array" ref="K1300">sentimentCategory(J1300)</f>
        <v>Neutral</v>
      </c>
    </row>
    <row r="1301" spans="1:11" ht="34" x14ac:dyDescent="0.2">
      <c r="A1301" t="s">
        <v>2555</v>
      </c>
      <c r="B1301" s="1" t="s">
        <v>2556</v>
      </c>
      <c r="C1301" t="s">
        <v>1510</v>
      </c>
      <c r="D1301" s="1" t="s">
        <v>2</v>
      </c>
      <c r="E1301" t="b">
        <v>0</v>
      </c>
      <c r="F1301">
        <v>1</v>
      </c>
      <c r="G1301">
        <v>24</v>
      </c>
      <c r="H1301" t="s">
        <v>11</v>
      </c>
      <c r="I1301" t="b">
        <v>0</v>
      </c>
      <c r="J1301" cm="1">
        <f t="array" ref="J1301">sentimentCalc(B1301)</f>
        <v>0</v>
      </c>
      <c r="K1301" t="str" cm="1">
        <f t="array" ref="K1301">sentimentCategory(J1301)</f>
        <v>Neutral</v>
      </c>
    </row>
    <row r="1302" spans="1:11" ht="17" x14ac:dyDescent="0.2">
      <c r="A1302" t="s">
        <v>2088</v>
      </c>
      <c r="B1302" s="1" t="s">
        <v>2089</v>
      </c>
      <c r="C1302" t="s">
        <v>2090</v>
      </c>
      <c r="D1302" s="1" t="s">
        <v>2</v>
      </c>
      <c r="E1302" t="b">
        <v>0</v>
      </c>
      <c r="F1302">
        <v>3049</v>
      </c>
      <c r="G1302">
        <v>266</v>
      </c>
      <c r="H1302" t="s">
        <v>11</v>
      </c>
      <c r="I1302" t="b">
        <v>0</v>
      </c>
      <c r="J1302" cm="1">
        <f t="array" ref="J1302">sentimentCalc(B1302)</f>
        <v>0</v>
      </c>
      <c r="K1302" t="str" cm="1">
        <f t="array" ref="K1302">sentimentCategory(J1302)</f>
        <v>Neutral</v>
      </c>
    </row>
    <row r="1303" spans="1:11" ht="34" x14ac:dyDescent="0.2">
      <c r="A1303" t="s">
        <v>6387</v>
      </c>
      <c r="B1303" s="1" t="s">
        <v>6388</v>
      </c>
      <c r="C1303" t="s">
        <v>6389</v>
      </c>
      <c r="D1303" s="1" t="s">
        <v>6390</v>
      </c>
      <c r="E1303" t="b">
        <v>0</v>
      </c>
      <c r="F1303">
        <v>78</v>
      </c>
      <c r="G1303">
        <v>396</v>
      </c>
      <c r="H1303" t="s">
        <v>11</v>
      </c>
      <c r="I1303" t="b">
        <v>0</v>
      </c>
      <c r="J1303" cm="1">
        <f t="array" ref="J1303">sentimentCalc(B1303)</f>
        <v>0</v>
      </c>
      <c r="K1303" t="str" cm="1">
        <f t="array" ref="K1303">sentimentCategory(J1303)</f>
        <v>Neutral</v>
      </c>
    </row>
    <row r="1304" spans="1:11" ht="17" x14ac:dyDescent="0.2">
      <c r="A1304" t="s">
        <v>6763</v>
      </c>
      <c r="B1304" s="1" t="s">
        <v>6764</v>
      </c>
      <c r="C1304" t="s">
        <v>6765</v>
      </c>
      <c r="D1304" s="1" t="s">
        <v>6766</v>
      </c>
      <c r="E1304" t="b">
        <v>0</v>
      </c>
      <c r="F1304">
        <v>613</v>
      </c>
      <c r="G1304">
        <v>220</v>
      </c>
      <c r="H1304" t="s">
        <v>11</v>
      </c>
      <c r="I1304" t="b">
        <v>0</v>
      </c>
      <c r="J1304" cm="1">
        <f t="array" ref="J1304">sentimentCalc(B1304)</f>
        <v>0</v>
      </c>
      <c r="K1304" t="str" cm="1">
        <f t="array" ref="K1304">sentimentCategory(J1304)</f>
        <v>Neutral</v>
      </c>
    </row>
    <row r="1305" spans="1:11" ht="34" x14ac:dyDescent="0.2">
      <c r="A1305" t="s">
        <v>4751</v>
      </c>
      <c r="B1305" s="1" t="s">
        <v>4752</v>
      </c>
      <c r="C1305" t="s">
        <v>3721</v>
      </c>
      <c r="D1305" s="1" t="s">
        <v>829</v>
      </c>
      <c r="E1305" t="b">
        <v>0</v>
      </c>
      <c r="F1305">
        <v>39</v>
      </c>
      <c r="G1305">
        <v>52</v>
      </c>
      <c r="H1305" t="s">
        <v>11</v>
      </c>
      <c r="I1305" t="b">
        <v>0</v>
      </c>
      <c r="J1305" cm="1">
        <f t="array" ref="J1305">sentimentCalc(B1305)</f>
        <v>-1</v>
      </c>
      <c r="K1305" t="str" cm="1">
        <f t="array" ref="K1305">sentimentCategory(J1305)</f>
        <v>Negative</v>
      </c>
    </row>
    <row r="1306" spans="1:11" ht="17" x14ac:dyDescent="0.2">
      <c r="A1306" t="s">
        <v>404</v>
      </c>
      <c r="B1306" s="1" t="s">
        <v>405</v>
      </c>
      <c r="C1306" t="s">
        <v>406</v>
      </c>
      <c r="D1306" s="1" t="s">
        <v>407</v>
      </c>
      <c r="E1306" t="b">
        <v>0</v>
      </c>
      <c r="F1306">
        <v>281</v>
      </c>
      <c r="G1306">
        <v>267</v>
      </c>
      <c r="H1306" t="s">
        <v>11</v>
      </c>
      <c r="I1306" t="b">
        <v>0</v>
      </c>
      <c r="J1306" cm="1">
        <f t="array" ref="J1306">sentimentCalc(B1306)</f>
        <v>0</v>
      </c>
      <c r="K1306" t="str" cm="1">
        <f t="array" ref="K1306">sentimentCategory(J1306)</f>
        <v>Neutral</v>
      </c>
    </row>
    <row r="1307" spans="1:11" ht="17" x14ac:dyDescent="0.2">
      <c r="A1307" t="s">
        <v>6638</v>
      </c>
      <c r="B1307" s="1" t="s">
        <v>6639</v>
      </c>
      <c r="C1307" t="s">
        <v>1065</v>
      </c>
      <c r="D1307" s="1" t="s">
        <v>1662</v>
      </c>
      <c r="E1307" t="b">
        <v>0</v>
      </c>
      <c r="F1307">
        <v>1227</v>
      </c>
      <c r="G1307">
        <v>99</v>
      </c>
      <c r="H1307" t="s">
        <v>11</v>
      </c>
      <c r="I1307" t="b">
        <v>0</v>
      </c>
      <c r="J1307" cm="1">
        <f t="array" ref="J1307">sentimentCalc(B1307)</f>
        <v>0</v>
      </c>
      <c r="K1307" t="str" cm="1">
        <f t="array" ref="K1307">sentimentCategory(J1307)</f>
        <v>Neutral</v>
      </c>
    </row>
    <row r="1308" spans="1:11" ht="17" x14ac:dyDescent="0.2">
      <c r="A1308" t="s">
        <v>5080</v>
      </c>
      <c r="B1308" s="1" t="s">
        <v>5081</v>
      </c>
      <c r="C1308" t="s">
        <v>2619</v>
      </c>
      <c r="D1308" s="1" t="s">
        <v>2</v>
      </c>
      <c r="E1308" t="b">
        <v>0</v>
      </c>
      <c r="F1308">
        <v>954</v>
      </c>
      <c r="G1308">
        <v>475</v>
      </c>
      <c r="H1308" t="s">
        <v>11</v>
      </c>
      <c r="I1308" t="b">
        <v>0</v>
      </c>
      <c r="J1308" cm="1">
        <f t="array" ref="J1308">sentimentCalc(B1308)</f>
        <v>0</v>
      </c>
      <c r="K1308" t="str" cm="1">
        <f t="array" ref="K1308">sentimentCategory(J1308)</f>
        <v>Neutral</v>
      </c>
    </row>
    <row r="1309" spans="1:11" ht="34" x14ac:dyDescent="0.2">
      <c r="A1309" t="s">
        <v>493</v>
      </c>
      <c r="B1309" s="1" t="s">
        <v>494</v>
      </c>
      <c r="C1309" t="s">
        <v>495</v>
      </c>
      <c r="D1309" s="1" t="s">
        <v>496</v>
      </c>
      <c r="E1309" t="b">
        <v>0</v>
      </c>
      <c r="F1309">
        <v>216</v>
      </c>
      <c r="G1309">
        <v>219</v>
      </c>
      <c r="H1309" t="s">
        <v>11</v>
      </c>
      <c r="I1309" t="b">
        <v>0</v>
      </c>
      <c r="J1309" cm="1">
        <f t="array" ref="J1309">sentimentCalc(B1309)</f>
        <v>0</v>
      </c>
      <c r="K1309" t="str" cm="1">
        <f t="array" ref="K1309">sentimentCategory(J1309)</f>
        <v>Neutral</v>
      </c>
    </row>
    <row r="1310" spans="1:11" ht="34" x14ac:dyDescent="0.2">
      <c r="A1310" t="s">
        <v>5953</v>
      </c>
      <c r="B1310" s="1" t="s">
        <v>5954</v>
      </c>
      <c r="C1310" t="s">
        <v>1434</v>
      </c>
      <c r="D1310" s="1" t="s">
        <v>2</v>
      </c>
      <c r="E1310" t="b">
        <v>0</v>
      </c>
      <c r="F1310">
        <v>1645</v>
      </c>
      <c r="G1310">
        <v>1190</v>
      </c>
      <c r="H1310" t="s">
        <v>11</v>
      </c>
      <c r="I1310" t="b">
        <v>0</v>
      </c>
      <c r="J1310" cm="1">
        <f t="array" ref="J1310">sentimentCalc(B1310)</f>
        <v>1</v>
      </c>
      <c r="K1310" t="str" cm="1">
        <f t="array" ref="K1310">sentimentCategory(J1310)</f>
        <v>Positive</v>
      </c>
    </row>
    <row r="1311" spans="1:11" ht="34" x14ac:dyDescent="0.2">
      <c r="A1311" t="s">
        <v>6646</v>
      </c>
      <c r="B1311" s="1" t="s">
        <v>6647</v>
      </c>
      <c r="C1311" t="s">
        <v>1044</v>
      </c>
      <c r="D1311" s="1" t="s">
        <v>1023</v>
      </c>
      <c r="E1311" t="b">
        <v>0</v>
      </c>
      <c r="F1311">
        <v>393</v>
      </c>
      <c r="G1311">
        <v>781</v>
      </c>
      <c r="H1311" t="s">
        <v>11</v>
      </c>
      <c r="I1311" t="b">
        <v>0</v>
      </c>
      <c r="J1311" cm="1">
        <f t="array" ref="J1311">sentimentCalc(B1311)</f>
        <v>-1</v>
      </c>
      <c r="K1311" t="str" cm="1">
        <f t="array" ref="K1311">sentimentCategory(J1311)</f>
        <v>Negative</v>
      </c>
    </row>
    <row r="1312" spans="1:11" ht="34" x14ac:dyDescent="0.2">
      <c r="A1312" t="s">
        <v>5678</v>
      </c>
      <c r="B1312" s="1" t="s">
        <v>5679</v>
      </c>
      <c r="C1312" t="s">
        <v>5680</v>
      </c>
      <c r="D1312" s="1" t="s">
        <v>730</v>
      </c>
      <c r="E1312" t="b">
        <v>0</v>
      </c>
      <c r="F1312">
        <v>492</v>
      </c>
      <c r="G1312">
        <v>576</v>
      </c>
      <c r="H1312" t="s">
        <v>11</v>
      </c>
      <c r="I1312" t="b">
        <v>0</v>
      </c>
      <c r="J1312" cm="1">
        <f t="array" ref="J1312">sentimentCalc(B1312)</f>
        <v>0</v>
      </c>
      <c r="K1312" t="str" cm="1">
        <f t="array" ref="K1312">sentimentCategory(J1312)</f>
        <v>Neutral</v>
      </c>
    </row>
    <row r="1313" spans="1:11" ht="34" x14ac:dyDescent="0.2">
      <c r="A1313" t="s">
        <v>5094</v>
      </c>
      <c r="B1313" s="1" t="s">
        <v>5095</v>
      </c>
      <c r="C1313" t="s">
        <v>1065</v>
      </c>
      <c r="D1313" s="1" t="s">
        <v>2</v>
      </c>
      <c r="E1313" t="b">
        <v>0</v>
      </c>
      <c r="F1313">
        <v>946</v>
      </c>
      <c r="G1313">
        <v>459</v>
      </c>
      <c r="H1313" t="s">
        <v>11</v>
      </c>
      <c r="I1313" t="b">
        <v>0</v>
      </c>
      <c r="J1313" cm="1">
        <f t="array" ref="J1313">sentimentCalc(B1313)</f>
        <v>1</v>
      </c>
      <c r="K1313" t="str" cm="1">
        <f t="array" ref="K1313">sentimentCategory(J1313)</f>
        <v>Positive</v>
      </c>
    </row>
    <row r="1314" spans="1:11" ht="17" x14ac:dyDescent="0.2">
      <c r="A1314" t="s">
        <v>5560</v>
      </c>
      <c r="B1314" s="1" t="s">
        <v>5561</v>
      </c>
      <c r="C1314" t="s">
        <v>5562</v>
      </c>
      <c r="D1314" s="1" t="s">
        <v>2</v>
      </c>
      <c r="E1314" t="b">
        <v>0</v>
      </c>
      <c r="F1314">
        <v>339</v>
      </c>
      <c r="G1314">
        <v>324</v>
      </c>
      <c r="H1314" t="s">
        <v>11</v>
      </c>
      <c r="I1314" t="b">
        <v>0</v>
      </c>
      <c r="J1314" cm="1">
        <f t="array" ref="J1314">sentimentCalc(B1314)</f>
        <v>0</v>
      </c>
      <c r="K1314" t="str" cm="1">
        <f t="array" ref="K1314">sentimentCategory(J1314)</f>
        <v>Neutral</v>
      </c>
    </row>
    <row r="1315" spans="1:11" ht="34" x14ac:dyDescent="0.2">
      <c r="A1315" t="s">
        <v>5737</v>
      </c>
      <c r="B1315" s="1" t="s">
        <v>5738</v>
      </c>
      <c r="C1315" t="s">
        <v>3608</v>
      </c>
      <c r="D1315" s="1" t="s">
        <v>980</v>
      </c>
      <c r="E1315" t="b">
        <v>0</v>
      </c>
      <c r="F1315">
        <v>572</v>
      </c>
      <c r="G1315">
        <v>961</v>
      </c>
      <c r="H1315" t="s">
        <v>11</v>
      </c>
      <c r="I1315" t="b">
        <v>0</v>
      </c>
      <c r="J1315" cm="1">
        <f t="array" ref="J1315">sentimentCalc(B1315)</f>
        <v>2</v>
      </c>
      <c r="K1315" t="str" cm="1">
        <f t="array" ref="K1315">sentimentCategory(J1315)</f>
        <v>Positive</v>
      </c>
    </row>
    <row r="1316" spans="1:11" ht="17" x14ac:dyDescent="0.2">
      <c r="A1316" t="s">
        <v>3079</v>
      </c>
      <c r="B1316" s="1" t="s">
        <v>3080</v>
      </c>
      <c r="C1316" t="s">
        <v>3081</v>
      </c>
      <c r="D1316" s="1" t="s">
        <v>2</v>
      </c>
      <c r="E1316" t="b">
        <v>0</v>
      </c>
      <c r="F1316">
        <v>1</v>
      </c>
      <c r="G1316">
        <v>45</v>
      </c>
      <c r="H1316" t="s">
        <v>11</v>
      </c>
      <c r="I1316" t="b">
        <v>0</v>
      </c>
      <c r="J1316" cm="1">
        <f t="array" ref="J1316">sentimentCalc(B1316)</f>
        <v>0</v>
      </c>
      <c r="K1316" t="str" cm="1">
        <f t="array" ref="K1316">sentimentCategory(J1316)</f>
        <v>Neutral</v>
      </c>
    </row>
    <row r="1317" spans="1:11" ht="17" x14ac:dyDescent="0.2">
      <c r="A1317" t="s">
        <v>5394</v>
      </c>
      <c r="B1317" s="1" t="s">
        <v>5395</v>
      </c>
      <c r="C1317" t="s">
        <v>726</v>
      </c>
      <c r="D1317" s="1" t="s">
        <v>2</v>
      </c>
      <c r="E1317" t="b">
        <v>0</v>
      </c>
      <c r="F1317">
        <v>49</v>
      </c>
      <c r="G1317">
        <v>146</v>
      </c>
      <c r="H1317" t="s">
        <v>11</v>
      </c>
      <c r="I1317" t="b">
        <v>0</v>
      </c>
      <c r="J1317" cm="1">
        <f t="array" ref="J1317">sentimentCalc(B1317)</f>
        <v>1</v>
      </c>
      <c r="K1317" t="str" cm="1">
        <f t="array" ref="K1317">sentimentCategory(J1317)</f>
        <v>Positive</v>
      </c>
    </row>
    <row r="1318" spans="1:11" ht="17" x14ac:dyDescent="0.2">
      <c r="A1318" t="s">
        <v>2615</v>
      </c>
      <c r="B1318" s="1" t="s">
        <v>2616</v>
      </c>
      <c r="C1318" t="s">
        <v>100</v>
      </c>
      <c r="D1318" s="1" t="s">
        <v>2</v>
      </c>
      <c r="E1318" t="b">
        <v>0</v>
      </c>
      <c r="F1318">
        <v>0</v>
      </c>
      <c r="G1318">
        <v>0</v>
      </c>
      <c r="H1318" t="s">
        <v>359</v>
      </c>
      <c r="I1318" t="b">
        <v>0</v>
      </c>
      <c r="J1318" cm="1">
        <f t="array" ref="J1318">sentimentCalc(B1318)</f>
        <v>0</v>
      </c>
      <c r="K1318" t="str" cm="1">
        <f t="array" ref="K1318">sentimentCategory(J1318)</f>
        <v>Neutral</v>
      </c>
    </row>
    <row r="1319" spans="1:11" ht="17" x14ac:dyDescent="0.2">
      <c r="A1319" t="s">
        <v>3126</v>
      </c>
      <c r="B1319" s="1" t="s">
        <v>3127</v>
      </c>
      <c r="C1319" t="s">
        <v>1342</v>
      </c>
      <c r="D1319" s="1" t="s">
        <v>1732</v>
      </c>
      <c r="E1319" t="b">
        <v>0</v>
      </c>
      <c r="F1319">
        <v>101</v>
      </c>
      <c r="G1319">
        <v>44</v>
      </c>
      <c r="H1319" t="s">
        <v>11</v>
      </c>
      <c r="I1319" t="b">
        <v>0</v>
      </c>
      <c r="J1319" cm="1">
        <f t="array" ref="J1319">sentimentCalc(B1319)</f>
        <v>0</v>
      </c>
      <c r="K1319" t="str" cm="1">
        <f t="array" ref="K1319">sentimentCategory(J1319)</f>
        <v>Neutral</v>
      </c>
    </row>
    <row r="1320" spans="1:11" ht="17" x14ac:dyDescent="0.2">
      <c r="A1320" t="s">
        <v>3611</v>
      </c>
      <c r="B1320" s="1" t="s">
        <v>3612</v>
      </c>
      <c r="C1320" t="s">
        <v>3613</v>
      </c>
      <c r="D1320" s="1" t="s">
        <v>3614</v>
      </c>
      <c r="E1320" t="b">
        <v>0</v>
      </c>
      <c r="F1320">
        <v>595</v>
      </c>
      <c r="G1320">
        <v>531</v>
      </c>
      <c r="H1320" t="s">
        <v>11</v>
      </c>
      <c r="I1320" t="b">
        <v>0</v>
      </c>
      <c r="J1320" cm="1">
        <f t="array" ref="J1320">sentimentCalc(B1320)</f>
        <v>0</v>
      </c>
      <c r="K1320" t="str" cm="1">
        <f t="array" ref="K1320">sentimentCategory(J1320)</f>
        <v>Neutral</v>
      </c>
    </row>
    <row r="1321" spans="1:11" ht="34" x14ac:dyDescent="0.2">
      <c r="A1321" t="s">
        <v>3669</v>
      </c>
      <c r="B1321" s="1" t="s">
        <v>3670</v>
      </c>
      <c r="C1321" t="s">
        <v>3671</v>
      </c>
      <c r="D1321" s="1" t="s">
        <v>418</v>
      </c>
      <c r="E1321" t="b">
        <v>0</v>
      </c>
      <c r="F1321">
        <v>100</v>
      </c>
      <c r="G1321">
        <v>258</v>
      </c>
      <c r="H1321" t="s">
        <v>11</v>
      </c>
      <c r="I1321" t="b">
        <v>0</v>
      </c>
      <c r="J1321" cm="1">
        <f t="array" ref="J1321">sentimentCalc(B1321)</f>
        <v>-1</v>
      </c>
      <c r="K1321" t="str" cm="1">
        <f t="array" ref="K1321">sentimentCategory(J1321)</f>
        <v>Negative</v>
      </c>
    </row>
    <row r="1322" spans="1:11" ht="34" x14ac:dyDescent="0.2">
      <c r="A1322" t="s">
        <v>7086</v>
      </c>
      <c r="B1322" s="1" t="s">
        <v>7087</v>
      </c>
      <c r="C1322" t="s">
        <v>995</v>
      </c>
      <c r="D1322" s="1" t="s">
        <v>2</v>
      </c>
      <c r="E1322" t="b">
        <v>0</v>
      </c>
      <c r="F1322">
        <v>599</v>
      </c>
      <c r="G1322">
        <v>297</v>
      </c>
      <c r="H1322" t="s">
        <v>11</v>
      </c>
      <c r="I1322" t="b">
        <v>0</v>
      </c>
      <c r="J1322" cm="1">
        <f t="array" ref="J1322">sentimentCalc(B1322)</f>
        <v>0</v>
      </c>
      <c r="K1322" t="str" cm="1">
        <f t="array" ref="K1322">sentimentCategory(J1322)</f>
        <v>Neutral</v>
      </c>
    </row>
    <row r="1323" spans="1:11" ht="17" x14ac:dyDescent="0.2">
      <c r="A1323" t="s">
        <v>1311</v>
      </c>
      <c r="B1323" s="1" t="s">
        <v>1312</v>
      </c>
      <c r="C1323" t="s">
        <v>1313</v>
      </c>
      <c r="D1323" s="1" t="s">
        <v>1314</v>
      </c>
      <c r="E1323" t="b">
        <v>0</v>
      </c>
      <c r="F1323">
        <v>833</v>
      </c>
      <c r="G1323">
        <v>495</v>
      </c>
      <c r="H1323" t="s">
        <v>11</v>
      </c>
      <c r="I1323" t="b">
        <v>0</v>
      </c>
      <c r="J1323" cm="1">
        <f t="array" ref="J1323">sentimentCalc(B1323)</f>
        <v>0</v>
      </c>
      <c r="K1323" t="str" cm="1">
        <f t="array" ref="K1323">sentimentCategory(J1323)</f>
        <v>Neutral</v>
      </c>
    </row>
    <row r="1324" spans="1:11" ht="17" x14ac:dyDescent="0.2">
      <c r="A1324" t="s">
        <v>3055</v>
      </c>
      <c r="B1324" s="1" t="s">
        <v>3056</v>
      </c>
      <c r="C1324" t="s">
        <v>898</v>
      </c>
      <c r="D1324" s="1" t="s">
        <v>2</v>
      </c>
      <c r="E1324" t="b">
        <v>0</v>
      </c>
      <c r="F1324">
        <v>200</v>
      </c>
      <c r="G1324">
        <v>150</v>
      </c>
      <c r="H1324" t="s">
        <v>11</v>
      </c>
      <c r="I1324" t="b">
        <v>0</v>
      </c>
      <c r="J1324" cm="1">
        <f t="array" ref="J1324">sentimentCalc(B1324)</f>
        <v>0</v>
      </c>
      <c r="K1324" t="str" cm="1">
        <f t="array" ref="K1324">sentimentCategory(J1324)</f>
        <v>Neutral</v>
      </c>
    </row>
    <row r="1325" spans="1:11" ht="17" x14ac:dyDescent="0.2">
      <c r="A1325" t="s">
        <v>2396</v>
      </c>
      <c r="B1325" s="1" t="s">
        <v>2397</v>
      </c>
      <c r="C1325" t="s">
        <v>2398</v>
      </c>
      <c r="D1325" s="1" t="s">
        <v>2399</v>
      </c>
      <c r="E1325" t="b">
        <v>0</v>
      </c>
      <c r="F1325">
        <v>66</v>
      </c>
      <c r="G1325">
        <v>92</v>
      </c>
      <c r="H1325" t="s">
        <v>11</v>
      </c>
      <c r="I1325" t="b">
        <v>0</v>
      </c>
      <c r="J1325" cm="1">
        <f t="array" ref="J1325">sentimentCalc(B1325)</f>
        <v>0</v>
      </c>
      <c r="K1325" t="str" cm="1">
        <f t="array" ref="K1325">sentimentCategory(J1325)</f>
        <v>Neutral</v>
      </c>
    </row>
    <row r="1326" spans="1:11" ht="17" x14ac:dyDescent="0.2">
      <c r="A1326" t="s">
        <v>2655</v>
      </c>
      <c r="B1326" s="1" t="s">
        <v>2656</v>
      </c>
      <c r="C1326" t="s">
        <v>2657</v>
      </c>
      <c r="D1326" s="1" t="s">
        <v>2658</v>
      </c>
      <c r="E1326" t="b">
        <v>0</v>
      </c>
      <c r="F1326">
        <v>2076</v>
      </c>
      <c r="G1326">
        <v>300</v>
      </c>
      <c r="H1326" t="s">
        <v>11</v>
      </c>
      <c r="I1326" t="b">
        <v>0</v>
      </c>
      <c r="J1326" cm="1">
        <f t="array" ref="J1326">sentimentCalc(B1326)</f>
        <v>0</v>
      </c>
      <c r="K1326" t="str" cm="1">
        <f t="array" ref="K1326">sentimentCategory(J1326)</f>
        <v>Neutral</v>
      </c>
    </row>
    <row r="1327" spans="1:11" ht="34" x14ac:dyDescent="0.2">
      <c r="A1327" t="s">
        <v>3003</v>
      </c>
      <c r="B1327" s="1" t="s">
        <v>3004</v>
      </c>
      <c r="C1327" t="s">
        <v>2642</v>
      </c>
      <c r="D1327" s="1" t="s">
        <v>2256</v>
      </c>
      <c r="E1327" t="b">
        <v>0</v>
      </c>
      <c r="F1327">
        <v>107</v>
      </c>
      <c r="G1327">
        <v>67</v>
      </c>
      <c r="H1327" t="s">
        <v>11</v>
      </c>
      <c r="I1327" t="b">
        <v>0</v>
      </c>
      <c r="J1327" cm="1">
        <f t="array" ref="J1327">sentimentCalc(B1327)</f>
        <v>0</v>
      </c>
      <c r="K1327" t="str" cm="1">
        <f t="array" ref="K1327">sentimentCategory(J1327)</f>
        <v>Neutral</v>
      </c>
    </row>
    <row r="1328" spans="1:11" ht="17" x14ac:dyDescent="0.2">
      <c r="A1328" t="s">
        <v>2378</v>
      </c>
      <c r="B1328" s="1" t="s">
        <v>2379</v>
      </c>
      <c r="C1328" t="s">
        <v>483</v>
      </c>
      <c r="D1328" s="1" t="s">
        <v>2</v>
      </c>
      <c r="E1328" t="b">
        <v>0</v>
      </c>
      <c r="F1328">
        <v>13924</v>
      </c>
      <c r="G1328">
        <v>598</v>
      </c>
      <c r="H1328" t="s">
        <v>11</v>
      </c>
      <c r="I1328" t="b">
        <v>0</v>
      </c>
      <c r="J1328" cm="1">
        <f t="array" ref="J1328">sentimentCalc(B1328)</f>
        <v>0</v>
      </c>
      <c r="K1328" t="str" cm="1">
        <f t="array" ref="K1328">sentimentCategory(J1328)</f>
        <v>Neutral</v>
      </c>
    </row>
    <row r="1329" spans="1:11" ht="34" x14ac:dyDescent="0.2">
      <c r="A1329" t="s">
        <v>1006</v>
      </c>
      <c r="B1329" s="1" t="s">
        <v>1007</v>
      </c>
      <c r="C1329" t="s">
        <v>1008</v>
      </c>
      <c r="D1329" s="1" t="s">
        <v>1009</v>
      </c>
      <c r="E1329" t="b">
        <v>0</v>
      </c>
      <c r="F1329">
        <v>109</v>
      </c>
      <c r="G1329">
        <v>382</v>
      </c>
      <c r="H1329" t="s">
        <v>11</v>
      </c>
      <c r="I1329" t="b">
        <v>0</v>
      </c>
      <c r="J1329" cm="1">
        <f t="array" ref="J1329">sentimentCalc(B1329)</f>
        <v>0</v>
      </c>
      <c r="K1329" t="str" cm="1">
        <f t="array" ref="K1329">sentimentCategory(J1329)</f>
        <v>Neutral</v>
      </c>
    </row>
    <row r="1330" spans="1:11" ht="34" x14ac:dyDescent="0.2">
      <c r="A1330" t="s">
        <v>6287</v>
      </c>
      <c r="B1330" s="1" t="s">
        <v>6288</v>
      </c>
      <c r="C1330" t="s">
        <v>944</v>
      </c>
      <c r="D1330" s="1" t="s">
        <v>2</v>
      </c>
      <c r="E1330" t="b">
        <v>0</v>
      </c>
      <c r="F1330">
        <v>147</v>
      </c>
      <c r="G1330">
        <v>142</v>
      </c>
      <c r="H1330" t="s">
        <v>47</v>
      </c>
      <c r="I1330" t="b">
        <v>0</v>
      </c>
      <c r="J1330" cm="1">
        <f t="array" ref="J1330">sentimentCalc(B1330)</f>
        <v>0</v>
      </c>
      <c r="K1330" t="str" cm="1">
        <f t="array" ref="K1330">sentimentCategory(J1330)</f>
        <v>Neutral</v>
      </c>
    </row>
    <row r="1331" spans="1:11" ht="17" x14ac:dyDescent="0.2">
      <c r="A1331" t="s">
        <v>3482</v>
      </c>
      <c r="B1331" s="1" t="s">
        <v>3483</v>
      </c>
      <c r="C1331" t="s">
        <v>3484</v>
      </c>
      <c r="D1331" s="1" t="s">
        <v>3485</v>
      </c>
      <c r="E1331" t="b">
        <v>0</v>
      </c>
      <c r="F1331">
        <v>934</v>
      </c>
      <c r="G1331">
        <v>776</v>
      </c>
      <c r="H1331" t="s">
        <v>11</v>
      </c>
      <c r="I1331" t="b">
        <v>0</v>
      </c>
      <c r="J1331" cm="1">
        <f t="array" ref="J1331">sentimentCalc(B1331)</f>
        <v>0</v>
      </c>
      <c r="K1331" t="str" cm="1">
        <f t="array" ref="K1331">sentimentCategory(J1331)</f>
        <v>Neutral</v>
      </c>
    </row>
    <row r="1332" spans="1:11" ht="17" x14ac:dyDescent="0.2">
      <c r="A1332" t="s">
        <v>3806</v>
      </c>
      <c r="B1332" s="1" t="s">
        <v>3807</v>
      </c>
      <c r="C1332" t="s">
        <v>3638</v>
      </c>
      <c r="D1332" s="1" t="s">
        <v>2331</v>
      </c>
      <c r="E1332" t="b">
        <v>0</v>
      </c>
      <c r="F1332">
        <v>798</v>
      </c>
      <c r="G1332">
        <v>1616</v>
      </c>
      <c r="H1332" t="s">
        <v>11</v>
      </c>
      <c r="I1332" t="b">
        <v>0</v>
      </c>
      <c r="J1332" cm="1">
        <f t="array" ref="J1332">sentimentCalc(B1332)</f>
        <v>0</v>
      </c>
      <c r="K1332" t="str" cm="1">
        <f t="array" ref="K1332">sentimentCategory(J1332)</f>
        <v>Neutral</v>
      </c>
    </row>
    <row r="1333" spans="1:11" ht="34" x14ac:dyDescent="0.2">
      <c r="A1333" t="s">
        <v>7198</v>
      </c>
      <c r="B1333" s="1" t="s">
        <v>7199</v>
      </c>
      <c r="C1333" t="s">
        <v>736</v>
      </c>
      <c r="D1333" s="1" t="s">
        <v>2</v>
      </c>
      <c r="E1333" t="b">
        <v>0</v>
      </c>
      <c r="F1333">
        <v>17347</v>
      </c>
      <c r="G1333">
        <v>12516</v>
      </c>
      <c r="H1333" t="s">
        <v>11</v>
      </c>
      <c r="I1333" t="b">
        <v>0</v>
      </c>
      <c r="J1333" cm="1">
        <f t="array" ref="J1333">sentimentCalc(B1333)</f>
        <v>1</v>
      </c>
      <c r="K1333" t="str" cm="1">
        <f t="array" ref="K1333">sentimentCategory(J1333)</f>
        <v>Positive</v>
      </c>
    </row>
    <row r="1334" spans="1:11" ht="17" x14ac:dyDescent="0.2">
      <c r="A1334" t="s">
        <v>7061</v>
      </c>
      <c r="B1334" s="1" t="s">
        <v>7062</v>
      </c>
      <c r="C1334" t="s">
        <v>7063</v>
      </c>
      <c r="D1334" s="1" t="s">
        <v>7064</v>
      </c>
      <c r="E1334" t="b">
        <v>0</v>
      </c>
      <c r="F1334">
        <v>19</v>
      </c>
      <c r="G1334">
        <v>66</v>
      </c>
      <c r="H1334" t="s">
        <v>11</v>
      </c>
      <c r="I1334" t="b">
        <v>0</v>
      </c>
      <c r="J1334" cm="1">
        <f t="array" ref="J1334">sentimentCalc(B1334)</f>
        <v>0</v>
      </c>
      <c r="K1334" t="str" cm="1">
        <f t="array" ref="K1334">sentimentCategory(J1334)</f>
        <v>Neutral</v>
      </c>
    </row>
    <row r="1335" spans="1:11" ht="34" x14ac:dyDescent="0.2">
      <c r="A1335" t="s">
        <v>6222</v>
      </c>
      <c r="B1335" s="1" t="s">
        <v>6223</v>
      </c>
      <c r="C1335" t="s">
        <v>2991</v>
      </c>
      <c r="D1335" s="1" t="s">
        <v>6224</v>
      </c>
      <c r="E1335" t="b">
        <v>0</v>
      </c>
      <c r="F1335">
        <v>49</v>
      </c>
      <c r="G1335">
        <v>472</v>
      </c>
      <c r="H1335" t="s">
        <v>11</v>
      </c>
      <c r="I1335" t="b">
        <v>0</v>
      </c>
      <c r="J1335" cm="1">
        <f t="array" ref="J1335">sentimentCalc(B1335)</f>
        <v>0</v>
      </c>
      <c r="K1335" t="str" cm="1">
        <f t="array" ref="K1335">sentimentCategory(J1335)</f>
        <v>Neutral</v>
      </c>
    </row>
    <row r="1336" spans="1:11" ht="34" x14ac:dyDescent="0.2">
      <c r="A1336" t="s">
        <v>6342</v>
      </c>
      <c r="B1336" s="1" t="s">
        <v>6343</v>
      </c>
      <c r="C1336" t="s">
        <v>726</v>
      </c>
      <c r="D1336" s="1" t="s">
        <v>1453</v>
      </c>
      <c r="E1336" t="b">
        <v>0</v>
      </c>
      <c r="F1336">
        <v>48</v>
      </c>
      <c r="G1336">
        <v>62</v>
      </c>
      <c r="H1336" t="s">
        <v>11</v>
      </c>
      <c r="I1336" t="b">
        <v>0</v>
      </c>
      <c r="J1336" cm="1">
        <f t="array" ref="J1336">sentimentCalc(B1336)</f>
        <v>0</v>
      </c>
      <c r="K1336" t="str" cm="1">
        <f t="array" ref="K1336">sentimentCategory(J1336)</f>
        <v>Neutral</v>
      </c>
    </row>
    <row r="1337" spans="1:11" ht="34" x14ac:dyDescent="0.2">
      <c r="A1337" t="s">
        <v>5820</v>
      </c>
      <c r="B1337" s="1" t="s">
        <v>5821</v>
      </c>
      <c r="C1337" t="s">
        <v>607</v>
      </c>
      <c r="D1337" s="1" t="s">
        <v>2986</v>
      </c>
      <c r="E1337" t="b">
        <v>0</v>
      </c>
      <c r="F1337">
        <v>138</v>
      </c>
      <c r="G1337">
        <v>148</v>
      </c>
      <c r="H1337" t="s">
        <v>11</v>
      </c>
      <c r="I1337" t="b">
        <v>0</v>
      </c>
      <c r="J1337" cm="1">
        <f t="array" ref="J1337">sentimentCalc(B1337)</f>
        <v>0</v>
      </c>
      <c r="K1337" t="str" cm="1">
        <f t="array" ref="K1337">sentimentCategory(J1337)</f>
        <v>Neutral</v>
      </c>
    </row>
    <row r="1338" spans="1:11" ht="34" x14ac:dyDescent="0.2">
      <c r="A1338" t="s">
        <v>5294</v>
      </c>
      <c r="B1338" s="1" t="s">
        <v>5295</v>
      </c>
      <c r="C1338" t="s">
        <v>5296</v>
      </c>
      <c r="D1338" s="1" t="s">
        <v>5297</v>
      </c>
      <c r="E1338" t="b">
        <v>0</v>
      </c>
      <c r="F1338">
        <v>42</v>
      </c>
      <c r="G1338">
        <v>176</v>
      </c>
      <c r="H1338" t="s">
        <v>11</v>
      </c>
      <c r="I1338" t="b">
        <v>0</v>
      </c>
      <c r="J1338" cm="1">
        <f t="array" ref="J1338">sentimentCalc(B1338)</f>
        <v>0</v>
      </c>
      <c r="K1338" t="str" cm="1">
        <f t="array" ref="K1338">sentimentCategory(J1338)</f>
        <v>Neutral</v>
      </c>
    </row>
    <row r="1339" spans="1:11" ht="34" x14ac:dyDescent="0.2">
      <c r="A1339" t="s">
        <v>5747</v>
      </c>
      <c r="B1339" s="1" t="s">
        <v>5748</v>
      </c>
      <c r="C1339" t="s">
        <v>5749</v>
      </c>
      <c r="D1339" s="1" t="s">
        <v>2</v>
      </c>
      <c r="E1339" t="b">
        <v>0</v>
      </c>
      <c r="F1339">
        <v>12</v>
      </c>
      <c r="G1339">
        <v>34</v>
      </c>
      <c r="H1339" t="s">
        <v>11</v>
      </c>
      <c r="I1339" t="b">
        <v>0</v>
      </c>
      <c r="J1339" cm="1">
        <f t="array" ref="J1339">sentimentCalc(B1339)</f>
        <v>0</v>
      </c>
      <c r="K1339" t="str" cm="1">
        <f t="array" ref="K1339">sentimentCategory(J1339)</f>
        <v>Neutral</v>
      </c>
    </row>
    <row r="1340" spans="1:11" ht="17" x14ac:dyDescent="0.2">
      <c r="A1340" t="s">
        <v>3549</v>
      </c>
      <c r="B1340" s="1" t="s">
        <v>3550</v>
      </c>
      <c r="C1340" t="s">
        <v>2421</v>
      </c>
      <c r="D1340" s="1" t="s">
        <v>2</v>
      </c>
      <c r="E1340" t="b">
        <v>0</v>
      </c>
      <c r="F1340">
        <v>82</v>
      </c>
      <c r="G1340">
        <v>91</v>
      </c>
      <c r="H1340" t="s">
        <v>11</v>
      </c>
      <c r="I1340" t="b">
        <v>0</v>
      </c>
      <c r="J1340" cm="1">
        <f t="array" ref="J1340">sentimentCalc(B1340)</f>
        <v>0</v>
      </c>
      <c r="K1340" t="str" cm="1">
        <f t="array" ref="K1340">sentimentCategory(J1340)</f>
        <v>Neutral</v>
      </c>
    </row>
    <row r="1341" spans="1:11" ht="34" x14ac:dyDescent="0.2">
      <c r="A1341" t="s">
        <v>3909</v>
      </c>
      <c r="B1341" s="1" t="s">
        <v>3910</v>
      </c>
      <c r="C1341" t="s">
        <v>1592</v>
      </c>
      <c r="D1341" s="1" t="s">
        <v>1593</v>
      </c>
      <c r="E1341" t="b">
        <v>0</v>
      </c>
      <c r="F1341">
        <v>4</v>
      </c>
      <c r="G1341">
        <v>0</v>
      </c>
      <c r="H1341" t="s">
        <v>11</v>
      </c>
      <c r="I1341" t="b">
        <v>0</v>
      </c>
      <c r="J1341" cm="1">
        <f t="array" ref="J1341">sentimentCalc(B1341)</f>
        <v>0</v>
      </c>
      <c r="K1341" t="str" cm="1">
        <f t="array" ref="K1341">sentimentCategory(J1341)</f>
        <v>Neutral</v>
      </c>
    </row>
    <row r="1342" spans="1:11" ht="17" x14ac:dyDescent="0.2">
      <c r="A1342" t="s">
        <v>6968</v>
      </c>
      <c r="B1342" s="1" t="s">
        <v>6969</v>
      </c>
      <c r="C1342" t="s">
        <v>6970</v>
      </c>
      <c r="D1342" s="1" t="s">
        <v>6971</v>
      </c>
      <c r="E1342" t="b">
        <v>0</v>
      </c>
      <c r="F1342">
        <v>421</v>
      </c>
      <c r="G1342">
        <v>270</v>
      </c>
      <c r="H1342" t="s">
        <v>11</v>
      </c>
      <c r="I1342" t="b">
        <v>0</v>
      </c>
      <c r="J1342" cm="1">
        <f t="array" ref="J1342">sentimentCalc(B1342)</f>
        <v>0</v>
      </c>
      <c r="K1342" t="str" cm="1">
        <f t="array" ref="K1342">sentimentCategory(J1342)</f>
        <v>Neutral</v>
      </c>
    </row>
    <row r="1343" spans="1:11" ht="17" x14ac:dyDescent="0.2">
      <c r="A1343" t="s">
        <v>3459</v>
      </c>
      <c r="B1343" s="1" t="s">
        <v>3460</v>
      </c>
      <c r="C1343" t="s">
        <v>3461</v>
      </c>
      <c r="D1343" s="1" t="s">
        <v>3462</v>
      </c>
      <c r="E1343" t="b">
        <v>0</v>
      </c>
      <c r="F1343">
        <v>157</v>
      </c>
      <c r="G1343">
        <v>234</v>
      </c>
      <c r="H1343" t="s">
        <v>11</v>
      </c>
      <c r="I1343" t="b">
        <v>0</v>
      </c>
      <c r="J1343" cm="1">
        <f t="array" ref="J1343">sentimentCalc(B1343)</f>
        <v>0</v>
      </c>
      <c r="K1343" t="str" cm="1">
        <f t="array" ref="K1343">sentimentCategory(J1343)</f>
        <v>Neutral</v>
      </c>
    </row>
    <row r="1344" spans="1:11" ht="34" x14ac:dyDescent="0.2">
      <c r="A1344" t="s">
        <v>3676</v>
      </c>
      <c r="B1344" s="1" t="s">
        <v>3677</v>
      </c>
      <c r="C1344" t="s">
        <v>3678</v>
      </c>
      <c r="D1344" s="1" t="s">
        <v>3679</v>
      </c>
      <c r="E1344" t="b">
        <v>0</v>
      </c>
      <c r="F1344">
        <v>2771</v>
      </c>
      <c r="G1344">
        <v>457</v>
      </c>
      <c r="H1344" t="s">
        <v>11</v>
      </c>
      <c r="I1344" t="b">
        <v>0</v>
      </c>
      <c r="J1344" cm="1">
        <f t="array" ref="J1344">sentimentCalc(B1344)</f>
        <v>0</v>
      </c>
      <c r="K1344" t="str" cm="1">
        <f t="array" ref="K1344">sentimentCategory(J1344)</f>
        <v>Neutral</v>
      </c>
    </row>
    <row r="1345" spans="1:11" ht="17" x14ac:dyDescent="0.2">
      <c r="A1345" t="s">
        <v>3532</v>
      </c>
      <c r="B1345" s="1" t="s">
        <v>3534</v>
      </c>
      <c r="C1345" t="s">
        <v>410</v>
      </c>
      <c r="D1345" s="1" t="s">
        <v>3454</v>
      </c>
      <c r="E1345" t="b">
        <v>0</v>
      </c>
      <c r="F1345">
        <v>813</v>
      </c>
      <c r="G1345">
        <v>789</v>
      </c>
      <c r="H1345" t="s">
        <v>11</v>
      </c>
      <c r="I1345" t="b">
        <v>0</v>
      </c>
      <c r="J1345" cm="1">
        <f t="array" ref="J1345">sentimentCalc(B1345)</f>
        <v>0</v>
      </c>
      <c r="K1345" t="str" cm="1">
        <f t="array" ref="K1345">sentimentCategory(J1345)</f>
        <v>Neutral</v>
      </c>
    </row>
    <row r="1346" spans="1:11" ht="34" x14ac:dyDescent="0.2">
      <c r="A1346" t="s">
        <v>3590</v>
      </c>
      <c r="B1346" s="1" t="s">
        <v>3591</v>
      </c>
      <c r="C1346" t="s">
        <v>3592</v>
      </c>
      <c r="D1346" s="1" t="s">
        <v>2</v>
      </c>
      <c r="E1346" t="b">
        <v>0</v>
      </c>
      <c r="F1346">
        <v>365</v>
      </c>
      <c r="G1346">
        <v>454</v>
      </c>
      <c r="H1346" t="s">
        <v>11</v>
      </c>
      <c r="I1346" t="b">
        <v>0</v>
      </c>
      <c r="J1346" cm="1">
        <f t="array" ref="J1346">sentimentCalc(B1346)</f>
        <v>1</v>
      </c>
      <c r="K1346" t="str" cm="1">
        <f t="array" ref="K1346">sentimentCategory(J1346)</f>
        <v>Positive</v>
      </c>
    </row>
    <row r="1347" spans="1:11" ht="17" x14ac:dyDescent="0.2">
      <c r="A1347" t="s">
        <v>4785</v>
      </c>
      <c r="B1347" s="1" t="s">
        <v>4786</v>
      </c>
      <c r="C1347" t="s">
        <v>726</v>
      </c>
      <c r="D1347" s="1" t="s">
        <v>4787</v>
      </c>
      <c r="E1347" t="b">
        <v>0</v>
      </c>
      <c r="F1347">
        <v>613</v>
      </c>
      <c r="G1347">
        <v>255</v>
      </c>
      <c r="H1347" t="s">
        <v>11</v>
      </c>
      <c r="I1347" t="b">
        <v>0</v>
      </c>
      <c r="J1347" cm="1">
        <f t="array" ref="J1347">sentimentCalc(B1347)</f>
        <v>0</v>
      </c>
      <c r="K1347" t="str" cm="1">
        <f t="array" ref="K1347">sentimentCategory(J1347)</f>
        <v>Neutral</v>
      </c>
    </row>
    <row r="1348" spans="1:11" ht="34" x14ac:dyDescent="0.2">
      <c r="A1348" t="s">
        <v>5695</v>
      </c>
      <c r="B1348" s="1" t="s">
        <v>5696</v>
      </c>
      <c r="C1348" t="s">
        <v>1342</v>
      </c>
      <c r="D1348" s="1" t="s">
        <v>2</v>
      </c>
      <c r="E1348" t="b">
        <v>0</v>
      </c>
      <c r="F1348">
        <v>298</v>
      </c>
      <c r="G1348">
        <v>311</v>
      </c>
      <c r="H1348" t="s">
        <v>11</v>
      </c>
      <c r="I1348" t="b">
        <v>0</v>
      </c>
      <c r="J1348" cm="1">
        <f t="array" ref="J1348">sentimentCalc(B1348)</f>
        <v>-1</v>
      </c>
      <c r="K1348" t="str" cm="1">
        <f t="array" ref="K1348">sentimentCategory(J1348)</f>
        <v>Negative</v>
      </c>
    </row>
    <row r="1349" spans="1:11" ht="34" x14ac:dyDescent="0.2">
      <c r="A1349" t="s">
        <v>4900</v>
      </c>
      <c r="B1349" s="1" t="s">
        <v>4901</v>
      </c>
      <c r="C1349" t="s">
        <v>4902</v>
      </c>
      <c r="D1349" s="1" t="s">
        <v>4903</v>
      </c>
      <c r="E1349" t="b">
        <v>0</v>
      </c>
      <c r="F1349">
        <v>316</v>
      </c>
      <c r="G1349">
        <v>428</v>
      </c>
      <c r="H1349" t="s">
        <v>11</v>
      </c>
      <c r="I1349" t="b">
        <v>0</v>
      </c>
      <c r="J1349" cm="1">
        <f t="array" ref="J1349">sentimentCalc(B1349)</f>
        <v>2</v>
      </c>
      <c r="K1349" t="str" cm="1">
        <f t="array" ref="K1349">sentimentCategory(J1349)</f>
        <v>Positive</v>
      </c>
    </row>
    <row r="1350" spans="1:11" ht="17" x14ac:dyDescent="0.2">
      <c r="A1350" t="s">
        <v>4864</v>
      </c>
      <c r="B1350" s="1" t="s">
        <v>4865</v>
      </c>
      <c r="C1350" t="s">
        <v>4866</v>
      </c>
      <c r="D1350" s="1" t="s">
        <v>2</v>
      </c>
      <c r="E1350" t="b">
        <v>0</v>
      </c>
      <c r="F1350">
        <v>49</v>
      </c>
      <c r="G1350">
        <v>109</v>
      </c>
      <c r="H1350" t="s">
        <v>11</v>
      </c>
      <c r="I1350" t="b">
        <v>0</v>
      </c>
      <c r="J1350" cm="1">
        <f t="array" ref="J1350">sentimentCalc(B1350)</f>
        <v>0</v>
      </c>
      <c r="K1350" t="str" cm="1">
        <f t="array" ref="K1350">sentimentCategory(J1350)</f>
        <v>Neutral</v>
      </c>
    </row>
    <row r="1351" spans="1:11" ht="34" x14ac:dyDescent="0.2">
      <c r="A1351" t="s">
        <v>6060</v>
      </c>
      <c r="B1351" s="1" t="s">
        <v>6061</v>
      </c>
      <c r="C1351" t="s">
        <v>6062</v>
      </c>
      <c r="D1351" s="1" t="s">
        <v>2</v>
      </c>
      <c r="E1351" t="b">
        <v>0</v>
      </c>
      <c r="F1351">
        <v>137</v>
      </c>
      <c r="G1351">
        <v>154</v>
      </c>
      <c r="H1351" t="s">
        <v>11</v>
      </c>
      <c r="I1351" t="b">
        <v>0</v>
      </c>
      <c r="J1351" cm="1">
        <f t="array" ref="J1351">sentimentCalc(B1351)</f>
        <v>0</v>
      </c>
      <c r="K1351" t="str" cm="1">
        <f t="array" ref="K1351">sentimentCategory(J1351)</f>
        <v>Neutral</v>
      </c>
    </row>
    <row r="1352" spans="1:11" ht="17" x14ac:dyDescent="0.2">
      <c r="A1352" t="s">
        <v>4146</v>
      </c>
      <c r="B1352" s="1" t="s">
        <v>4147</v>
      </c>
      <c r="C1352" t="s">
        <v>995</v>
      </c>
      <c r="D1352" s="1" t="s">
        <v>2</v>
      </c>
      <c r="E1352" t="b">
        <v>0</v>
      </c>
      <c r="F1352">
        <v>20</v>
      </c>
      <c r="G1352">
        <v>145</v>
      </c>
      <c r="H1352" t="s">
        <v>3</v>
      </c>
      <c r="I1352" t="b">
        <v>0</v>
      </c>
      <c r="J1352" cm="1">
        <f t="array" ref="J1352">sentimentCalc(B1352)</f>
        <v>-1</v>
      </c>
      <c r="K1352" t="str" cm="1">
        <f t="array" ref="K1352">sentimentCategory(J1352)</f>
        <v>Negative</v>
      </c>
    </row>
    <row r="1353" spans="1:11" ht="34" x14ac:dyDescent="0.2">
      <c r="A1353" t="s">
        <v>2984</v>
      </c>
      <c r="B1353" s="1" t="s">
        <v>2985</v>
      </c>
      <c r="C1353" t="s">
        <v>417</v>
      </c>
      <c r="D1353" s="1" t="s">
        <v>2986</v>
      </c>
      <c r="E1353" t="b">
        <v>0</v>
      </c>
      <c r="F1353">
        <v>2297</v>
      </c>
      <c r="G1353">
        <v>1522</v>
      </c>
      <c r="H1353" t="s">
        <v>11</v>
      </c>
      <c r="I1353" t="b">
        <v>0</v>
      </c>
      <c r="J1353" cm="1">
        <f t="array" ref="J1353">sentimentCalc(B1353)</f>
        <v>-2</v>
      </c>
      <c r="K1353" t="str" cm="1">
        <f t="array" ref="K1353">sentimentCategory(J1353)</f>
        <v>Negative</v>
      </c>
    </row>
    <row r="1354" spans="1:11" ht="34" x14ac:dyDescent="0.2">
      <c r="A1354" t="s">
        <v>4155</v>
      </c>
      <c r="B1354" s="1" t="s">
        <v>4156</v>
      </c>
      <c r="C1354" t="s">
        <v>3793</v>
      </c>
      <c r="D1354" s="1" t="s">
        <v>2</v>
      </c>
      <c r="E1354" t="b">
        <v>0</v>
      </c>
      <c r="F1354">
        <v>5</v>
      </c>
      <c r="G1354">
        <v>55</v>
      </c>
      <c r="H1354" t="s">
        <v>370</v>
      </c>
      <c r="I1354" t="b">
        <v>0</v>
      </c>
      <c r="J1354" cm="1">
        <f t="array" ref="J1354">sentimentCalc(B1354)</f>
        <v>0</v>
      </c>
      <c r="K1354" t="str" cm="1">
        <f t="array" ref="K1354">sentimentCategory(J1354)</f>
        <v>Neutral</v>
      </c>
    </row>
    <row r="1355" spans="1:11" ht="34" x14ac:dyDescent="0.2">
      <c r="A1355" t="s">
        <v>3585</v>
      </c>
      <c r="B1355" s="1" t="s">
        <v>3586</v>
      </c>
      <c r="C1355" t="s">
        <v>1005</v>
      </c>
      <c r="D1355" s="1" t="s">
        <v>2</v>
      </c>
      <c r="E1355" t="b">
        <v>0</v>
      </c>
      <c r="F1355">
        <v>594</v>
      </c>
      <c r="G1355">
        <v>236</v>
      </c>
      <c r="H1355" t="s">
        <v>11</v>
      </c>
      <c r="I1355" t="b">
        <v>0</v>
      </c>
      <c r="J1355" cm="1">
        <f t="array" ref="J1355">sentimentCalc(B1355)</f>
        <v>0</v>
      </c>
      <c r="K1355" t="str" cm="1">
        <f t="array" ref="K1355">sentimentCategory(J1355)</f>
        <v>Neutral</v>
      </c>
    </row>
    <row r="1356" spans="1:11" ht="34" x14ac:dyDescent="0.2">
      <c r="A1356" t="s">
        <v>6604</v>
      </c>
      <c r="B1356" s="1" t="s">
        <v>6605</v>
      </c>
      <c r="C1356" t="s">
        <v>5912</v>
      </c>
      <c r="D1356" s="1" t="s">
        <v>6606</v>
      </c>
      <c r="E1356" t="b">
        <v>0</v>
      </c>
      <c r="F1356">
        <v>742</v>
      </c>
      <c r="G1356">
        <v>940</v>
      </c>
      <c r="H1356" t="s">
        <v>11</v>
      </c>
      <c r="I1356" t="b">
        <v>0</v>
      </c>
      <c r="J1356" cm="1">
        <f t="array" ref="J1356">sentimentCalc(B1356)</f>
        <v>0</v>
      </c>
      <c r="K1356" t="str" cm="1">
        <f t="array" ref="K1356">sentimentCategory(J1356)</f>
        <v>Neutral</v>
      </c>
    </row>
    <row r="1357" spans="1:11" ht="17" x14ac:dyDescent="0.2">
      <c r="A1357" t="s">
        <v>6905</v>
      </c>
      <c r="B1357" s="1" t="s">
        <v>6906</v>
      </c>
      <c r="C1357" t="s">
        <v>6907</v>
      </c>
      <c r="D1357" s="1" t="s">
        <v>6908</v>
      </c>
      <c r="E1357" t="b">
        <v>0</v>
      </c>
      <c r="F1357">
        <v>32</v>
      </c>
      <c r="G1357">
        <v>91</v>
      </c>
      <c r="H1357" t="s">
        <v>11</v>
      </c>
      <c r="I1357" t="b">
        <v>0</v>
      </c>
      <c r="J1357" cm="1">
        <f t="array" ref="J1357">sentimentCalc(B1357)</f>
        <v>0</v>
      </c>
      <c r="K1357" t="str" cm="1">
        <f t="array" ref="K1357">sentimentCategory(J1357)</f>
        <v>Neutral</v>
      </c>
    </row>
    <row r="1358" spans="1:11" ht="17" x14ac:dyDescent="0.2">
      <c r="A1358" t="s">
        <v>7185</v>
      </c>
      <c r="B1358" s="1" t="s">
        <v>7186</v>
      </c>
      <c r="C1358" t="s">
        <v>7187</v>
      </c>
      <c r="D1358" s="1" t="s">
        <v>2</v>
      </c>
      <c r="E1358" t="b">
        <v>0</v>
      </c>
      <c r="F1358">
        <v>1960</v>
      </c>
      <c r="G1358">
        <v>233</v>
      </c>
      <c r="H1358" t="s">
        <v>11</v>
      </c>
      <c r="I1358" t="b">
        <v>0</v>
      </c>
      <c r="J1358" cm="1">
        <f t="array" ref="J1358">sentimentCalc(B1358)</f>
        <v>0</v>
      </c>
      <c r="K1358" t="str" cm="1">
        <f t="array" ref="K1358">sentimentCategory(J1358)</f>
        <v>Neutral</v>
      </c>
    </row>
    <row r="1359" spans="1:11" ht="17" x14ac:dyDescent="0.2">
      <c r="A1359" t="s">
        <v>7175</v>
      </c>
      <c r="B1359" s="1" t="s">
        <v>7176</v>
      </c>
      <c r="C1359" t="s">
        <v>607</v>
      </c>
      <c r="D1359" s="1" t="s">
        <v>7177</v>
      </c>
      <c r="E1359" t="b">
        <v>0</v>
      </c>
      <c r="F1359">
        <v>112</v>
      </c>
      <c r="G1359">
        <v>379</v>
      </c>
      <c r="H1359" t="s">
        <v>11</v>
      </c>
      <c r="I1359" t="b">
        <v>0</v>
      </c>
      <c r="J1359" cm="1">
        <f t="array" ref="J1359">sentimentCalc(B1359)</f>
        <v>0</v>
      </c>
      <c r="K1359" t="str" cm="1">
        <f t="array" ref="K1359">sentimentCategory(J1359)</f>
        <v>Neutral</v>
      </c>
    </row>
    <row r="1360" spans="1:11" ht="17" x14ac:dyDescent="0.2">
      <c r="A1360" t="s">
        <v>5924</v>
      </c>
      <c r="B1360" s="1" t="s">
        <v>5925</v>
      </c>
      <c r="C1360" t="s">
        <v>5926</v>
      </c>
      <c r="D1360" s="1" t="s">
        <v>5927</v>
      </c>
      <c r="E1360" t="b">
        <v>0</v>
      </c>
      <c r="F1360">
        <v>122</v>
      </c>
      <c r="G1360">
        <v>82</v>
      </c>
      <c r="H1360" t="s">
        <v>11</v>
      </c>
      <c r="I1360" t="b">
        <v>0</v>
      </c>
      <c r="J1360" cm="1">
        <f t="array" ref="J1360">sentimentCalc(B1360)</f>
        <v>0</v>
      </c>
      <c r="K1360" t="str" cm="1">
        <f t="array" ref="K1360">sentimentCategory(J1360)</f>
        <v>Neutral</v>
      </c>
    </row>
    <row r="1361" spans="1:11" ht="17" x14ac:dyDescent="0.2">
      <c r="A1361" t="s">
        <v>5524</v>
      </c>
      <c r="B1361" s="1" t="s">
        <v>5526</v>
      </c>
      <c r="C1361" t="s">
        <v>3444</v>
      </c>
      <c r="D1361" s="1" t="s">
        <v>2</v>
      </c>
      <c r="E1361" t="b">
        <v>0</v>
      </c>
      <c r="F1361">
        <v>409</v>
      </c>
      <c r="G1361">
        <v>131</v>
      </c>
      <c r="H1361" t="s">
        <v>11</v>
      </c>
      <c r="I1361" t="b">
        <v>0</v>
      </c>
      <c r="J1361" cm="1">
        <f t="array" ref="J1361">sentimentCalc(B1361)</f>
        <v>0</v>
      </c>
      <c r="K1361" t="str" cm="1">
        <f t="array" ref="K1361">sentimentCategory(J1361)</f>
        <v>Neutral</v>
      </c>
    </row>
    <row r="1362" spans="1:11" ht="34" x14ac:dyDescent="0.2">
      <c r="A1362" t="s">
        <v>6463</v>
      </c>
      <c r="B1362" s="1" t="s">
        <v>6464</v>
      </c>
      <c r="C1362" t="s">
        <v>700</v>
      </c>
      <c r="D1362" s="1" t="s">
        <v>2</v>
      </c>
      <c r="E1362" t="b">
        <v>0</v>
      </c>
      <c r="F1362">
        <v>13402</v>
      </c>
      <c r="G1362">
        <v>4249</v>
      </c>
      <c r="H1362" t="s">
        <v>11</v>
      </c>
      <c r="I1362" t="b">
        <v>0</v>
      </c>
      <c r="J1362" cm="1">
        <f t="array" ref="J1362">sentimentCalc(B1362)</f>
        <v>0</v>
      </c>
      <c r="K1362" t="str" cm="1">
        <f t="array" ref="K1362">sentimentCategory(J1362)</f>
        <v>Neutral</v>
      </c>
    </row>
    <row r="1363" spans="1:11" ht="17" x14ac:dyDescent="0.2">
      <c r="A1363" t="s">
        <v>6321</v>
      </c>
      <c r="B1363" s="1" t="s">
        <v>6322</v>
      </c>
      <c r="C1363" t="s">
        <v>472</v>
      </c>
      <c r="D1363" s="1" t="s">
        <v>6323</v>
      </c>
      <c r="E1363" t="b">
        <v>0</v>
      </c>
      <c r="F1363">
        <v>10</v>
      </c>
      <c r="G1363">
        <v>29</v>
      </c>
      <c r="H1363" t="s">
        <v>11</v>
      </c>
      <c r="I1363" t="b">
        <v>0</v>
      </c>
      <c r="J1363" cm="1">
        <f t="array" ref="J1363">sentimentCalc(B1363)</f>
        <v>3</v>
      </c>
      <c r="K1363" t="str" cm="1">
        <f t="array" ref="K1363">sentimentCategory(J1363)</f>
        <v>Positive</v>
      </c>
    </row>
    <row r="1364" spans="1:11" ht="34" x14ac:dyDescent="0.2">
      <c r="A1364" t="s">
        <v>7140</v>
      </c>
      <c r="B1364" s="1" t="s">
        <v>7141</v>
      </c>
      <c r="C1364" t="s">
        <v>57</v>
      </c>
      <c r="D1364" s="1" t="s">
        <v>2</v>
      </c>
      <c r="E1364" t="b">
        <v>0</v>
      </c>
      <c r="F1364">
        <v>76</v>
      </c>
      <c r="G1364">
        <v>115</v>
      </c>
      <c r="H1364" t="s">
        <v>11</v>
      </c>
      <c r="I1364" t="b">
        <v>0</v>
      </c>
      <c r="J1364" cm="1">
        <f t="array" ref="J1364">sentimentCalc(B1364)</f>
        <v>-4</v>
      </c>
      <c r="K1364" t="str" cm="1">
        <f t="array" ref="K1364">sentimentCategory(J1364)</f>
        <v>Negative</v>
      </c>
    </row>
    <row r="1365" spans="1:11" ht="17" x14ac:dyDescent="0.2">
      <c r="A1365" t="s">
        <v>1110</v>
      </c>
      <c r="B1365" s="1" t="s">
        <v>1111</v>
      </c>
      <c r="C1365" t="s">
        <v>1112</v>
      </c>
      <c r="D1365" s="1" t="s">
        <v>1113</v>
      </c>
      <c r="E1365" t="b">
        <v>0</v>
      </c>
      <c r="F1365">
        <v>3494</v>
      </c>
      <c r="G1365">
        <v>1203</v>
      </c>
      <c r="H1365" t="s">
        <v>11</v>
      </c>
      <c r="I1365" t="b">
        <v>0</v>
      </c>
      <c r="J1365" cm="1">
        <f t="array" ref="J1365">sentimentCalc(B1365)</f>
        <v>-1</v>
      </c>
      <c r="K1365" t="str" cm="1">
        <f t="array" ref="K1365">sentimentCategory(J1365)</f>
        <v>Negative</v>
      </c>
    </row>
    <row r="1366" spans="1:11" ht="17" x14ac:dyDescent="0.2">
      <c r="A1366" t="s">
        <v>3815</v>
      </c>
      <c r="B1366" s="1" t="s">
        <v>3816</v>
      </c>
      <c r="C1366" t="s">
        <v>3817</v>
      </c>
      <c r="D1366" s="1" t="s">
        <v>1348</v>
      </c>
      <c r="E1366" t="b">
        <v>0</v>
      </c>
      <c r="F1366">
        <v>6648</v>
      </c>
      <c r="G1366">
        <v>7273</v>
      </c>
      <c r="H1366" t="s">
        <v>3</v>
      </c>
      <c r="I1366" t="b">
        <v>0</v>
      </c>
      <c r="J1366" cm="1">
        <f t="array" ref="J1366">sentimentCalc(B1366)</f>
        <v>0</v>
      </c>
      <c r="K1366" t="str" cm="1">
        <f t="array" ref="K1366">sentimentCategory(J1366)</f>
        <v>Neutral</v>
      </c>
    </row>
    <row r="1367" spans="1:11" ht="17" x14ac:dyDescent="0.2">
      <c r="A1367" t="s">
        <v>2578</v>
      </c>
      <c r="B1367" s="1" t="s">
        <v>2579</v>
      </c>
      <c r="C1367" t="s">
        <v>935</v>
      </c>
      <c r="D1367" s="1" t="s">
        <v>2580</v>
      </c>
      <c r="E1367" t="b">
        <v>0</v>
      </c>
      <c r="F1367">
        <v>336</v>
      </c>
      <c r="G1367">
        <v>413</v>
      </c>
      <c r="H1367" t="s">
        <v>11</v>
      </c>
      <c r="I1367" t="b">
        <v>0</v>
      </c>
      <c r="J1367" cm="1">
        <f t="array" ref="J1367">sentimentCalc(B1367)</f>
        <v>0</v>
      </c>
      <c r="K1367" t="str" cm="1">
        <f t="array" ref="K1367">sentimentCategory(J1367)</f>
        <v>Neutral</v>
      </c>
    </row>
    <row r="1368" spans="1:11" ht="17" x14ac:dyDescent="0.2">
      <c r="A1368" t="s">
        <v>6047</v>
      </c>
      <c r="B1368" s="1" t="s">
        <v>6048</v>
      </c>
      <c r="C1368" t="s">
        <v>3444</v>
      </c>
      <c r="D1368" s="1" t="s">
        <v>2</v>
      </c>
      <c r="E1368" t="b">
        <v>0</v>
      </c>
      <c r="F1368">
        <v>135</v>
      </c>
      <c r="G1368">
        <v>205</v>
      </c>
      <c r="H1368" t="s">
        <v>47</v>
      </c>
      <c r="I1368" t="b">
        <v>0</v>
      </c>
      <c r="J1368" cm="1">
        <f t="array" ref="J1368">sentimentCalc(B1368)</f>
        <v>0</v>
      </c>
      <c r="K1368" t="str" cm="1">
        <f t="array" ref="K1368">sentimentCategory(J1368)</f>
        <v>Neutral</v>
      </c>
    </row>
    <row r="1369" spans="1:11" ht="34" x14ac:dyDescent="0.2">
      <c r="A1369" t="s">
        <v>5125</v>
      </c>
      <c r="B1369" s="1" t="s">
        <v>5126</v>
      </c>
      <c r="C1369" t="s">
        <v>736</v>
      </c>
      <c r="D1369" s="1" t="s">
        <v>2</v>
      </c>
      <c r="E1369" t="b">
        <v>0</v>
      </c>
      <c r="F1369">
        <v>17346</v>
      </c>
      <c r="G1369">
        <v>12512</v>
      </c>
      <c r="H1369" t="s">
        <v>11</v>
      </c>
      <c r="I1369" t="b">
        <v>0</v>
      </c>
      <c r="J1369" cm="1">
        <f t="array" ref="J1369">sentimentCalc(B1369)</f>
        <v>1</v>
      </c>
      <c r="K1369" t="str" cm="1">
        <f t="array" ref="K1369">sentimentCategory(J1369)</f>
        <v>Positive</v>
      </c>
    </row>
    <row r="1370" spans="1:11" ht="34" x14ac:dyDescent="0.2">
      <c r="A1370" t="s">
        <v>6943</v>
      </c>
      <c r="B1370" s="1" t="s">
        <v>6944</v>
      </c>
      <c r="C1370" t="s">
        <v>410</v>
      </c>
      <c r="D1370" s="1" t="s">
        <v>6945</v>
      </c>
      <c r="E1370" t="b">
        <v>0</v>
      </c>
      <c r="F1370">
        <v>190</v>
      </c>
      <c r="G1370">
        <v>209</v>
      </c>
      <c r="H1370" t="s">
        <v>11</v>
      </c>
      <c r="I1370" t="b">
        <v>0</v>
      </c>
      <c r="J1370" cm="1">
        <f t="array" ref="J1370">sentimentCalc(B1370)</f>
        <v>0</v>
      </c>
      <c r="K1370" t="str" cm="1">
        <f t="array" ref="K1370">sentimentCategory(J1370)</f>
        <v>Neutral</v>
      </c>
    </row>
    <row r="1371" spans="1:11" ht="34" x14ac:dyDescent="0.2">
      <c r="A1371" t="s">
        <v>3981</v>
      </c>
      <c r="B1371" s="1" t="s">
        <v>3982</v>
      </c>
      <c r="C1371" t="s">
        <v>726</v>
      </c>
      <c r="D1371" s="1" t="s">
        <v>2</v>
      </c>
      <c r="E1371" t="b">
        <v>0</v>
      </c>
      <c r="F1371">
        <v>2030</v>
      </c>
      <c r="G1371">
        <v>3010</v>
      </c>
      <c r="H1371" t="s">
        <v>11</v>
      </c>
      <c r="I1371" t="b">
        <v>0</v>
      </c>
      <c r="J1371" cm="1">
        <f t="array" ref="J1371">sentimentCalc(B1371)</f>
        <v>0</v>
      </c>
      <c r="K1371" t="str" cm="1">
        <f t="array" ref="K1371">sentimentCategory(J1371)</f>
        <v>Neutral</v>
      </c>
    </row>
    <row r="1372" spans="1:11" ht="34" x14ac:dyDescent="0.2">
      <c r="A1372" t="s">
        <v>4584</v>
      </c>
      <c r="B1372" s="1" t="s">
        <v>4585</v>
      </c>
      <c r="C1372" t="s">
        <v>3249</v>
      </c>
      <c r="D1372" s="1" t="s">
        <v>4586</v>
      </c>
      <c r="E1372" t="b">
        <v>0</v>
      </c>
      <c r="F1372">
        <v>18</v>
      </c>
      <c r="G1372">
        <v>350</v>
      </c>
      <c r="H1372" t="s">
        <v>11</v>
      </c>
      <c r="I1372" t="b">
        <v>0</v>
      </c>
      <c r="J1372" cm="1">
        <f t="array" ref="J1372">sentimentCalc(B1372)</f>
        <v>0</v>
      </c>
      <c r="K1372" t="str" cm="1">
        <f t="array" ref="K1372">sentimentCategory(J1372)</f>
        <v>Neutral</v>
      </c>
    </row>
    <row r="1373" spans="1:11" ht="34" x14ac:dyDescent="0.2">
      <c r="A1373" t="s">
        <v>2492</v>
      </c>
      <c r="B1373" s="1" t="s">
        <v>2493</v>
      </c>
      <c r="C1373" t="s">
        <v>490</v>
      </c>
      <c r="D1373" s="1" t="s">
        <v>2494</v>
      </c>
      <c r="E1373" t="b">
        <v>0</v>
      </c>
      <c r="F1373">
        <v>1258</v>
      </c>
      <c r="G1373">
        <v>401</v>
      </c>
      <c r="H1373" t="s">
        <v>11</v>
      </c>
      <c r="I1373" t="b">
        <v>0</v>
      </c>
      <c r="J1373" cm="1">
        <f t="array" ref="J1373">sentimentCalc(B1373)</f>
        <v>-1</v>
      </c>
      <c r="K1373" t="str" cm="1">
        <f t="array" ref="K1373">sentimentCategory(J1373)</f>
        <v>Negative</v>
      </c>
    </row>
    <row r="1374" spans="1:11" ht="34" x14ac:dyDescent="0.2">
      <c r="A1374" t="s">
        <v>6925</v>
      </c>
      <c r="B1374" s="1" t="s">
        <v>6926</v>
      </c>
      <c r="C1374" t="s">
        <v>6062</v>
      </c>
      <c r="D1374" s="1" t="s">
        <v>61</v>
      </c>
      <c r="E1374" t="b">
        <v>0</v>
      </c>
      <c r="F1374">
        <v>356</v>
      </c>
      <c r="G1374">
        <v>335</v>
      </c>
      <c r="H1374" t="s">
        <v>11</v>
      </c>
      <c r="I1374" t="b">
        <v>0</v>
      </c>
      <c r="J1374" cm="1">
        <f t="array" ref="J1374">sentimentCalc(B1374)</f>
        <v>0</v>
      </c>
      <c r="K1374" t="str" cm="1">
        <f t="array" ref="K1374">sentimentCategory(J1374)</f>
        <v>Neutral</v>
      </c>
    </row>
    <row r="1375" spans="1:11" ht="34" x14ac:dyDescent="0.2">
      <c r="A1375" t="s">
        <v>6311</v>
      </c>
      <c r="B1375" s="1" t="s">
        <v>6312</v>
      </c>
      <c r="C1375" t="s">
        <v>6313</v>
      </c>
      <c r="D1375" s="1" t="s">
        <v>1288</v>
      </c>
      <c r="E1375" t="b">
        <v>0</v>
      </c>
      <c r="F1375">
        <v>726</v>
      </c>
      <c r="G1375">
        <v>1258</v>
      </c>
      <c r="H1375" t="s">
        <v>11</v>
      </c>
      <c r="I1375" t="b">
        <v>0</v>
      </c>
      <c r="J1375" cm="1">
        <f t="array" ref="J1375">sentimentCalc(B1375)</f>
        <v>-1</v>
      </c>
      <c r="K1375" t="str" cm="1">
        <f t="array" ref="K1375">sentimentCategory(J1375)</f>
        <v>Negative</v>
      </c>
    </row>
    <row r="1376" spans="1:11" ht="17" x14ac:dyDescent="0.2">
      <c r="A1376" t="s">
        <v>6206</v>
      </c>
      <c r="B1376" s="1" t="s">
        <v>6207</v>
      </c>
      <c r="C1376" t="s">
        <v>584</v>
      </c>
      <c r="D1376" s="1" t="s">
        <v>418</v>
      </c>
      <c r="E1376" t="b">
        <v>0</v>
      </c>
      <c r="F1376">
        <v>341</v>
      </c>
      <c r="G1376">
        <v>360</v>
      </c>
      <c r="H1376" t="s">
        <v>11</v>
      </c>
      <c r="I1376" t="b">
        <v>0</v>
      </c>
      <c r="J1376" cm="1">
        <f t="array" ref="J1376">sentimentCalc(B1376)</f>
        <v>0</v>
      </c>
      <c r="K1376" t="str" cm="1">
        <f t="array" ref="K1376">sentimentCategory(J1376)</f>
        <v>Neutral</v>
      </c>
    </row>
    <row r="1377" spans="1:11" ht="34" x14ac:dyDescent="0.2">
      <c r="A1377" t="s">
        <v>4822</v>
      </c>
      <c r="B1377" s="1" t="s">
        <v>4823</v>
      </c>
      <c r="C1377" t="s">
        <v>898</v>
      </c>
      <c r="D1377" s="1" t="s">
        <v>2</v>
      </c>
      <c r="E1377" t="b">
        <v>0</v>
      </c>
      <c r="F1377">
        <v>19</v>
      </c>
      <c r="G1377">
        <v>181</v>
      </c>
      <c r="H1377" t="s">
        <v>11</v>
      </c>
      <c r="I1377" t="b">
        <v>0</v>
      </c>
      <c r="J1377" cm="1">
        <f t="array" ref="J1377">sentimentCalc(B1377)</f>
        <v>0</v>
      </c>
      <c r="K1377" t="str" cm="1">
        <f t="array" ref="K1377">sentimentCategory(J1377)</f>
        <v>Neutral</v>
      </c>
    </row>
    <row r="1378" spans="1:11" ht="34" x14ac:dyDescent="0.2">
      <c r="A1378" t="s">
        <v>5854</v>
      </c>
      <c r="B1378" s="1" t="s">
        <v>5855</v>
      </c>
      <c r="C1378" t="s">
        <v>5856</v>
      </c>
      <c r="D1378" s="1" t="s">
        <v>5857</v>
      </c>
      <c r="E1378" t="b">
        <v>0</v>
      </c>
      <c r="F1378">
        <v>47</v>
      </c>
      <c r="G1378">
        <v>85</v>
      </c>
      <c r="H1378" t="s">
        <v>11</v>
      </c>
      <c r="I1378" t="b">
        <v>0</v>
      </c>
      <c r="J1378" cm="1">
        <f t="array" ref="J1378">sentimentCalc(B1378)</f>
        <v>0</v>
      </c>
      <c r="K1378" t="str" cm="1">
        <f t="array" ref="K1378">sentimentCategory(J1378)</f>
        <v>Neutral</v>
      </c>
    </row>
    <row r="1379" spans="1:11" ht="17" x14ac:dyDescent="0.2">
      <c r="A1379" t="s">
        <v>3432</v>
      </c>
      <c r="B1379" s="1" t="s">
        <v>3433</v>
      </c>
      <c r="C1379" t="s">
        <v>2486</v>
      </c>
      <c r="D1379" s="1" t="s">
        <v>3434</v>
      </c>
      <c r="E1379" t="b">
        <v>0</v>
      </c>
      <c r="F1379">
        <v>188</v>
      </c>
      <c r="G1379">
        <v>109</v>
      </c>
      <c r="H1379" t="s">
        <v>11</v>
      </c>
      <c r="I1379" t="b">
        <v>0</v>
      </c>
      <c r="J1379" cm="1">
        <f t="array" ref="J1379">sentimentCalc(B1379)</f>
        <v>1</v>
      </c>
      <c r="K1379" t="str" cm="1">
        <f t="array" ref="K1379">sentimentCategory(J1379)</f>
        <v>Positive</v>
      </c>
    </row>
    <row r="1380" spans="1:11" ht="34" x14ac:dyDescent="0.2">
      <c r="A1380" t="s">
        <v>3943</v>
      </c>
      <c r="B1380" s="1" t="s">
        <v>3944</v>
      </c>
      <c r="C1380" t="s">
        <v>226</v>
      </c>
      <c r="D1380" s="1" t="s">
        <v>3945</v>
      </c>
      <c r="E1380" t="b">
        <v>1</v>
      </c>
      <c r="F1380">
        <v>99379</v>
      </c>
      <c r="G1380">
        <v>4518</v>
      </c>
      <c r="H1380" t="s">
        <v>11</v>
      </c>
      <c r="I1380" t="b">
        <v>0</v>
      </c>
      <c r="J1380" cm="1">
        <f t="array" ref="J1380">sentimentCalc(B1380)</f>
        <v>0</v>
      </c>
      <c r="K1380" t="str" cm="1">
        <f t="array" ref="K1380">sentimentCategory(J1380)</f>
        <v>Neutral</v>
      </c>
    </row>
    <row r="1381" spans="1:11" ht="34" x14ac:dyDescent="0.2">
      <c r="A1381" t="s">
        <v>1982</v>
      </c>
      <c r="B1381" s="1" t="s">
        <v>1983</v>
      </c>
      <c r="C1381" t="s">
        <v>193</v>
      </c>
      <c r="D1381" s="1" t="s">
        <v>1984</v>
      </c>
      <c r="E1381" t="b">
        <v>0</v>
      </c>
      <c r="F1381">
        <v>70</v>
      </c>
      <c r="G1381">
        <v>249</v>
      </c>
      <c r="H1381" t="s">
        <v>11</v>
      </c>
      <c r="I1381" t="b">
        <v>0</v>
      </c>
      <c r="J1381" cm="1">
        <f t="array" ref="J1381">sentimentCalc(B1381)</f>
        <v>0</v>
      </c>
      <c r="K1381" t="str" cm="1">
        <f t="array" ref="K1381">sentimentCategory(J1381)</f>
        <v>Neutral</v>
      </c>
    </row>
    <row r="1382" spans="1:11" ht="34" x14ac:dyDescent="0.2">
      <c r="A1382" t="s">
        <v>1800</v>
      </c>
      <c r="B1382" s="1" t="s">
        <v>1801</v>
      </c>
      <c r="C1382" t="s">
        <v>1648</v>
      </c>
      <c r="D1382" s="1" t="s">
        <v>1802</v>
      </c>
      <c r="E1382" t="b">
        <v>0</v>
      </c>
      <c r="F1382">
        <v>1688</v>
      </c>
      <c r="G1382">
        <v>2246</v>
      </c>
      <c r="H1382" t="s">
        <v>11</v>
      </c>
      <c r="I1382" t="b">
        <v>0</v>
      </c>
      <c r="J1382" cm="1">
        <f t="array" ref="J1382">sentimentCalc(B1382)</f>
        <v>0</v>
      </c>
      <c r="K1382" t="str" cm="1">
        <f t="array" ref="K1382">sentimentCategory(J1382)</f>
        <v>Neutral</v>
      </c>
    </row>
    <row r="1383" spans="1:11" ht="17" x14ac:dyDescent="0.2">
      <c r="A1383" t="s">
        <v>5913</v>
      </c>
      <c r="B1383" s="1" t="s">
        <v>5914</v>
      </c>
      <c r="C1383" t="s">
        <v>564</v>
      </c>
      <c r="D1383" s="1" t="s">
        <v>5915</v>
      </c>
      <c r="E1383" t="b">
        <v>0</v>
      </c>
      <c r="F1383">
        <v>13</v>
      </c>
      <c r="G1383">
        <v>53</v>
      </c>
      <c r="H1383" t="s">
        <v>11</v>
      </c>
      <c r="I1383" t="b">
        <v>0</v>
      </c>
      <c r="J1383" cm="1">
        <f t="array" ref="J1383">sentimentCalc(B1383)</f>
        <v>0</v>
      </c>
      <c r="K1383" t="str" cm="1">
        <f t="array" ref="K1383">sentimentCategory(J1383)</f>
        <v>Neutral</v>
      </c>
    </row>
    <row r="1384" spans="1:11" ht="17" x14ac:dyDescent="0.2">
      <c r="A1384" t="s">
        <v>2459</v>
      </c>
      <c r="B1384" s="1" t="s">
        <v>2460</v>
      </c>
      <c r="C1384" t="s">
        <v>554</v>
      </c>
      <c r="D1384" s="1" t="s">
        <v>2461</v>
      </c>
      <c r="E1384" t="b">
        <v>0</v>
      </c>
      <c r="F1384">
        <v>15</v>
      </c>
      <c r="G1384">
        <v>55</v>
      </c>
      <c r="H1384" t="s">
        <v>11</v>
      </c>
      <c r="I1384" t="b">
        <v>0</v>
      </c>
      <c r="J1384" cm="1">
        <f t="array" ref="J1384">sentimentCalc(B1384)</f>
        <v>1</v>
      </c>
      <c r="K1384" t="str" cm="1">
        <f t="array" ref="K1384">sentimentCategory(J1384)</f>
        <v>Positive</v>
      </c>
    </row>
    <row r="1385" spans="1:11" ht="17" x14ac:dyDescent="0.2">
      <c r="A1385" t="s">
        <v>3284</v>
      </c>
      <c r="B1385" s="1" t="s">
        <v>3285</v>
      </c>
      <c r="C1385" t="s">
        <v>958</v>
      </c>
      <c r="D1385" s="1" t="s">
        <v>2</v>
      </c>
      <c r="E1385" t="b">
        <v>0</v>
      </c>
      <c r="F1385">
        <v>280</v>
      </c>
      <c r="G1385">
        <v>685</v>
      </c>
      <c r="H1385" t="s">
        <v>11</v>
      </c>
      <c r="I1385" t="b">
        <v>0</v>
      </c>
      <c r="J1385" cm="1">
        <f t="array" ref="J1385">sentimentCalc(B1385)</f>
        <v>0</v>
      </c>
      <c r="K1385" t="str" cm="1">
        <f t="array" ref="K1385">sentimentCategory(J1385)</f>
        <v>Neutral</v>
      </c>
    </row>
    <row r="1386" spans="1:11" ht="17" x14ac:dyDescent="0.2">
      <c r="A1386" t="s">
        <v>5553</v>
      </c>
      <c r="B1386" s="1" t="s">
        <v>5554</v>
      </c>
      <c r="C1386" t="s">
        <v>439</v>
      </c>
      <c r="D1386" s="1" t="s">
        <v>2</v>
      </c>
      <c r="E1386" t="b">
        <v>0</v>
      </c>
      <c r="F1386">
        <v>155</v>
      </c>
      <c r="G1386">
        <v>570</v>
      </c>
      <c r="H1386" t="s">
        <v>11</v>
      </c>
      <c r="I1386" t="b">
        <v>0</v>
      </c>
      <c r="J1386" cm="1">
        <f t="array" ref="J1386">sentimentCalc(B1386)</f>
        <v>0</v>
      </c>
      <c r="K1386" t="str" cm="1">
        <f t="array" ref="K1386">sentimentCategory(J1386)</f>
        <v>Neutral</v>
      </c>
    </row>
    <row r="1387" spans="1:11" ht="34" x14ac:dyDescent="0.2">
      <c r="A1387" t="s">
        <v>6440</v>
      </c>
      <c r="B1387" s="1" t="s">
        <v>6441</v>
      </c>
      <c r="C1387" t="s">
        <v>1371</v>
      </c>
      <c r="D1387" s="1" t="s">
        <v>6442</v>
      </c>
      <c r="E1387" t="b">
        <v>0</v>
      </c>
      <c r="F1387">
        <v>422</v>
      </c>
      <c r="G1387">
        <v>399</v>
      </c>
      <c r="H1387" t="s">
        <v>11</v>
      </c>
      <c r="I1387" t="b">
        <v>0</v>
      </c>
      <c r="J1387" cm="1">
        <f t="array" ref="J1387">sentimentCalc(B1387)</f>
        <v>0</v>
      </c>
      <c r="K1387" t="str" cm="1">
        <f t="array" ref="K1387">sentimentCategory(J1387)</f>
        <v>Neutral</v>
      </c>
    </row>
    <row r="1388" spans="1:11" ht="34" x14ac:dyDescent="0.2">
      <c r="A1388" t="s">
        <v>2063</v>
      </c>
      <c r="B1388" s="1" t="s">
        <v>2064</v>
      </c>
      <c r="C1388" t="s">
        <v>736</v>
      </c>
      <c r="D1388" s="1" t="s">
        <v>2</v>
      </c>
      <c r="E1388" t="b">
        <v>0</v>
      </c>
      <c r="F1388">
        <v>17347</v>
      </c>
      <c r="G1388">
        <v>12513</v>
      </c>
      <c r="H1388" t="s">
        <v>11</v>
      </c>
      <c r="I1388" t="b">
        <v>0</v>
      </c>
      <c r="J1388" cm="1">
        <f t="array" ref="J1388">sentimentCalc(B1388)</f>
        <v>0</v>
      </c>
      <c r="K1388" t="str" cm="1">
        <f t="array" ref="K1388">sentimentCategory(J1388)</f>
        <v>Neutral</v>
      </c>
    </row>
    <row r="1389" spans="1:11" ht="17" x14ac:dyDescent="0.2">
      <c r="A1389" t="s">
        <v>2433</v>
      </c>
      <c r="B1389" s="1" t="s">
        <v>2434</v>
      </c>
      <c r="C1389" t="s">
        <v>319</v>
      </c>
      <c r="D1389" s="1" t="s">
        <v>2435</v>
      </c>
      <c r="E1389" t="b">
        <v>0</v>
      </c>
      <c r="F1389">
        <v>753</v>
      </c>
      <c r="G1389">
        <v>98</v>
      </c>
      <c r="H1389" t="s">
        <v>641</v>
      </c>
      <c r="I1389" t="b">
        <v>0</v>
      </c>
      <c r="J1389" cm="1">
        <f t="array" ref="J1389">sentimentCalc(B1389)</f>
        <v>0</v>
      </c>
      <c r="K1389" t="str" cm="1">
        <f t="array" ref="K1389">sentimentCategory(J1389)</f>
        <v>Neutral</v>
      </c>
    </row>
    <row r="1390" spans="1:11" ht="34" x14ac:dyDescent="0.2">
      <c r="A1390" t="s">
        <v>5273</v>
      </c>
      <c r="B1390" s="1" t="s">
        <v>5274</v>
      </c>
      <c r="C1390" t="s">
        <v>989</v>
      </c>
      <c r="D1390" s="1" t="s">
        <v>2</v>
      </c>
      <c r="E1390" t="b">
        <v>0</v>
      </c>
      <c r="F1390">
        <v>110</v>
      </c>
      <c r="G1390">
        <v>45</v>
      </c>
      <c r="H1390" t="s">
        <v>11</v>
      </c>
      <c r="I1390" t="b">
        <v>0</v>
      </c>
      <c r="J1390" cm="1">
        <f t="array" ref="J1390">sentimentCalc(B1390)</f>
        <v>0</v>
      </c>
      <c r="K1390" t="str" cm="1">
        <f t="array" ref="K1390">sentimentCategory(J1390)</f>
        <v>Neutral</v>
      </c>
    </row>
    <row r="1391" spans="1:11" ht="17" x14ac:dyDescent="0.2">
      <c r="A1391" t="s">
        <v>6631</v>
      </c>
      <c r="B1391" s="1" t="s">
        <v>6632</v>
      </c>
      <c r="C1391" t="s">
        <v>6633</v>
      </c>
      <c r="D1391" s="1" t="s">
        <v>2</v>
      </c>
      <c r="E1391" t="b">
        <v>0</v>
      </c>
      <c r="F1391">
        <v>357</v>
      </c>
      <c r="G1391">
        <v>559</v>
      </c>
      <c r="H1391" t="s">
        <v>11</v>
      </c>
      <c r="I1391" t="b">
        <v>0</v>
      </c>
      <c r="J1391" cm="1">
        <f t="array" ref="J1391">sentimentCalc(B1391)</f>
        <v>0</v>
      </c>
      <c r="K1391" t="str" cm="1">
        <f t="array" ref="K1391">sentimentCategory(J1391)</f>
        <v>Neutral</v>
      </c>
    </row>
    <row r="1392" spans="1:11" ht="17" x14ac:dyDescent="0.2">
      <c r="A1392" t="s">
        <v>6612</v>
      </c>
      <c r="B1392" s="1" t="s">
        <v>6613</v>
      </c>
      <c r="C1392" t="s">
        <v>627</v>
      </c>
      <c r="D1392" s="1" t="s">
        <v>6614</v>
      </c>
      <c r="E1392" t="b">
        <v>0</v>
      </c>
      <c r="F1392">
        <v>812</v>
      </c>
      <c r="G1392">
        <v>325</v>
      </c>
      <c r="H1392" t="s">
        <v>11</v>
      </c>
      <c r="I1392" t="b">
        <v>0</v>
      </c>
      <c r="J1392" cm="1">
        <f t="array" ref="J1392">sentimentCalc(B1392)</f>
        <v>0</v>
      </c>
      <c r="K1392" t="str" cm="1">
        <f t="array" ref="K1392">sentimentCategory(J1392)</f>
        <v>Neutral</v>
      </c>
    </row>
    <row r="1393" spans="1:11" ht="34" x14ac:dyDescent="0.2">
      <c r="A1393" t="s">
        <v>5367</v>
      </c>
      <c r="B1393" s="1" t="s">
        <v>5368</v>
      </c>
      <c r="C1393" t="s">
        <v>5369</v>
      </c>
      <c r="D1393" s="1" t="s">
        <v>2</v>
      </c>
      <c r="E1393" t="b">
        <v>0</v>
      </c>
      <c r="F1393">
        <v>3691</v>
      </c>
      <c r="G1393">
        <v>600</v>
      </c>
      <c r="H1393" t="s">
        <v>3</v>
      </c>
      <c r="I1393" t="b">
        <v>0</v>
      </c>
      <c r="J1393" cm="1">
        <f t="array" ref="J1393">sentimentCalc(B1393)</f>
        <v>0</v>
      </c>
      <c r="K1393" t="str" cm="1">
        <f t="array" ref="K1393">sentimentCategory(J1393)</f>
        <v>Neutral</v>
      </c>
    </row>
    <row r="1394" spans="1:11" ht="17" x14ac:dyDescent="0.2">
      <c r="A1394" t="s">
        <v>1118</v>
      </c>
      <c r="B1394" s="1" t="s">
        <v>1119</v>
      </c>
      <c r="C1394" t="s">
        <v>1120</v>
      </c>
      <c r="D1394" s="1" t="s">
        <v>1121</v>
      </c>
      <c r="E1394" t="b">
        <v>0</v>
      </c>
      <c r="F1394">
        <v>1064</v>
      </c>
      <c r="G1394">
        <v>444</v>
      </c>
      <c r="H1394" t="s">
        <v>11</v>
      </c>
      <c r="I1394" t="b">
        <v>0</v>
      </c>
      <c r="J1394" cm="1">
        <f t="array" ref="J1394">sentimentCalc(B1394)</f>
        <v>0</v>
      </c>
      <c r="K1394" t="str" cm="1">
        <f t="array" ref="K1394">sentimentCategory(J1394)</f>
        <v>Neutral</v>
      </c>
    </row>
    <row r="1395" spans="1:11" ht="17" x14ac:dyDescent="0.2">
      <c r="A1395" t="s">
        <v>3723</v>
      </c>
      <c r="B1395" s="1" t="s">
        <v>3724</v>
      </c>
      <c r="C1395" t="s">
        <v>3725</v>
      </c>
      <c r="D1395" s="1" t="s">
        <v>3726</v>
      </c>
      <c r="E1395" t="b">
        <v>0</v>
      </c>
      <c r="F1395">
        <v>126820</v>
      </c>
      <c r="G1395">
        <v>638</v>
      </c>
      <c r="H1395" t="s">
        <v>11</v>
      </c>
      <c r="I1395" t="b">
        <v>0</v>
      </c>
      <c r="J1395" cm="1">
        <f t="array" ref="J1395">sentimentCalc(B1395)</f>
        <v>2</v>
      </c>
      <c r="K1395" t="str" cm="1">
        <f t="array" ref="K1395">sentimentCategory(J1395)</f>
        <v>Positive</v>
      </c>
    </row>
    <row r="1396" spans="1:11" ht="17" x14ac:dyDescent="0.2">
      <c r="A1396" t="s">
        <v>3527</v>
      </c>
      <c r="B1396" s="1" t="s">
        <v>3528</v>
      </c>
      <c r="C1396" t="s">
        <v>406</v>
      </c>
      <c r="D1396" s="1" t="s">
        <v>2</v>
      </c>
      <c r="E1396" t="b">
        <v>0</v>
      </c>
      <c r="F1396">
        <v>246</v>
      </c>
      <c r="G1396">
        <v>71</v>
      </c>
      <c r="H1396" t="s">
        <v>11</v>
      </c>
      <c r="I1396" t="b">
        <v>0</v>
      </c>
      <c r="J1396" cm="1">
        <f t="array" ref="J1396">sentimentCalc(B1396)</f>
        <v>-1</v>
      </c>
      <c r="K1396" t="str" cm="1">
        <f t="array" ref="K1396">sentimentCategory(J1396)</f>
        <v>Negative</v>
      </c>
    </row>
    <row r="1397" spans="1:11" ht="17" x14ac:dyDescent="0.2">
      <c r="A1397" t="s">
        <v>5318</v>
      </c>
      <c r="B1397" s="1" t="s">
        <v>5319</v>
      </c>
      <c r="C1397" t="s">
        <v>161</v>
      </c>
      <c r="D1397" s="1" t="s">
        <v>5320</v>
      </c>
      <c r="E1397" t="b">
        <v>0</v>
      </c>
      <c r="F1397">
        <v>1443</v>
      </c>
      <c r="G1397">
        <v>1514</v>
      </c>
      <c r="H1397" t="s">
        <v>11</v>
      </c>
      <c r="I1397" t="b">
        <v>0</v>
      </c>
      <c r="J1397" cm="1">
        <f t="array" ref="J1397">sentimentCalc(B1397)</f>
        <v>0</v>
      </c>
      <c r="K1397" t="str" cm="1">
        <f t="array" ref="K1397">sentimentCategory(J1397)</f>
        <v>Neutral</v>
      </c>
    </row>
    <row r="1398" spans="1:11" ht="34" x14ac:dyDescent="0.2">
      <c r="A1398" t="s">
        <v>3349</v>
      </c>
      <c r="B1398" s="1" t="s">
        <v>3350</v>
      </c>
      <c r="C1398" t="s">
        <v>79</v>
      </c>
      <c r="D1398" s="1" t="s">
        <v>3351</v>
      </c>
      <c r="E1398" t="b">
        <v>0</v>
      </c>
      <c r="F1398">
        <v>598</v>
      </c>
      <c r="G1398">
        <v>2901</v>
      </c>
      <c r="H1398" t="s">
        <v>11</v>
      </c>
      <c r="I1398" t="b">
        <v>0</v>
      </c>
      <c r="J1398" cm="1">
        <f t="array" ref="J1398">sentimentCalc(B1398)</f>
        <v>0</v>
      </c>
      <c r="K1398" t="str" cm="1">
        <f t="array" ref="K1398">sentimentCategory(J1398)</f>
        <v>Neutral</v>
      </c>
    </row>
    <row r="1399" spans="1:11" ht="17" x14ac:dyDescent="0.2">
      <c r="A1399" t="s">
        <v>5270</v>
      </c>
      <c r="B1399" s="1" t="s">
        <v>5271</v>
      </c>
      <c r="C1399" t="s">
        <v>5272</v>
      </c>
      <c r="D1399" s="1" t="s">
        <v>61</v>
      </c>
      <c r="E1399" t="b">
        <v>0</v>
      </c>
      <c r="F1399">
        <v>785</v>
      </c>
      <c r="G1399">
        <v>934</v>
      </c>
      <c r="H1399" t="s">
        <v>11</v>
      </c>
      <c r="I1399" t="b">
        <v>0</v>
      </c>
      <c r="J1399" cm="1">
        <f t="array" ref="J1399">sentimentCalc(B1399)</f>
        <v>0</v>
      </c>
      <c r="K1399" t="str" cm="1">
        <f t="array" ref="K1399">sentimentCategory(J1399)</f>
        <v>Neutral</v>
      </c>
    </row>
    <row r="1400" spans="1:11" ht="34" x14ac:dyDescent="0.2">
      <c r="A1400" t="s">
        <v>1867</v>
      </c>
      <c r="B1400" s="1" t="s">
        <v>1868</v>
      </c>
      <c r="C1400" t="s">
        <v>1869</v>
      </c>
      <c r="D1400" s="1" t="s">
        <v>1870</v>
      </c>
      <c r="E1400" t="b">
        <v>0</v>
      </c>
      <c r="F1400">
        <v>382</v>
      </c>
      <c r="G1400">
        <v>1026</v>
      </c>
      <c r="H1400" t="s">
        <v>47</v>
      </c>
      <c r="I1400" t="b">
        <v>0</v>
      </c>
      <c r="J1400" cm="1">
        <f t="array" ref="J1400">sentimentCalc(B1400)</f>
        <v>-1</v>
      </c>
      <c r="K1400" t="str" cm="1">
        <f t="array" ref="K1400">sentimentCategory(J1400)</f>
        <v>Negative</v>
      </c>
    </row>
    <row r="1401" spans="1:11" ht="34" x14ac:dyDescent="0.2">
      <c r="A1401" t="s">
        <v>876</v>
      </c>
      <c r="B1401" s="1" t="s">
        <v>877</v>
      </c>
      <c r="C1401" t="s">
        <v>782</v>
      </c>
      <c r="D1401" s="1" t="s">
        <v>2</v>
      </c>
      <c r="E1401" t="b">
        <v>0</v>
      </c>
      <c r="F1401">
        <v>14920</v>
      </c>
      <c r="G1401">
        <v>8377</v>
      </c>
      <c r="H1401" t="s">
        <v>11</v>
      </c>
      <c r="I1401" t="b">
        <v>0</v>
      </c>
      <c r="J1401" cm="1">
        <f t="array" ref="J1401">sentimentCalc(B1401)</f>
        <v>0</v>
      </c>
      <c r="K1401" t="str" cm="1">
        <f t="array" ref="K1401">sentimentCategory(J1401)</f>
        <v>Neutral</v>
      </c>
    </row>
    <row r="1402" spans="1:11" ht="17" x14ac:dyDescent="0.2">
      <c r="A1402" t="s">
        <v>2446</v>
      </c>
      <c r="B1402" s="1" t="s">
        <v>2447</v>
      </c>
      <c r="C1402" t="s">
        <v>1091</v>
      </c>
      <c r="D1402" s="1" t="s">
        <v>928</v>
      </c>
      <c r="E1402" t="b">
        <v>0</v>
      </c>
      <c r="F1402">
        <v>26</v>
      </c>
      <c r="G1402">
        <v>162</v>
      </c>
      <c r="H1402" t="s">
        <v>47</v>
      </c>
      <c r="I1402" t="b">
        <v>0</v>
      </c>
      <c r="J1402" cm="1">
        <f t="array" ref="J1402">sentimentCalc(B1402)</f>
        <v>0</v>
      </c>
      <c r="K1402" t="str" cm="1">
        <f t="array" ref="K1402">sentimentCategory(J1402)</f>
        <v>Neutral</v>
      </c>
    </row>
    <row r="1403" spans="1:11" ht="17" x14ac:dyDescent="0.2">
      <c r="A1403" t="s">
        <v>6001</v>
      </c>
      <c r="B1403" s="1" t="s">
        <v>6002</v>
      </c>
      <c r="C1403" t="s">
        <v>5975</v>
      </c>
      <c r="D1403" s="1" t="s">
        <v>5976</v>
      </c>
      <c r="E1403" t="b">
        <v>0</v>
      </c>
      <c r="F1403">
        <v>490</v>
      </c>
      <c r="G1403">
        <v>649</v>
      </c>
      <c r="H1403" t="s">
        <v>370</v>
      </c>
      <c r="I1403" t="b">
        <v>0</v>
      </c>
      <c r="J1403" cm="1">
        <f t="array" ref="J1403">sentimentCalc(B1403)</f>
        <v>0</v>
      </c>
      <c r="K1403" t="str" cm="1">
        <f t="array" ref="K1403">sentimentCategory(J1403)</f>
        <v>Neutral</v>
      </c>
    </row>
    <row r="1404" spans="1:11" ht="34" x14ac:dyDescent="0.2">
      <c r="A1404" t="s">
        <v>3141</v>
      </c>
      <c r="B1404" s="1" t="s">
        <v>3142</v>
      </c>
      <c r="C1404" t="s">
        <v>100</v>
      </c>
      <c r="D1404" s="1" t="s">
        <v>2</v>
      </c>
      <c r="E1404" t="b">
        <v>0</v>
      </c>
      <c r="F1404">
        <v>3</v>
      </c>
      <c r="G1404">
        <v>0</v>
      </c>
      <c r="H1404" t="s">
        <v>359</v>
      </c>
      <c r="I1404" t="b">
        <v>0</v>
      </c>
      <c r="J1404" cm="1">
        <f t="array" ref="J1404">sentimentCalc(B1404)</f>
        <v>1</v>
      </c>
      <c r="K1404" t="str" cm="1">
        <f t="array" ref="K1404">sentimentCategory(J1404)</f>
        <v>Positive</v>
      </c>
    </row>
    <row r="1405" spans="1:11" ht="17" x14ac:dyDescent="0.2">
      <c r="A1405" t="s">
        <v>6563</v>
      </c>
      <c r="B1405" s="1" t="s">
        <v>6564</v>
      </c>
      <c r="C1405" t="s">
        <v>2226</v>
      </c>
      <c r="D1405" s="1" t="s">
        <v>1207</v>
      </c>
      <c r="E1405" t="b">
        <v>0</v>
      </c>
      <c r="F1405">
        <v>1419</v>
      </c>
      <c r="G1405">
        <v>373</v>
      </c>
      <c r="H1405" t="s">
        <v>11</v>
      </c>
      <c r="I1405" t="b">
        <v>0</v>
      </c>
      <c r="J1405" cm="1">
        <f t="array" ref="J1405">sentimentCalc(B1405)</f>
        <v>0</v>
      </c>
      <c r="K1405" t="str" cm="1">
        <f t="array" ref="K1405">sentimentCategory(J1405)</f>
        <v>Neutral</v>
      </c>
    </row>
    <row r="1406" spans="1:11" ht="34" x14ac:dyDescent="0.2">
      <c r="A1406" t="s">
        <v>3517</v>
      </c>
      <c r="B1406" s="1" t="s">
        <v>3518</v>
      </c>
      <c r="C1406" t="s">
        <v>439</v>
      </c>
      <c r="D1406" s="1" t="s">
        <v>961</v>
      </c>
      <c r="E1406" t="b">
        <v>0</v>
      </c>
      <c r="F1406">
        <v>563</v>
      </c>
      <c r="G1406">
        <v>486</v>
      </c>
      <c r="H1406" t="s">
        <v>11</v>
      </c>
      <c r="I1406" t="b">
        <v>0</v>
      </c>
      <c r="J1406" cm="1">
        <f t="array" ref="J1406">sentimentCalc(B1406)</f>
        <v>0</v>
      </c>
      <c r="K1406" t="str" cm="1">
        <f t="array" ref="K1406">sentimentCategory(J1406)</f>
        <v>Neutral</v>
      </c>
    </row>
    <row r="1407" spans="1:11" ht="34" x14ac:dyDescent="0.2">
      <c r="A1407" t="s">
        <v>2298</v>
      </c>
      <c r="B1407" s="1" t="s">
        <v>2299</v>
      </c>
      <c r="C1407" t="s">
        <v>2300</v>
      </c>
      <c r="D1407" s="1" t="s">
        <v>2301</v>
      </c>
      <c r="E1407" t="b">
        <v>0</v>
      </c>
      <c r="F1407">
        <v>253</v>
      </c>
      <c r="G1407">
        <v>542</v>
      </c>
      <c r="H1407" t="s">
        <v>11</v>
      </c>
      <c r="I1407" t="b">
        <v>0</v>
      </c>
      <c r="J1407" cm="1">
        <f t="array" ref="J1407">sentimentCalc(B1407)</f>
        <v>0</v>
      </c>
      <c r="K1407" t="str" cm="1">
        <f t="array" ref="K1407">sentimentCategory(J1407)</f>
        <v>Neutral</v>
      </c>
    </row>
    <row r="1408" spans="1:11" ht="17" x14ac:dyDescent="0.2">
      <c r="A1408" t="s">
        <v>1570</v>
      </c>
      <c r="B1408" s="1" t="s">
        <v>1571</v>
      </c>
      <c r="C1408" t="s">
        <v>1572</v>
      </c>
      <c r="D1408" s="1" t="s">
        <v>1573</v>
      </c>
      <c r="E1408" t="b">
        <v>0</v>
      </c>
      <c r="F1408">
        <v>3197</v>
      </c>
      <c r="G1408">
        <v>3321</v>
      </c>
      <c r="H1408" t="s">
        <v>11</v>
      </c>
      <c r="I1408" t="b">
        <v>0</v>
      </c>
      <c r="J1408" cm="1">
        <f t="array" ref="J1408">sentimentCalc(B1408)</f>
        <v>0</v>
      </c>
      <c r="K1408" t="str" cm="1">
        <f t="array" ref="K1408">sentimentCategory(J1408)</f>
        <v>Neutral</v>
      </c>
    </row>
    <row r="1409" spans="1:11" ht="34" x14ac:dyDescent="0.2">
      <c r="A1409" t="s">
        <v>4229</v>
      </c>
      <c r="B1409" s="1" t="s">
        <v>4230</v>
      </c>
      <c r="C1409" t="s">
        <v>4231</v>
      </c>
      <c r="D1409" s="1" t="s">
        <v>1062</v>
      </c>
      <c r="E1409" t="b">
        <v>0</v>
      </c>
      <c r="F1409">
        <v>118</v>
      </c>
      <c r="G1409">
        <v>199</v>
      </c>
      <c r="H1409" t="s">
        <v>11</v>
      </c>
      <c r="I1409" t="b">
        <v>0</v>
      </c>
      <c r="J1409" cm="1">
        <f t="array" ref="J1409">sentimentCalc(B1409)</f>
        <v>1</v>
      </c>
      <c r="K1409" t="str" cm="1">
        <f t="array" ref="K1409">sentimentCategory(J1409)</f>
        <v>Positive</v>
      </c>
    </row>
    <row r="1410" spans="1:11" ht="17" x14ac:dyDescent="0.2">
      <c r="A1410" t="s">
        <v>1201</v>
      </c>
      <c r="B1410" s="1" t="s">
        <v>1202</v>
      </c>
      <c r="C1410" t="s">
        <v>476</v>
      </c>
      <c r="D1410" s="1" t="s">
        <v>1203</v>
      </c>
      <c r="E1410" t="b">
        <v>0</v>
      </c>
      <c r="F1410">
        <v>298</v>
      </c>
      <c r="G1410">
        <v>604</v>
      </c>
      <c r="H1410" t="s">
        <v>11</v>
      </c>
      <c r="I1410" t="b">
        <v>0</v>
      </c>
      <c r="J1410" cm="1">
        <f t="array" ref="J1410">sentimentCalc(B1410)</f>
        <v>0</v>
      </c>
      <c r="K1410" t="str" cm="1">
        <f t="array" ref="K1410">sentimentCategory(J1410)</f>
        <v>Neutral</v>
      </c>
    </row>
    <row r="1411" spans="1:11" ht="34" x14ac:dyDescent="0.2">
      <c r="A1411" t="s">
        <v>5485</v>
      </c>
      <c r="B1411" s="1" t="s">
        <v>5486</v>
      </c>
      <c r="C1411" t="s">
        <v>100</v>
      </c>
      <c r="D1411" s="1" t="s">
        <v>2</v>
      </c>
      <c r="E1411" t="b">
        <v>0</v>
      </c>
      <c r="F1411">
        <v>7</v>
      </c>
      <c r="G1411">
        <v>7</v>
      </c>
      <c r="H1411" t="s">
        <v>359</v>
      </c>
      <c r="I1411" t="b">
        <v>0</v>
      </c>
      <c r="J1411" cm="1">
        <f t="array" ref="J1411">sentimentCalc(B1411)</f>
        <v>0</v>
      </c>
      <c r="K1411" t="str" cm="1">
        <f t="array" ref="K1411">sentimentCategory(J1411)</f>
        <v>Neutral</v>
      </c>
    </row>
    <row r="1412" spans="1:11" ht="17" x14ac:dyDescent="0.2">
      <c r="A1412" t="s">
        <v>4648</v>
      </c>
      <c r="B1412" s="1" t="s">
        <v>4649</v>
      </c>
      <c r="C1412" t="s">
        <v>4650</v>
      </c>
      <c r="D1412" s="1" t="s">
        <v>2</v>
      </c>
      <c r="E1412" t="b">
        <v>0</v>
      </c>
      <c r="F1412">
        <v>81</v>
      </c>
      <c r="G1412">
        <v>62</v>
      </c>
      <c r="H1412" t="s">
        <v>11</v>
      </c>
      <c r="I1412" t="b">
        <v>0</v>
      </c>
      <c r="J1412" cm="1">
        <f t="array" ref="J1412">sentimentCalc(B1412)</f>
        <v>0</v>
      </c>
      <c r="K1412" t="str" cm="1">
        <f t="array" ref="K1412">sentimentCategory(J1412)</f>
        <v>Neutral</v>
      </c>
    </row>
    <row r="1413" spans="1:11" ht="34" x14ac:dyDescent="0.2">
      <c r="A1413" t="s">
        <v>5520</v>
      </c>
      <c r="B1413" s="1" t="s">
        <v>5521</v>
      </c>
      <c r="C1413" t="s">
        <v>1834</v>
      </c>
      <c r="D1413" s="1" t="s">
        <v>2</v>
      </c>
      <c r="E1413" t="b">
        <v>0</v>
      </c>
      <c r="F1413">
        <v>7322</v>
      </c>
      <c r="G1413">
        <v>497</v>
      </c>
      <c r="H1413" t="s">
        <v>11</v>
      </c>
      <c r="I1413" t="b">
        <v>0</v>
      </c>
      <c r="J1413" cm="1">
        <f t="array" ref="J1413">sentimentCalc(B1413)</f>
        <v>0</v>
      </c>
      <c r="K1413" t="str" cm="1">
        <f t="array" ref="K1413">sentimentCategory(J1413)</f>
        <v>Neutral</v>
      </c>
    </row>
    <row r="1414" spans="1:11" ht="34" x14ac:dyDescent="0.2">
      <c r="A1414" t="s">
        <v>1114</v>
      </c>
      <c r="B1414" s="1" t="s">
        <v>1115</v>
      </c>
      <c r="C1414" t="s">
        <v>167</v>
      </c>
      <c r="D1414" s="1" t="s">
        <v>2</v>
      </c>
      <c r="E1414" t="b">
        <v>0</v>
      </c>
      <c r="F1414">
        <v>20</v>
      </c>
      <c r="G1414">
        <v>47</v>
      </c>
      <c r="H1414" t="s">
        <v>11</v>
      </c>
      <c r="I1414" t="b">
        <v>0</v>
      </c>
      <c r="J1414" cm="1">
        <f t="array" ref="J1414">sentimentCalc(B1414)</f>
        <v>0</v>
      </c>
      <c r="K1414" t="str" cm="1">
        <f t="array" ref="K1414">sentimentCategory(J1414)</f>
        <v>Neutral</v>
      </c>
    </row>
    <row r="1415" spans="1:11" ht="17" x14ac:dyDescent="0.2">
      <c r="A1415" t="s">
        <v>4250</v>
      </c>
      <c r="B1415" s="1" t="s">
        <v>4252</v>
      </c>
      <c r="C1415" t="s">
        <v>1419</v>
      </c>
      <c r="D1415" s="1" t="s">
        <v>4253</v>
      </c>
      <c r="E1415" t="b">
        <v>0</v>
      </c>
      <c r="F1415">
        <v>384</v>
      </c>
      <c r="G1415">
        <v>7</v>
      </c>
      <c r="H1415" t="s">
        <v>11</v>
      </c>
      <c r="I1415" t="b">
        <v>0</v>
      </c>
      <c r="J1415" cm="1">
        <f t="array" ref="J1415">sentimentCalc(B1415)</f>
        <v>0</v>
      </c>
      <c r="K1415" t="str" cm="1">
        <f t="array" ref="K1415">sentimentCategory(J1415)</f>
        <v>Neutral</v>
      </c>
    </row>
    <row r="1416" spans="1:11" ht="34" x14ac:dyDescent="0.2">
      <c r="A1416" t="s">
        <v>1629</v>
      </c>
      <c r="B1416" s="1" t="s">
        <v>1630</v>
      </c>
      <c r="C1416" t="s">
        <v>1631</v>
      </c>
      <c r="D1416" s="1" t="s">
        <v>1632</v>
      </c>
      <c r="E1416" t="b">
        <v>0</v>
      </c>
      <c r="F1416">
        <v>177</v>
      </c>
      <c r="G1416">
        <v>174</v>
      </c>
      <c r="H1416" t="s">
        <v>11</v>
      </c>
      <c r="I1416" t="b">
        <v>0</v>
      </c>
      <c r="J1416" cm="1">
        <f t="array" ref="J1416">sentimentCalc(B1416)</f>
        <v>0</v>
      </c>
      <c r="K1416" t="str" cm="1">
        <f t="array" ref="K1416">sentimentCategory(J1416)</f>
        <v>Neutral</v>
      </c>
    </row>
    <row r="1417" spans="1:11" ht="17" x14ac:dyDescent="0.2">
      <c r="A1417" t="s">
        <v>2887</v>
      </c>
      <c r="B1417" s="1" t="s">
        <v>2888</v>
      </c>
      <c r="C1417" t="s">
        <v>2889</v>
      </c>
      <c r="D1417" s="1" t="s">
        <v>2890</v>
      </c>
      <c r="E1417" t="b">
        <v>0</v>
      </c>
      <c r="F1417">
        <v>164</v>
      </c>
      <c r="G1417">
        <v>201</v>
      </c>
      <c r="H1417" t="s">
        <v>11</v>
      </c>
      <c r="I1417" t="b">
        <v>0</v>
      </c>
      <c r="J1417" cm="1">
        <f t="array" ref="J1417">sentimentCalc(B1417)</f>
        <v>0</v>
      </c>
      <c r="K1417" t="str" cm="1">
        <f t="array" ref="K1417">sentimentCategory(J1417)</f>
        <v>Neutral</v>
      </c>
    </row>
    <row r="1418" spans="1:11" ht="34" x14ac:dyDescent="0.2">
      <c r="A1418" t="s">
        <v>7151</v>
      </c>
      <c r="B1418" s="1" t="s">
        <v>7152</v>
      </c>
      <c r="C1418" t="s">
        <v>944</v>
      </c>
      <c r="D1418" s="1" t="s">
        <v>6600</v>
      </c>
      <c r="E1418" t="b">
        <v>0</v>
      </c>
      <c r="F1418">
        <v>777</v>
      </c>
      <c r="G1418">
        <v>616</v>
      </c>
      <c r="H1418" t="s">
        <v>11</v>
      </c>
      <c r="I1418" t="b">
        <v>0</v>
      </c>
      <c r="J1418" cm="1">
        <f t="array" ref="J1418">sentimentCalc(B1418)</f>
        <v>0</v>
      </c>
      <c r="K1418" t="str" cm="1">
        <f t="array" ref="K1418">sentimentCategory(J1418)</f>
        <v>Neutral</v>
      </c>
    </row>
    <row r="1419" spans="1:11" ht="17" x14ac:dyDescent="0.2">
      <c r="A1419" t="s">
        <v>631</v>
      </c>
      <c r="B1419" s="1" t="s">
        <v>632</v>
      </c>
      <c r="C1419" t="s">
        <v>208</v>
      </c>
      <c r="D1419" s="1" t="s">
        <v>633</v>
      </c>
      <c r="E1419" t="b">
        <v>0</v>
      </c>
      <c r="F1419">
        <v>213</v>
      </c>
      <c r="G1419">
        <v>98</v>
      </c>
      <c r="H1419" t="s">
        <v>11</v>
      </c>
      <c r="I1419" t="b">
        <v>0</v>
      </c>
      <c r="J1419" cm="1">
        <f t="array" ref="J1419">sentimentCalc(B1419)</f>
        <v>0</v>
      </c>
      <c r="K1419" t="str" cm="1">
        <f t="array" ref="K1419">sentimentCategory(J1419)</f>
        <v>Neutral</v>
      </c>
    </row>
    <row r="1420" spans="1:11" ht="34" x14ac:dyDescent="0.2">
      <c r="A1420" t="s">
        <v>3841</v>
      </c>
      <c r="B1420" s="1" t="s">
        <v>3842</v>
      </c>
      <c r="C1420" t="s">
        <v>186</v>
      </c>
      <c r="D1420" s="1" t="s">
        <v>3843</v>
      </c>
      <c r="E1420" t="b">
        <v>0</v>
      </c>
      <c r="F1420">
        <v>6</v>
      </c>
      <c r="G1420">
        <v>29</v>
      </c>
      <c r="H1420" t="s">
        <v>11</v>
      </c>
      <c r="I1420" t="b">
        <v>0</v>
      </c>
      <c r="J1420" cm="1">
        <f t="array" ref="J1420">sentimentCalc(B1420)</f>
        <v>1</v>
      </c>
      <c r="K1420" t="str" cm="1">
        <f t="array" ref="K1420">sentimentCategory(J1420)</f>
        <v>Positive</v>
      </c>
    </row>
    <row r="1421" spans="1:11" ht="34" x14ac:dyDescent="0.2">
      <c r="A1421" t="s">
        <v>6349</v>
      </c>
      <c r="B1421" s="1" t="s">
        <v>6350</v>
      </c>
      <c r="C1421" t="s">
        <v>6351</v>
      </c>
      <c r="D1421" s="1" t="s">
        <v>1348</v>
      </c>
      <c r="E1421" t="b">
        <v>0</v>
      </c>
      <c r="F1421">
        <v>24</v>
      </c>
      <c r="G1421">
        <v>45</v>
      </c>
      <c r="H1421" t="s">
        <v>11</v>
      </c>
      <c r="I1421" t="b">
        <v>0</v>
      </c>
      <c r="J1421" cm="1">
        <f t="array" ref="J1421">sentimentCalc(B1421)</f>
        <v>0</v>
      </c>
      <c r="K1421" t="str" cm="1">
        <f t="array" ref="K1421">sentimentCategory(J1421)</f>
        <v>Neutral</v>
      </c>
    </row>
    <row r="1422" spans="1:11" ht="34" x14ac:dyDescent="0.2">
      <c r="A1422" t="s">
        <v>5448</v>
      </c>
      <c r="B1422" s="1" t="s">
        <v>5449</v>
      </c>
      <c r="C1422" t="s">
        <v>2364</v>
      </c>
      <c r="D1422" s="1" t="s">
        <v>980</v>
      </c>
      <c r="E1422" t="b">
        <v>0</v>
      </c>
      <c r="F1422">
        <v>940</v>
      </c>
      <c r="G1422">
        <v>718</v>
      </c>
      <c r="H1422" t="s">
        <v>11</v>
      </c>
      <c r="I1422" t="b">
        <v>0</v>
      </c>
      <c r="J1422" cm="1">
        <f t="array" ref="J1422">sentimentCalc(B1422)</f>
        <v>0</v>
      </c>
      <c r="K1422" t="str" cm="1">
        <f t="array" ref="K1422">sentimentCategory(J1422)</f>
        <v>Neutral</v>
      </c>
    </row>
    <row r="1423" spans="1:11" ht="34" x14ac:dyDescent="0.2">
      <c r="A1423" t="s">
        <v>4796</v>
      </c>
      <c r="B1423" s="1" t="s">
        <v>4797</v>
      </c>
      <c r="C1423" t="s">
        <v>2533</v>
      </c>
      <c r="D1423" s="1" t="s">
        <v>4798</v>
      </c>
      <c r="E1423" t="b">
        <v>0</v>
      </c>
      <c r="F1423">
        <v>3</v>
      </c>
      <c r="G1423">
        <v>5</v>
      </c>
      <c r="H1423" t="s">
        <v>11</v>
      </c>
      <c r="I1423" t="b">
        <v>0</v>
      </c>
      <c r="J1423" cm="1">
        <f t="array" ref="J1423">sentimentCalc(B1423)</f>
        <v>0</v>
      </c>
      <c r="K1423" t="str" cm="1">
        <f t="array" ref="K1423">sentimentCategory(J1423)</f>
        <v>Neutral</v>
      </c>
    </row>
    <row r="1424" spans="1:11" ht="17" x14ac:dyDescent="0.2">
      <c r="A1424" t="s">
        <v>2859</v>
      </c>
      <c r="B1424" s="1" t="s">
        <v>2860</v>
      </c>
      <c r="C1424" t="s">
        <v>2861</v>
      </c>
      <c r="D1424" s="1" t="s">
        <v>2</v>
      </c>
      <c r="E1424" t="b">
        <v>0</v>
      </c>
      <c r="F1424">
        <v>10</v>
      </c>
      <c r="G1424">
        <v>111</v>
      </c>
      <c r="H1424" t="s">
        <v>110</v>
      </c>
      <c r="I1424" t="b">
        <v>0</v>
      </c>
      <c r="J1424" cm="1">
        <f t="array" ref="J1424">sentimentCalc(B1424)</f>
        <v>0</v>
      </c>
      <c r="K1424" t="str" cm="1">
        <f t="array" ref="K1424">sentimentCategory(J1424)</f>
        <v>Neutral</v>
      </c>
    </row>
    <row r="1425" spans="1:11" ht="34" x14ac:dyDescent="0.2">
      <c r="A1425" t="s">
        <v>2174</v>
      </c>
      <c r="B1425" s="1" t="s">
        <v>2175</v>
      </c>
      <c r="C1425" t="s">
        <v>1568</v>
      </c>
      <c r="D1425" s="1" t="s">
        <v>109</v>
      </c>
      <c r="E1425" t="b">
        <v>0</v>
      </c>
      <c r="F1425">
        <v>232</v>
      </c>
      <c r="G1425">
        <v>842</v>
      </c>
      <c r="H1425" t="s">
        <v>11</v>
      </c>
      <c r="I1425" t="b">
        <v>0</v>
      </c>
      <c r="J1425" cm="1">
        <f t="array" ref="J1425">sentimentCalc(B1425)</f>
        <v>2</v>
      </c>
      <c r="K1425" t="str" cm="1">
        <f t="array" ref="K1425">sentimentCategory(J1425)</f>
        <v>Positive</v>
      </c>
    </row>
    <row r="1426" spans="1:11" ht="17" x14ac:dyDescent="0.2">
      <c r="A1426" t="s">
        <v>3760</v>
      </c>
      <c r="B1426" s="1" t="s">
        <v>3761</v>
      </c>
      <c r="C1426" t="s">
        <v>3365</v>
      </c>
      <c r="D1426" s="1" t="s">
        <v>3762</v>
      </c>
      <c r="E1426" t="b">
        <v>0</v>
      </c>
      <c r="F1426">
        <v>178</v>
      </c>
      <c r="G1426">
        <v>399</v>
      </c>
      <c r="H1426" t="s">
        <v>11</v>
      </c>
      <c r="I1426" t="b">
        <v>0</v>
      </c>
      <c r="J1426" cm="1">
        <f t="array" ref="J1426">sentimentCalc(B1426)</f>
        <v>0</v>
      </c>
      <c r="K1426" t="str" cm="1">
        <f t="array" ref="K1426">sentimentCategory(J1426)</f>
        <v>Neutral</v>
      </c>
    </row>
    <row r="1427" spans="1:11" ht="17" x14ac:dyDescent="0.2">
      <c r="A1427" t="s">
        <v>1625</v>
      </c>
      <c r="B1427" s="1" t="s">
        <v>1626</v>
      </c>
      <c r="C1427" t="s">
        <v>1621</v>
      </c>
      <c r="D1427" s="1" t="s">
        <v>1622</v>
      </c>
      <c r="E1427" t="b">
        <v>0</v>
      </c>
      <c r="F1427">
        <v>255</v>
      </c>
      <c r="G1427">
        <v>777</v>
      </c>
      <c r="H1427" t="s">
        <v>11</v>
      </c>
      <c r="I1427" t="b">
        <v>0</v>
      </c>
      <c r="J1427" cm="1">
        <f t="array" ref="J1427">sentimentCalc(B1427)</f>
        <v>2</v>
      </c>
      <c r="K1427" t="str" cm="1">
        <f t="array" ref="K1427">sentimentCategory(J1427)</f>
        <v>Positive</v>
      </c>
    </row>
    <row r="1428" spans="1:11" ht="17" x14ac:dyDescent="0.2">
      <c r="A1428" t="s">
        <v>3657</v>
      </c>
      <c r="B1428" s="1" t="s">
        <v>3658</v>
      </c>
      <c r="C1428" t="s">
        <v>3659</v>
      </c>
      <c r="D1428" s="1" t="s">
        <v>2</v>
      </c>
      <c r="E1428" t="b">
        <v>0</v>
      </c>
      <c r="F1428">
        <v>652</v>
      </c>
      <c r="G1428">
        <v>270</v>
      </c>
      <c r="H1428" t="s">
        <v>11</v>
      </c>
      <c r="I1428" t="b">
        <v>0</v>
      </c>
      <c r="J1428" cm="1">
        <f t="array" ref="J1428">sentimentCalc(B1428)</f>
        <v>0</v>
      </c>
      <c r="K1428" t="str" cm="1">
        <f t="array" ref="K1428">sentimentCategory(J1428)</f>
        <v>Neutral</v>
      </c>
    </row>
    <row r="1429" spans="1:11" ht="17" x14ac:dyDescent="0.2">
      <c r="A1429" t="s">
        <v>4729</v>
      </c>
      <c r="B1429" s="1" t="s">
        <v>4730</v>
      </c>
      <c r="C1429" t="s">
        <v>4731</v>
      </c>
      <c r="D1429" s="1" t="s">
        <v>4732</v>
      </c>
      <c r="E1429" t="b">
        <v>0</v>
      </c>
      <c r="F1429">
        <v>94</v>
      </c>
      <c r="G1429">
        <v>160</v>
      </c>
      <c r="H1429" t="s">
        <v>47</v>
      </c>
      <c r="I1429" t="b">
        <v>0</v>
      </c>
      <c r="J1429" cm="1">
        <f t="array" ref="J1429">sentimentCalc(B1429)</f>
        <v>0</v>
      </c>
      <c r="K1429" t="str" cm="1">
        <f t="array" ref="K1429">sentimentCategory(J1429)</f>
        <v>Neutral</v>
      </c>
    </row>
    <row r="1430" spans="1:11" ht="17" x14ac:dyDescent="0.2">
      <c r="A1430" t="s">
        <v>3210</v>
      </c>
      <c r="B1430" s="1" t="s">
        <v>3211</v>
      </c>
      <c r="C1430" t="s">
        <v>3212</v>
      </c>
      <c r="D1430" s="1" t="s">
        <v>3213</v>
      </c>
      <c r="E1430" t="b">
        <v>0</v>
      </c>
      <c r="F1430">
        <v>12144</v>
      </c>
      <c r="G1430">
        <v>375</v>
      </c>
      <c r="H1430" t="s">
        <v>11</v>
      </c>
      <c r="I1430" t="b">
        <v>0</v>
      </c>
      <c r="J1430" cm="1">
        <f t="array" ref="J1430">sentimentCalc(B1430)</f>
        <v>0</v>
      </c>
      <c r="K1430" t="str" cm="1">
        <f t="array" ref="K1430">sentimentCategory(J1430)</f>
        <v>Neutral</v>
      </c>
    </row>
    <row r="1431" spans="1:11" ht="17" x14ac:dyDescent="0.2">
      <c r="A1431" t="s">
        <v>478</v>
      </c>
      <c r="B1431" s="1" t="s">
        <v>479</v>
      </c>
      <c r="C1431" t="s">
        <v>480</v>
      </c>
      <c r="D1431" s="1" t="s">
        <v>61</v>
      </c>
      <c r="E1431" t="b">
        <v>0</v>
      </c>
      <c r="F1431">
        <v>79</v>
      </c>
      <c r="G1431">
        <v>607</v>
      </c>
      <c r="H1431" t="s">
        <v>11</v>
      </c>
      <c r="I1431" t="b">
        <v>0</v>
      </c>
      <c r="J1431" cm="1">
        <f t="array" ref="J1431">sentimentCalc(B1431)</f>
        <v>0</v>
      </c>
      <c r="K1431" t="str" cm="1">
        <f t="array" ref="K1431">sentimentCategory(J1431)</f>
        <v>Neutral</v>
      </c>
    </row>
    <row r="1432" spans="1:11" ht="17" x14ac:dyDescent="0.2">
      <c r="A1432" t="s">
        <v>5050</v>
      </c>
      <c r="B1432" s="1" t="s">
        <v>5051</v>
      </c>
      <c r="C1432" t="s">
        <v>5052</v>
      </c>
      <c r="D1432" s="1" t="s">
        <v>5053</v>
      </c>
      <c r="E1432" t="b">
        <v>0</v>
      </c>
      <c r="F1432">
        <v>122</v>
      </c>
      <c r="G1432">
        <v>569</v>
      </c>
      <c r="H1432" t="s">
        <v>11</v>
      </c>
      <c r="I1432" t="b">
        <v>0</v>
      </c>
      <c r="J1432" cm="1">
        <f t="array" ref="J1432">sentimentCalc(B1432)</f>
        <v>0</v>
      </c>
      <c r="K1432" t="str" cm="1">
        <f t="array" ref="K1432">sentimentCategory(J1432)</f>
        <v>Neutral</v>
      </c>
    </row>
    <row r="1433" spans="1:11" ht="17" x14ac:dyDescent="0.2">
      <c r="A1433" t="s">
        <v>5500</v>
      </c>
      <c r="B1433" s="1" t="s">
        <v>5501</v>
      </c>
      <c r="C1433" t="s">
        <v>279</v>
      </c>
      <c r="D1433" s="1" t="s">
        <v>5502</v>
      </c>
      <c r="E1433" t="b">
        <v>0</v>
      </c>
      <c r="F1433">
        <v>257</v>
      </c>
      <c r="G1433">
        <v>396</v>
      </c>
      <c r="H1433" t="s">
        <v>11</v>
      </c>
      <c r="I1433" t="b">
        <v>0</v>
      </c>
      <c r="J1433" cm="1">
        <f t="array" ref="J1433">sentimentCalc(B1433)</f>
        <v>0</v>
      </c>
      <c r="K1433" t="str" cm="1">
        <f t="array" ref="K1433">sentimentCategory(J1433)</f>
        <v>Neutral</v>
      </c>
    </row>
    <row r="1434" spans="1:11" ht="17" x14ac:dyDescent="0.2">
      <c r="A1434" t="s">
        <v>5106</v>
      </c>
      <c r="B1434" s="1" t="s">
        <v>5108</v>
      </c>
      <c r="C1434" t="s">
        <v>1506</v>
      </c>
      <c r="D1434" s="1" t="s">
        <v>2</v>
      </c>
      <c r="E1434" t="b">
        <v>0</v>
      </c>
      <c r="F1434">
        <v>40</v>
      </c>
      <c r="G1434">
        <v>195</v>
      </c>
      <c r="H1434" t="s">
        <v>11</v>
      </c>
      <c r="I1434" t="b">
        <v>0</v>
      </c>
      <c r="J1434" cm="1">
        <f t="array" ref="J1434">sentimentCalc(B1434)</f>
        <v>0</v>
      </c>
      <c r="K1434" t="str" cm="1">
        <f t="array" ref="K1434">sentimentCategory(J1434)</f>
        <v>Neutral</v>
      </c>
    </row>
    <row r="1435" spans="1:11" ht="17" x14ac:dyDescent="0.2">
      <c r="A1435" t="s">
        <v>2096</v>
      </c>
      <c r="B1435" s="1" t="s">
        <v>2097</v>
      </c>
      <c r="C1435" t="s">
        <v>2098</v>
      </c>
      <c r="D1435" s="1" t="s">
        <v>2099</v>
      </c>
      <c r="E1435" t="b">
        <v>0</v>
      </c>
      <c r="F1435">
        <v>1283</v>
      </c>
      <c r="G1435">
        <v>1789</v>
      </c>
      <c r="H1435" t="s">
        <v>338</v>
      </c>
      <c r="I1435" t="b">
        <v>0</v>
      </c>
      <c r="J1435" cm="1">
        <f t="array" ref="J1435">sentimentCalc(B1435)</f>
        <v>0</v>
      </c>
      <c r="K1435" t="str" cm="1">
        <f t="array" ref="K1435">sentimentCategory(J1435)</f>
        <v>Neutral</v>
      </c>
    </row>
    <row r="1436" spans="1:11" ht="17" x14ac:dyDescent="0.2">
      <c r="A1436" t="s">
        <v>785</v>
      </c>
      <c r="B1436" s="1" t="s">
        <v>786</v>
      </c>
      <c r="C1436" t="s">
        <v>787</v>
      </c>
      <c r="D1436" s="1" t="s">
        <v>95</v>
      </c>
      <c r="E1436" t="b">
        <v>0</v>
      </c>
      <c r="F1436">
        <v>288</v>
      </c>
      <c r="G1436">
        <v>880</v>
      </c>
      <c r="H1436" t="s">
        <v>11</v>
      </c>
      <c r="I1436" t="b">
        <v>0</v>
      </c>
      <c r="J1436" cm="1">
        <f t="array" ref="J1436">sentimentCalc(B1436)</f>
        <v>0</v>
      </c>
      <c r="K1436" t="str" cm="1">
        <f t="array" ref="K1436">sentimentCategory(J1436)</f>
        <v>Neutral</v>
      </c>
    </row>
    <row r="1437" spans="1:11" ht="17" x14ac:dyDescent="0.2">
      <c r="A1437" t="s">
        <v>6010</v>
      </c>
      <c r="B1437" s="1" t="s">
        <v>6012</v>
      </c>
      <c r="C1437" t="s">
        <v>3072</v>
      </c>
      <c r="D1437" s="1" t="s">
        <v>506</v>
      </c>
      <c r="E1437" t="b">
        <v>0</v>
      </c>
      <c r="F1437">
        <v>8</v>
      </c>
      <c r="G1437">
        <v>36</v>
      </c>
      <c r="H1437" t="s">
        <v>11</v>
      </c>
      <c r="I1437" t="b">
        <v>0</v>
      </c>
      <c r="J1437" cm="1">
        <f t="array" ref="J1437">sentimentCalc(B1437)</f>
        <v>0</v>
      </c>
      <c r="K1437" t="str" cm="1">
        <f t="array" ref="K1437">sentimentCategory(J1437)</f>
        <v>Neutral</v>
      </c>
    </row>
    <row r="1438" spans="1:11" ht="34" x14ac:dyDescent="0.2">
      <c r="A1438" t="s">
        <v>6897</v>
      </c>
      <c r="B1438" s="1" t="s">
        <v>6898</v>
      </c>
      <c r="C1438" t="s">
        <v>564</v>
      </c>
      <c r="D1438" s="1" t="s">
        <v>6899</v>
      </c>
      <c r="E1438" t="b">
        <v>0</v>
      </c>
      <c r="F1438">
        <v>489</v>
      </c>
      <c r="G1438">
        <v>1080</v>
      </c>
      <c r="H1438" t="s">
        <v>11</v>
      </c>
      <c r="I1438" t="b">
        <v>0</v>
      </c>
      <c r="J1438" cm="1">
        <f t="array" ref="J1438">sentimentCalc(B1438)</f>
        <v>0</v>
      </c>
      <c r="K1438" t="str" cm="1">
        <f t="array" ref="K1438">sentimentCategory(J1438)</f>
        <v>Neutral</v>
      </c>
    </row>
    <row r="1439" spans="1:11" ht="34" x14ac:dyDescent="0.2">
      <c r="A1439" t="s">
        <v>499</v>
      </c>
      <c r="B1439" s="1" t="s">
        <v>500</v>
      </c>
      <c r="C1439" t="s">
        <v>501</v>
      </c>
      <c r="D1439" s="1" t="s">
        <v>502</v>
      </c>
      <c r="E1439" t="b">
        <v>0</v>
      </c>
      <c r="F1439">
        <v>325</v>
      </c>
      <c r="G1439">
        <v>1007</v>
      </c>
      <c r="H1439" t="s">
        <v>11</v>
      </c>
      <c r="I1439" t="b">
        <v>0</v>
      </c>
      <c r="J1439" cm="1">
        <f t="array" ref="J1439">sentimentCalc(B1439)</f>
        <v>0</v>
      </c>
      <c r="K1439" t="str" cm="1">
        <f t="array" ref="K1439">sentimentCategory(J1439)</f>
        <v>Neutral</v>
      </c>
    </row>
    <row r="1440" spans="1:11" ht="17" x14ac:dyDescent="0.2">
      <c r="A1440" t="s">
        <v>5789</v>
      </c>
      <c r="B1440" s="1" t="s">
        <v>5790</v>
      </c>
      <c r="C1440" t="s">
        <v>1031</v>
      </c>
      <c r="D1440" s="1" t="s">
        <v>5791</v>
      </c>
      <c r="E1440" t="b">
        <v>0</v>
      </c>
      <c r="F1440">
        <v>2814</v>
      </c>
      <c r="G1440">
        <v>442</v>
      </c>
      <c r="H1440" t="s">
        <v>11</v>
      </c>
      <c r="I1440" t="b">
        <v>0</v>
      </c>
      <c r="J1440" cm="1">
        <f t="array" ref="J1440">sentimentCalc(B1440)</f>
        <v>0</v>
      </c>
      <c r="K1440" t="str" cm="1">
        <f t="array" ref="K1440">sentimentCategory(J1440)</f>
        <v>Neutral</v>
      </c>
    </row>
    <row r="1441" spans="1:11" ht="17" x14ac:dyDescent="0.2">
      <c r="A1441" t="s">
        <v>6780</v>
      </c>
      <c r="B1441" s="1" t="s">
        <v>6781</v>
      </c>
      <c r="C1441" t="s">
        <v>6782</v>
      </c>
      <c r="D1441" s="1" t="s">
        <v>6783</v>
      </c>
      <c r="E1441" t="b">
        <v>0</v>
      </c>
      <c r="F1441">
        <v>88165</v>
      </c>
      <c r="G1441">
        <v>85370</v>
      </c>
      <c r="H1441" t="s">
        <v>11</v>
      </c>
      <c r="I1441" t="b">
        <v>0</v>
      </c>
      <c r="J1441" cm="1">
        <f t="array" ref="J1441">sentimentCalc(B1441)</f>
        <v>0</v>
      </c>
      <c r="K1441" t="str" cm="1">
        <f t="array" ref="K1441">sentimentCategory(J1441)</f>
        <v>Neutral</v>
      </c>
    </row>
    <row r="1442" spans="1:11" ht="34" x14ac:dyDescent="0.2">
      <c r="A1442" t="s">
        <v>1357</v>
      </c>
      <c r="B1442" s="1" t="s">
        <v>1358</v>
      </c>
      <c r="C1442" t="s">
        <v>468</v>
      </c>
      <c r="D1442" s="1" t="s">
        <v>1359</v>
      </c>
      <c r="E1442" t="b">
        <v>0</v>
      </c>
      <c r="F1442">
        <v>1607</v>
      </c>
      <c r="G1442">
        <v>1711</v>
      </c>
      <c r="H1442" t="s">
        <v>11</v>
      </c>
      <c r="I1442" t="b">
        <v>0</v>
      </c>
      <c r="J1442" cm="1">
        <f t="array" ref="J1442">sentimentCalc(B1442)</f>
        <v>0</v>
      </c>
      <c r="K1442" t="str" cm="1">
        <f t="array" ref="K1442">sentimentCategory(J1442)</f>
        <v>Neutral</v>
      </c>
    </row>
    <row r="1443" spans="1:11" ht="17" x14ac:dyDescent="0.2">
      <c r="A1443" t="s">
        <v>2477</v>
      </c>
      <c r="B1443" s="1" t="s">
        <v>2478</v>
      </c>
      <c r="C1443" t="s">
        <v>2479</v>
      </c>
      <c r="D1443" s="1" t="s">
        <v>2480</v>
      </c>
      <c r="E1443" t="b">
        <v>0</v>
      </c>
      <c r="F1443">
        <v>427</v>
      </c>
      <c r="G1443">
        <v>426</v>
      </c>
      <c r="H1443" t="s">
        <v>11</v>
      </c>
      <c r="I1443" t="b">
        <v>0</v>
      </c>
      <c r="J1443" cm="1">
        <f t="array" ref="J1443">sentimentCalc(B1443)</f>
        <v>1</v>
      </c>
      <c r="K1443" t="str" cm="1">
        <f t="array" ref="K1443">sentimentCategory(J1443)</f>
        <v>Positive</v>
      </c>
    </row>
    <row r="1444" spans="1:11" ht="17" x14ac:dyDescent="0.2">
      <c r="A1444" t="s">
        <v>634</v>
      </c>
      <c r="B1444" s="1" t="s">
        <v>635</v>
      </c>
      <c r="C1444" t="s">
        <v>636</v>
      </c>
      <c r="D1444" s="1" t="s">
        <v>637</v>
      </c>
      <c r="E1444" t="b">
        <v>0</v>
      </c>
      <c r="F1444">
        <v>36</v>
      </c>
      <c r="G1444">
        <v>41</v>
      </c>
      <c r="H1444" t="s">
        <v>11</v>
      </c>
      <c r="I1444" t="b">
        <v>0</v>
      </c>
      <c r="J1444" cm="1">
        <f t="array" ref="J1444">sentimentCalc(B1444)</f>
        <v>-2</v>
      </c>
      <c r="K1444" t="str" cm="1">
        <f t="array" ref="K1444">sentimentCategory(J1444)</f>
        <v>Negative</v>
      </c>
    </row>
    <row r="1445" spans="1:11" ht="17" x14ac:dyDescent="0.2">
      <c r="A1445" t="s">
        <v>3218</v>
      </c>
      <c r="B1445" s="1" t="s">
        <v>3219</v>
      </c>
      <c r="C1445" t="s">
        <v>3220</v>
      </c>
      <c r="D1445" s="1" t="s">
        <v>2</v>
      </c>
      <c r="E1445" t="b">
        <v>0</v>
      </c>
      <c r="F1445">
        <v>14</v>
      </c>
      <c r="G1445">
        <v>31</v>
      </c>
      <c r="H1445" t="s">
        <v>11</v>
      </c>
      <c r="I1445" t="b">
        <v>0</v>
      </c>
      <c r="J1445" cm="1">
        <f t="array" ref="J1445">sentimentCalc(B1445)</f>
        <v>0</v>
      </c>
      <c r="K1445" t="str" cm="1">
        <f t="array" ref="K1445">sentimentCategory(J1445)</f>
        <v>Neutral</v>
      </c>
    </row>
    <row r="1446" spans="1:11" ht="17" x14ac:dyDescent="0.2">
      <c r="A1446" t="s">
        <v>2821</v>
      </c>
      <c r="B1446" s="1" t="s">
        <v>2822</v>
      </c>
      <c r="C1446" t="s">
        <v>1521</v>
      </c>
      <c r="D1446" s="1" t="s">
        <v>2</v>
      </c>
      <c r="E1446" t="b">
        <v>0</v>
      </c>
      <c r="F1446">
        <v>9632</v>
      </c>
      <c r="G1446">
        <v>27</v>
      </c>
      <c r="H1446" t="s">
        <v>11</v>
      </c>
      <c r="I1446" t="b">
        <v>0</v>
      </c>
      <c r="J1446" cm="1">
        <f t="array" ref="J1446">sentimentCalc(B1446)</f>
        <v>1</v>
      </c>
      <c r="K1446" t="str" cm="1">
        <f t="array" ref="K1446">sentimentCategory(J1446)</f>
        <v>Positive</v>
      </c>
    </row>
    <row r="1447" spans="1:11" ht="34" x14ac:dyDescent="0.2">
      <c r="A1447" t="s">
        <v>3901</v>
      </c>
      <c r="B1447" s="1" t="s">
        <v>3902</v>
      </c>
      <c r="C1447" t="s">
        <v>3903</v>
      </c>
      <c r="D1447" s="1" t="s">
        <v>2</v>
      </c>
      <c r="E1447" t="b">
        <v>0</v>
      </c>
      <c r="F1447">
        <v>254</v>
      </c>
      <c r="G1447">
        <v>188</v>
      </c>
      <c r="H1447" t="s">
        <v>11</v>
      </c>
      <c r="I1447" t="b">
        <v>0</v>
      </c>
      <c r="J1447" cm="1">
        <f t="array" ref="J1447">sentimentCalc(B1447)</f>
        <v>-2</v>
      </c>
      <c r="K1447" t="str" cm="1">
        <f t="array" ref="K1447">sentimentCategory(J1447)</f>
        <v>Negative</v>
      </c>
    </row>
    <row r="1448" spans="1:11" ht="34" x14ac:dyDescent="0.2">
      <c r="A1448" t="s">
        <v>2344</v>
      </c>
      <c r="B1448" s="1" t="s">
        <v>2345</v>
      </c>
      <c r="C1448" t="s">
        <v>2061</v>
      </c>
      <c r="D1448" s="1" t="s">
        <v>2</v>
      </c>
      <c r="E1448" t="b">
        <v>0</v>
      </c>
      <c r="F1448">
        <v>18</v>
      </c>
      <c r="G1448">
        <v>166</v>
      </c>
      <c r="H1448" t="s">
        <v>11</v>
      </c>
      <c r="I1448" t="b">
        <v>0</v>
      </c>
      <c r="J1448" cm="1">
        <f t="array" ref="J1448">sentimentCalc(B1448)</f>
        <v>1</v>
      </c>
      <c r="K1448" t="str" cm="1">
        <f t="array" ref="K1448">sentimentCategory(J1448)</f>
        <v>Positive</v>
      </c>
    </row>
    <row r="1449" spans="1:11" ht="17" x14ac:dyDescent="0.2">
      <c r="A1449" t="s">
        <v>2192</v>
      </c>
      <c r="B1449" s="1" t="s">
        <v>2193</v>
      </c>
      <c r="C1449" t="s">
        <v>1448</v>
      </c>
      <c r="D1449" s="1" t="s">
        <v>2</v>
      </c>
      <c r="E1449" t="b">
        <v>0</v>
      </c>
      <c r="F1449">
        <v>81</v>
      </c>
      <c r="G1449">
        <v>284</v>
      </c>
      <c r="H1449" t="s">
        <v>11</v>
      </c>
      <c r="I1449" t="b">
        <v>0</v>
      </c>
      <c r="J1449" cm="1">
        <f t="array" ref="J1449">sentimentCalc(B1449)</f>
        <v>0</v>
      </c>
      <c r="K1449" t="str" cm="1">
        <f t="array" ref="K1449">sentimentCategory(J1449)</f>
        <v>Neutral</v>
      </c>
    </row>
    <row r="1450" spans="1:11" ht="17" x14ac:dyDescent="0.2">
      <c r="A1450" t="s">
        <v>6889</v>
      </c>
      <c r="B1450" s="1" t="s">
        <v>6890</v>
      </c>
      <c r="C1450" t="s">
        <v>6891</v>
      </c>
      <c r="D1450" s="1" t="s">
        <v>6892</v>
      </c>
      <c r="E1450" t="b">
        <v>0</v>
      </c>
      <c r="F1450">
        <v>303</v>
      </c>
      <c r="G1450">
        <v>1485</v>
      </c>
      <c r="H1450" t="s">
        <v>11</v>
      </c>
      <c r="I1450" t="b">
        <v>0</v>
      </c>
      <c r="J1450" cm="1">
        <f t="array" ref="J1450">sentimentCalc(B1450)</f>
        <v>0</v>
      </c>
      <c r="K1450" t="str" cm="1">
        <f t="array" ref="K1450">sentimentCategory(J1450)</f>
        <v>Neutral</v>
      </c>
    </row>
    <row r="1451" spans="1:11" ht="17" x14ac:dyDescent="0.2">
      <c r="A1451" t="s">
        <v>7110</v>
      </c>
      <c r="B1451" s="1" t="s">
        <v>7111</v>
      </c>
      <c r="C1451" t="s">
        <v>7112</v>
      </c>
      <c r="D1451" s="1" t="s">
        <v>1960</v>
      </c>
      <c r="E1451" t="b">
        <v>0</v>
      </c>
      <c r="F1451">
        <v>183</v>
      </c>
      <c r="G1451">
        <v>0</v>
      </c>
      <c r="H1451" t="s">
        <v>11</v>
      </c>
      <c r="I1451" t="b">
        <v>0</v>
      </c>
      <c r="J1451" cm="1">
        <f t="array" ref="J1451">sentimentCalc(B1451)</f>
        <v>1</v>
      </c>
      <c r="K1451" t="str" cm="1">
        <f t="array" ref="K1451">sentimentCategory(J1451)</f>
        <v>Positive</v>
      </c>
    </row>
    <row r="1452" spans="1:11" ht="34" x14ac:dyDescent="0.2">
      <c r="A1452" t="s">
        <v>456</v>
      </c>
      <c r="B1452" s="1" t="s">
        <v>457</v>
      </c>
      <c r="C1452" t="s">
        <v>458</v>
      </c>
      <c r="D1452" s="1" t="s">
        <v>2</v>
      </c>
      <c r="E1452" t="b">
        <v>0</v>
      </c>
      <c r="F1452">
        <v>54</v>
      </c>
      <c r="G1452">
        <v>96</v>
      </c>
      <c r="H1452" t="s">
        <v>11</v>
      </c>
      <c r="I1452" t="b">
        <v>0</v>
      </c>
      <c r="J1452" cm="1">
        <f t="array" ref="J1452">sentimentCalc(B1452)</f>
        <v>1</v>
      </c>
      <c r="K1452" t="str" cm="1">
        <f t="array" ref="K1452">sentimentCategory(J1452)</f>
        <v>Positive</v>
      </c>
    </row>
    <row r="1453" spans="1:11" ht="17" x14ac:dyDescent="0.2">
      <c r="A1453" t="s">
        <v>4687</v>
      </c>
      <c r="B1453" s="1" t="s">
        <v>4688</v>
      </c>
      <c r="C1453" t="s">
        <v>4689</v>
      </c>
      <c r="D1453" s="1" t="s">
        <v>4690</v>
      </c>
      <c r="E1453" t="b">
        <v>0</v>
      </c>
      <c r="F1453">
        <v>538</v>
      </c>
      <c r="G1453">
        <v>1390</v>
      </c>
      <c r="H1453" t="s">
        <v>11</v>
      </c>
      <c r="I1453" t="b">
        <v>0</v>
      </c>
      <c r="J1453" cm="1">
        <f t="array" ref="J1453">sentimentCalc(B1453)</f>
        <v>0</v>
      </c>
      <c r="K1453" t="str" cm="1">
        <f t="array" ref="K1453">sentimentCategory(J1453)</f>
        <v>Neutral</v>
      </c>
    </row>
    <row r="1454" spans="1:11" ht="17" x14ac:dyDescent="0.2">
      <c r="A1454" t="s">
        <v>6182</v>
      </c>
      <c r="B1454" s="1" t="s">
        <v>6183</v>
      </c>
      <c r="C1454" t="s">
        <v>769</v>
      </c>
      <c r="D1454" s="1" t="s">
        <v>333</v>
      </c>
      <c r="E1454" t="b">
        <v>0</v>
      </c>
      <c r="F1454">
        <v>17</v>
      </c>
      <c r="G1454">
        <v>94</v>
      </c>
      <c r="H1454" t="s">
        <v>11</v>
      </c>
      <c r="I1454" t="b">
        <v>0</v>
      </c>
      <c r="J1454" cm="1">
        <f t="array" ref="J1454">sentimentCalc(B1454)</f>
        <v>0</v>
      </c>
      <c r="K1454" t="str" cm="1">
        <f t="array" ref="K1454">sentimentCategory(J1454)</f>
        <v>Neutral</v>
      </c>
    </row>
    <row r="1455" spans="1:11" ht="17" x14ac:dyDescent="0.2">
      <c r="A1455" t="s">
        <v>4811</v>
      </c>
      <c r="B1455" s="1" t="s">
        <v>4812</v>
      </c>
      <c r="C1455" t="s">
        <v>406</v>
      </c>
      <c r="D1455" s="1" t="s">
        <v>4813</v>
      </c>
      <c r="E1455" t="b">
        <v>0</v>
      </c>
      <c r="F1455">
        <v>5476</v>
      </c>
      <c r="G1455">
        <v>98</v>
      </c>
      <c r="H1455" t="s">
        <v>11</v>
      </c>
      <c r="I1455" t="b">
        <v>0</v>
      </c>
      <c r="J1455" cm="1">
        <f t="array" ref="J1455">sentimentCalc(B1455)</f>
        <v>0</v>
      </c>
      <c r="K1455" t="str" cm="1">
        <f t="array" ref="K1455">sentimentCategory(J1455)</f>
        <v>Neutral</v>
      </c>
    </row>
    <row r="1456" spans="1:11" ht="17" x14ac:dyDescent="0.2">
      <c r="A1456" t="s">
        <v>6217</v>
      </c>
      <c r="B1456" s="1" t="s">
        <v>6218</v>
      </c>
      <c r="C1456" t="s">
        <v>575</v>
      </c>
      <c r="D1456" s="1" t="s">
        <v>2</v>
      </c>
      <c r="E1456" t="b">
        <v>0</v>
      </c>
      <c r="F1456">
        <v>24</v>
      </c>
      <c r="G1456">
        <v>41</v>
      </c>
      <c r="H1456" t="s">
        <v>11</v>
      </c>
      <c r="I1456" t="b">
        <v>0</v>
      </c>
      <c r="J1456" cm="1">
        <f t="array" ref="J1456">sentimentCalc(B1456)</f>
        <v>0</v>
      </c>
      <c r="K1456" t="str" cm="1">
        <f t="array" ref="K1456">sentimentCategory(J1456)</f>
        <v>Neutral</v>
      </c>
    </row>
    <row r="1457" spans="1:11" ht="34" x14ac:dyDescent="0.2">
      <c r="A1457" t="s">
        <v>5288</v>
      </c>
      <c r="B1457" s="1" t="s">
        <v>5290</v>
      </c>
      <c r="C1457" t="s">
        <v>5291</v>
      </c>
      <c r="D1457" s="1" t="s">
        <v>2</v>
      </c>
      <c r="E1457" t="b">
        <v>0</v>
      </c>
      <c r="F1457">
        <v>122</v>
      </c>
      <c r="G1457">
        <v>82</v>
      </c>
      <c r="H1457" t="s">
        <v>11</v>
      </c>
      <c r="I1457" t="b">
        <v>0</v>
      </c>
      <c r="J1457" cm="1">
        <f t="array" ref="J1457">sentimentCalc(B1457)</f>
        <v>0</v>
      </c>
      <c r="K1457" t="str" cm="1">
        <f t="array" ref="K1457">sentimentCategory(J1457)</f>
        <v>Neutral</v>
      </c>
    </row>
    <row r="1458" spans="1:11" ht="17" x14ac:dyDescent="0.2">
      <c r="A1458" t="s">
        <v>155</v>
      </c>
      <c r="B1458" s="1" t="s">
        <v>156</v>
      </c>
      <c r="C1458" t="s">
        <v>157</v>
      </c>
      <c r="D1458" s="1" t="s">
        <v>158</v>
      </c>
      <c r="E1458" t="b">
        <v>0</v>
      </c>
      <c r="F1458">
        <v>134</v>
      </c>
      <c r="G1458">
        <v>57</v>
      </c>
      <c r="H1458" t="s">
        <v>11</v>
      </c>
      <c r="I1458" t="b">
        <v>0</v>
      </c>
      <c r="J1458" cm="1">
        <f t="array" ref="J1458">sentimentCalc(B1458)</f>
        <v>0</v>
      </c>
      <c r="K1458" t="str" cm="1">
        <f t="array" ref="K1458">sentimentCategory(J1458)</f>
        <v>Neutral</v>
      </c>
    </row>
    <row r="1459" spans="1:11" ht="17" x14ac:dyDescent="0.2">
      <c r="A1459" t="s">
        <v>6272</v>
      </c>
      <c r="B1459" s="1" t="s">
        <v>6273</v>
      </c>
      <c r="C1459" t="s">
        <v>222</v>
      </c>
      <c r="D1459" s="1" t="s">
        <v>223</v>
      </c>
      <c r="E1459" t="b">
        <v>0</v>
      </c>
      <c r="F1459">
        <v>9228</v>
      </c>
      <c r="G1459">
        <v>7170</v>
      </c>
      <c r="H1459" t="s">
        <v>11</v>
      </c>
      <c r="I1459" t="b">
        <v>0</v>
      </c>
      <c r="J1459" cm="1">
        <f t="array" ref="J1459">sentimentCalc(B1459)</f>
        <v>0</v>
      </c>
      <c r="K1459" t="str" cm="1">
        <f t="array" ref="K1459">sentimentCategory(J1459)</f>
        <v>Neutral</v>
      </c>
    </row>
    <row r="1460" spans="1:11" ht="34" x14ac:dyDescent="0.2">
      <c r="A1460" t="s">
        <v>3636</v>
      </c>
      <c r="B1460" s="1" t="s">
        <v>3637</v>
      </c>
      <c r="C1460" t="s">
        <v>3638</v>
      </c>
      <c r="D1460" s="1" t="s">
        <v>2331</v>
      </c>
      <c r="E1460" t="b">
        <v>0</v>
      </c>
      <c r="F1460">
        <v>797</v>
      </c>
      <c r="G1460">
        <v>1614</v>
      </c>
      <c r="H1460" t="s">
        <v>11</v>
      </c>
      <c r="I1460" t="b">
        <v>0</v>
      </c>
      <c r="J1460" cm="1">
        <f t="array" ref="J1460">sentimentCalc(B1460)</f>
        <v>0</v>
      </c>
      <c r="K1460" t="str" cm="1">
        <f t="array" ref="K1460">sentimentCategory(J1460)</f>
        <v>Neutral</v>
      </c>
    </row>
    <row r="1461" spans="1:11" ht="17" x14ac:dyDescent="0.2">
      <c r="A1461" t="s">
        <v>2776</v>
      </c>
      <c r="B1461" s="1" t="s">
        <v>2777</v>
      </c>
      <c r="C1461" t="s">
        <v>237</v>
      </c>
      <c r="D1461" s="1" t="s">
        <v>928</v>
      </c>
      <c r="E1461" t="b">
        <v>0</v>
      </c>
      <c r="F1461">
        <v>805</v>
      </c>
      <c r="G1461">
        <v>577</v>
      </c>
      <c r="H1461" t="s">
        <v>11</v>
      </c>
      <c r="I1461" t="b">
        <v>0</v>
      </c>
      <c r="J1461" cm="1">
        <f t="array" ref="J1461">sentimentCalc(B1461)</f>
        <v>0</v>
      </c>
      <c r="K1461" t="str" cm="1">
        <f t="array" ref="K1461">sentimentCategory(J1461)</f>
        <v>Neutral</v>
      </c>
    </row>
    <row r="1462" spans="1:11" ht="17" x14ac:dyDescent="0.2">
      <c r="A1462" t="s">
        <v>3693</v>
      </c>
      <c r="B1462" s="1" t="s">
        <v>3694</v>
      </c>
      <c r="C1462" t="s">
        <v>2950</v>
      </c>
      <c r="D1462" s="1" t="s">
        <v>1809</v>
      </c>
      <c r="E1462" t="b">
        <v>0</v>
      </c>
      <c r="F1462">
        <v>379</v>
      </c>
      <c r="G1462">
        <v>1030</v>
      </c>
      <c r="H1462" t="s">
        <v>11</v>
      </c>
      <c r="I1462" t="b">
        <v>0</v>
      </c>
      <c r="J1462" cm="1">
        <f t="array" ref="J1462">sentimentCalc(B1462)</f>
        <v>0</v>
      </c>
      <c r="K1462" t="str" cm="1">
        <f t="array" ref="K1462">sentimentCategory(J1462)</f>
        <v>Neutral</v>
      </c>
    </row>
    <row r="1463" spans="1:11" ht="34" x14ac:dyDescent="0.2">
      <c r="A1463" t="s">
        <v>3352</v>
      </c>
      <c r="B1463" s="1" t="s">
        <v>3353</v>
      </c>
      <c r="C1463" t="s">
        <v>3354</v>
      </c>
      <c r="D1463" s="1" t="s">
        <v>2</v>
      </c>
      <c r="E1463" t="b">
        <v>0</v>
      </c>
      <c r="F1463">
        <v>759</v>
      </c>
      <c r="G1463">
        <v>167</v>
      </c>
      <c r="H1463" t="s">
        <v>11</v>
      </c>
      <c r="I1463" t="b">
        <v>0</v>
      </c>
      <c r="J1463" cm="1">
        <f t="array" ref="J1463">sentimentCalc(B1463)</f>
        <v>1</v>
      </c>
      <c r="K1463" t="str" cm="1">
        <f t="array" ref="K1463">sentimentCategory(J1463)</f>
        <v>Positive</v>
      </c>
    </row>
    <row r="1464" spans="1:11" ht="34" x14ac:dyDescent="0.2">
      <c r="A1464" t="s">
        <v>2602</v>
      </c>
      <c r="B1464" s="1" t="s">
        <v>2603</v>
      </c>
      <c r="C1464" t="s">
        <v>2604</v>
      </c>
      <c r="D1464" s="1" t="s">
        <v>1368</v>
      </c>
      <c r="E1464" t="b">
        <v>0</v>
      </c>
      <c r="F1464">
        <v>207</v>
      </c>
      <c r="G1464">
        <v>468</v>
      </c>
      <c r="H1464" t="s">
        <v>11</v>
      </c>
      <c r="I1464" t="b">
        <v>0</v>
      </c>
      <c r="J1464" cm="1">
        <f t="array" ref="J1464">sentimentCalc(B1464)</f>
        <v>0</v>
      </c>
      <c r="K1464" t="str" cm="1">
        <f t="array" ref="K1464">sentimentCategory(J1464)</f>
        <v>Neutral</v>
      </c>
    </row>
    <row r="1465" spans="1:11" ht="17" x14ac:dyDescent="0.2">
      <c r="A1465" t="s">
        <v>1380</v>
      </c>
      <c r="B1465" s="1" t="s">
        <v>1381</v>
      </c>
      <c r="C1465" t="s">
        <v>1382</v>
      </c>
      <c r="D1465" s="1" t="s">
        <v>1383</v>
      </c>
      <c r="E1465" t="b">
        <v>0</v>
      </c>
      <c r="F1465">
        <v>1825</v>
      </c>
      <c r="G1465">
        <v>276</v>
      </c>
      <c r="H1465" t="s">
        <v>11</v>
      </c>
      <c r="I1465" t="b">
        <v>0</v>
      </c>
      <c r="J1465" cm="1">
        <f t="array" ref="J1465">sentimentCalc(B1465)</f>
        <v>0</v>
      </c>
      <c r="K1465" t="str" cm="1">
        <f t="array" ref="K1465">sentimentCategory(J1465)</f>
        <v>Neutral</v>
      </c>
    </row>
    <row r="1466" spans="1:11" ht="17" x14ac:dyDescent="0.2">
      <c r="A1466" t="s">
        <v>710</v>
      </c>
      <c r="B1466" s="1" t="s">
        <v>711</v>
      </c>
      <c r="C1466" t="s">
        <v>712</v>
      </c>
      <c r="D1466" s="1" t="s">
        <v>713</v>
      </c>
      <c r="E1466" t="b">
        <v>0</v>
      </c>
      <c r="F1466">
        <v>8962</v>
      </c>
      <c r="G1466">
        <v>1047</v>
      </c>
      <c r="H1466" t="s">
        <v>11</v>
      </c>
      <c r="I1466" t="b">
        <v>0</v>
      </c>
      <c r="J1466" cm="1">
        <f t="array" ref="J1466">sentimentCalc(B1466)</f>
        <v>0</v>
      </c>
      <c r="K1466" t="str" cm="1">
        <f t="array" ref="K1466">sentimentCategory(J1466)</f>
        <v>Neutral</v>
      </c>
    </row>
    <row r="1467" spans="1:11" ht="17" x14ac:dyDescent="0.2">
      <c r="A1467" t="s">
        <v>2730</v>
      </c>
      <c r="B1467" s="1" t="s">
        <v>2731</v>
      </c>
      <c r="C1467" t="s">
        <v>575</v>
      </c>
      <c r="D1467" s="1" t="s">
        <v>2</v>
      </c>
      <c r="E1467" t="b">
        <v>0</v>
      </c>
      <c r="F1467">
        <v>16</v>
      </c>
      <c r="G1467">
        <v>153</v>
      </c>
      <c r="H1467" t="s">
        <v>11</v>
      </c>
      <c r="I1467" t="b">
        <v>0</v>
      </c>
      <c r="J1467" cm="1">
        <f t="array" ref="J1467">sentimentCalc(B1467)</f>
        <v>0</v>
      </c>
      <c r="K1467" t="str" cm="1">
        <f t="array" ref="K1467">sentimentCategory(J1467)</f>
        <v>Neutral</v>
      </c>
    </row>
    <row r="1468" spans="1:11" ht="17" x14ac:dyDescent="0.2">
      <c r="A1468" t="s">
        <v>1619</v>
      </c>
      <c r="B1468" s="1" t="s">
        <v>1620</v>
      </c>
      <c r="C1468" t="s">
        <v>1621</v>
      </c>
      <c r="D1468" s="1" t="s">
        <v>1622</v>
      </c>
      <c r="E1468" t="b">
        <v>0</v>
      </c>
      <c r="F1468">
        <v>255</v>
      </c>
      <c r="G1468">
        <v>777</v>
      </c>
      <c r="H1468" t="s">
        <v>11</v>
      </c>
      <c r="I1468" t="b">
        <v>0</v>
      </c>
      <c r="J1468" cm="1">
        <f t="array" ref="J1468">sentimentCalc(B1468)</f>
        <v>0</v>
      </c>
      <c r="K1468" t="str" cm="1">
        <f t="array" ref="K1468">sentimentCategory(J1468)</f>
        <v>Neutral</v>
      </c>
    </row>
    <row r="1469" spans="1:11" ht="17" x14ac:dyDescent="0.2">
      <c r="A1469" t="s">
        <v>5772</v>
      </c>
      <c r="B1469" s="1" t="s">
        <v>5773</v>
      </c>
      <c r="C1469" t="s">
        <v>319</v>
      </c>
      <c r="D1469" s="1" t="s">
        <v>2</v>
      </c>
      <c r="E1469" t="b">
        <v>0</v>
      </c>
      <c r="F1469">
        <v>41</v>
      </c>
      <c r="G1469">
        <v>59</v>
      </c>
      <c r="H1469" t="s">
        <v>11</v>
      </c>
      <c r="I1469" t="b">
        <v>0</v>
      </c>
      <c r="J1469" cm="1">
        <f t="array" ref="J1469">sentimentCalc(B1469)</f>
        <v>0</v>
      </c>
      <c r="K1469" t="str" cm="1">
        <f t="array" ref="K1469">sentimentCategory(J1469)</f>
        <v>Neutral</v>
      </c>
    </row>
    <row r="1470" spans="1:11" ht="34" x14ac:dyDescent="0.2">
      <c r="A1470" t="s">
        <v>389</v>
      </c>
      <c r="B1470" s="1" t="s">
        <v>390</v>
      </c>
      <c r="C1470" t="s">
        <v>391</v>
      </c>
      <c r="D1470" s="1" t="s">
        <v>392</v>
      </c>
      <c r="E1470" t="b">
        <v>0</v>
      </c>
      <c r="F1470">
        <v>48</v>
      </c>
      <c r="G1470">
        <v>230</v>
      </c>
      <c r="H1470" t="s">
        <v>11</v>
      </c>
      <c r="I1470" t="b">
        <v>0</v>
      </c>
      <c r="J1470" cm="1">
        <f t="array" ref="J1470">sentimentCalc(B1470)</f>
        <v>0</v>
      </c>
      <c r="K1470" t="str" cm="1">
        <f t="array" ref="K1470">sentimentCategory(J1470)</f>
        <v>Neutral</v>
      </c>
    </row>
    <row r="1471" spans="1:11" ht="34" x14ac:dyDescent="0.2">
      <c r="A1471" t="s">
        <v>3997</v>
      </c>
      <c r="B1471" s="1" t="s">
        <v>3998</v>
      </c>
      <c r="C1471" t="s">
        <v>3999</v>
      </c>
      <c r="D1471" s="1" t="s">
        <v>4000</v>
      </c>
      <c r="E1471" t="b">
        <v>0</v>
      </c>
      <c r="F1471">
        <v>2396</v>
      </c>
      <c r="G1471">
        <v>500</v>
      </c>
      <c r="H1471" t="s">
        <v>11</v>
      </c>
      <c r="I1471" t="b">
        <v>0</v>
      </c>
      <c r="J1471" cm="1">
        <f t="array" ref="J1471">sentimentCalc(B1471)</f>
        <v>0</v>
      </c>
      <c r="K1471" t="str" cm="1">
        <f t="array" ref="K1471">sentimentCategory(J1471)</f>
        <v>Neutral</v>
      </c>
    </row>
    <row r="1472" spans="1:11" ht="17" x14ac:dyDescent="0.2">
      <c r="A1472" t="s">
        <v>3524</v>
      </c>
      <c r="B1472" s="1" t="s">
        <v>3525</v>
      </c>
      <c r="C1472" t="s">
        <v>2226</v>
      </c>
      <c r="D1472" s="1" t="s">
        <v>3526</v>
      </c>
      <c r="E1472" t="b">
        <v>0</v>
      </c>
      <c r="F1472">
        <v>62</v>
      </c>
      <c r="G1472">
        <v>108</v>
      </c>
      <c r="H1472" t="s">
        <v>11</v>
      </c>
      <c r="I1472" t="b">
        <v>0</v>
      </c>
      <c r="J1472" cm="1">
        <f t="array" ref="J1472">sentimentCalc(B1472)</f>
        <v>0</v>
      </c>
      <c r="K1472" t="str" cm="1">
        <f t="array" ref="K1472">sentimentCategory(J1472)</f>
        <v>Neutral</v>
      </c>
    </row>
    <row r="1473" spans="1:11" ht="34" x14ac:dyDescent="0.2">
      <c r="A1473" t="s">
        <v>4953</v>
      </c>
      <c r="B1473" s="1" t="s">
        <v>4954</v>
      </c>
      <c r="C1473" t="s">
        <v>1405</v>
      </c>
      <c r="D1473" s="1" t="s">
        <v>2</v>
      </c>
      <c r="E1473" t="b">
        <v>0</v>
      </c>
      <c r="F1473">
        <v>22</v>
      </c>
      <c r="G1473">
        <v>192</v>
      </c>
      <c r="H1473" t="s">
        <v>641</v>
      </c>
      <c r="I1473" t="b">
        <v>0</v>
      </c>
      <c r="J1473" cm="1">
        <f t="array" ref="J1473">sentimentCalc(B1473)</f>
        <v>0</v>
      </c>
      <c r="K1473" t="str" cm="1">
        <f t="array" ref="K1473">sentimentCategory(J1473)</f>
        <v>Neutral</v>
      </c>
    </row>
    <row r="1474" spans="1:11" ht="34" x14ac:dyDescent="0.2">
      <c r="A1474" t="s">
        <v>1542</v>
      </c>
      <c r="B1474" s="1" t="s">
        <v>1543</v>
      </c>
      <c r="C1474" t="s">
        <v>1544</v>
      </c>
      <c r="D1474" s="1" t="s">
        <v>1545</v>
      </c>
      <c r="E1474" t="b">
        <v>0</v>
      </c>
      <c r="F1474">
        <v>38</v>
      </c>
      <c r="G1474">
        <v>122</v>
      </c>
      <c r="H1474" t="s">
        <v>11</v>
      </c>
      <c r="I1474" t="b">
        <v>0</v>
      </c>
      <c r="J1474" cm="1">
        <f t="array" ref="J1474">sentimentCalc(B1474)</f>
        <v>0</v>
      </c>
      <c r="K1474" t="str" cm="1">
        <f t="array" ref="K1474">sentimentCategory(J1474)</f>
        <v>Neutral</v>
      </c>
    </row>
    <row r="1475" spans="1:11" ht="34" x14ac:dyDescent="0.2">
      <c r="A1475" t="s">
        <v>4300</v>
      </c>
      <c r="B1475" s="1" t="s">
        <v>4301</v>
      </c>
      <c r="C1475" t="s">
        <v>94</v>
      </c>
      <c r="D1475" s="1" t="s">
        <v>1184</v>
      </c>
      <c r="E1475" t="b">
        <v>0</v>
      </c>
      <c r="F1475">
        <v>206</v>
      </c>
      <c r="G1475">
        <v>114</v>
      </c>
      <c r="H1475" t="s">
        <v>11</v>
      </c>
      <c r="I1475" t="b">
        <v>0</v>
      </c>
      <c r="J1475" cm="1">
        <f t="array" ref="J1475">sentimentCalc(B1475)</f>
        <v>0</v>
      </c>
      <c r="K1475" t="str" cm="1">
        <f t="array" ref="K1475">sentimentCategory(J1475)</f>
        <v>Neutral</v>
      </c>
    </row>
    <row r="1476" spans="1:11" ht="17" x14ac:dyDescent="0.2">
      <c r="A1476" t="s">
        <v>6987</v>
      </c>
      <c r="B1476" s="1" t="s">
        <v>6988</v>
      </c>
      <c r="C1476" t="s">
        <v>379</v>
      </c>
      <c r="D1476" s="1" t="s">
        <v>109</v>
      </c>
      <c r="E1476" t="b">
        <v>0</v>
      </c>
      <c r="F1476">
        <v>2067</v>
      </c>
      <c r="G1476">
        <v>852</v>
      </c>
      <c r="H1476" t="s">
        <v>11</v>
      </c>
      <c r="I1476" t="b">
        <v>0</v>
      </c>
      <c r="J1476" cm="1">
        <f t="array" ref="J1476">sentimentCalc(B1476)</f>
        <v>1</v>
      </c>
      <c r="K1476" t="str" cm="1">
        <f t="array" ref="K1476">sentimentCategory(J1476)</f>
        <v>Positive</v>
      </c>
    </row>
    <row r="1477" spans="1:11" ht="17" x14ac:dyDescent="0.2">
      <c r="A1477" t="s">
        <v>602</v>
      </c>
      <c r="B1477" s="1" t="s">
        <v>603</v>
      </c>
      <c r="C1477" t="s">
        <v>604</v>
      </c>
      <c r="D1477" s="1" t="s">
        <v>2</v>
      </c>
      <c r="E1477" t="b">
        <v>0</v>
      </c>
      <c r="F1477">
        <v>4994</v>
      </c>
      <c r="G1477">
        <v>5323</v>
      </c>
      <c r="H1477" t="s">
        <v>73</v>
      </c>
      <c r="I1477" t="b">
        <v>0</v>
      </c>
      <c r="J1477" cm="1">
        <f t="array" ref="J1477">sentimentCalc(B1477)</f>
        <v>0</v>
      </c>
      <c r="K1477" t="str" cm="1">
        <f t="array" ref="K1477">sentimentCategory(J1477)</f>
        <v>Neutral</v>
      </c>
    </row>
    <row r="1478" spans="1:11" ht="17" x14ac:dyDescent="0.2">
      <c r="A1478" t="s">
        <v>5157</v>
      </c>
      <c r="B1478" s="1" t="s">
        <v>5158</v>
      </c>
      <c r="C1478" t="s">
        <v>2200</v>
      </c>
      <c r="D1478" s="1" t="s">
        <v>487</v>
      </c>
      <c r="E1478" t="b">
        <v>0</v>
      </c>
      <c r="F1478">
        <v>297</v>
      </c>
      <c r="G1478">
        <v>520</v>
      </c>
      <c r="H1478" t="s">
        <v>11</v>
      </c>
      <c r="I1478" t="b">
        <v>0</v>
      </c>
      <c r="J1478" cm="1">
        <f t="array" ref="J1478">sentimentCalc(B1478)</f>
        <v>0</v>
      </c>
      <c r="K1478" t="str" cm="1">
        <f t="array" ref="K1478">sentimentCategory(J1478)</f>
        <v>Neutral</v>
      </c>
    </row>
    <row r="1479" spans="1:11" ht="34" x14ac:dyDescent="0.2">
      <c r="A1479" t="s">
        <v>3389</v>
      </c>
      <c r="B1479" s="1" t="s">
        <v>3390</v>
      </c>
      <c r="C1479" t="s">
        <v>1148</v>
      </c>
      <c r="D1479" s="1" t="s">
        <v>2953</v>
      </c>
      <c r="E1479" t="b">
        <v>0</v>
      </c>
      <c r="F1479">
        <v>1438</v>
      </c>
      <c r="G1479">
        <v>580</v>
      </c>
      <c r="H1479" t="s">
        <v>11</v>
      </c>
      <c r="I1479" t="b">
        <v>0</v>
      </c>
      <c r="J1479" cm="1">
        <f t="array" ref="J1479">sentimentCalc(B1479)</f>
        <v>-1</v>
      </c>
      <c r="K1479" t="str" cm="1">
        <f t="array" ref="K1479">sentimentCategory(J1479)</f>
        <v>Negative</v>
      </c>
    </row>
    <row r="1480" spans="1:11" ht="34" x14ac:dyDescent="0.2">
      <c r="A1480" t="s">
        <v>4828</v>
      </c>
      <c r="B1480" s="1" t="s">
        <v>4829</v>
      </c>
      <c r="C1480" t="s">
        <v>4106</v>
      </c>
      <c r="D1480" s="1" t="s">
        <v>4699</v>
      </c>
      <c r="E1480" t="b">
        <v>0</v>
      </c>
      <c r="F1480">
        <v>1066</v>
      </c>
      <c r="G1480">
        <v>1715</v>
      </c>
      <c r="H1480" t="s">
        <v>11</v>
      </c>
      <c r="I1480" t="b">
        <v>0</v>
      </c>
      <c r="J1480" cm="1">
        <f t="array" ref="J1480">sentimentCalc(B1480)</f>
        <v>0</v>
      </c>
      <c r="K1480" t="str" cm="1">
        <f t="array" ref="K1480">sentimentCategory(J1480)</f>
        <v>Neutral</v>
      </c>
    </row>
    <row r="1481" spans="1:11" ht="17" x14ac:dyDescent="0.2">
      <c r="A1481" t="s">
        <v>1219</v>
      </c>
      <c r="B1481" s="1" t="s">
        <v>1220</v>
      </c>
      <c r="C1481" t="s">
        <v>1221</v>
      </c>
      <c r="D1481" s="1" t="s">
        <v>61</v>
      </c>
      <c r="E1481" t="b">
        <v>0</v>
      </c>
      <c r="F1481">
        <v>266</v>
      </c>
      <c r="G1481">
        <v>211</v>
      </c>
      <c r="H1481" t="s">
        <v>11</v>
      </c>
      <c r="I1481" t="b">
        <v>0</v>
      </c>
      <c r="J1481" cm="1">
        <f t="array" ref="J1481">sentimentCalc(B1481)</f>
        <v>0</v>
      </c>
      <c r="K1481" t="str" cm="1">
        <f t="array" ref="K1481">sentimentCategory(J1481)</f>
        <v>Neutral</v>
      </c>
    </row>
    <row r="1482" spans="1:11" ht="34" x14ac:dyDescent="0.2">
      <c r="A1482" t="s">
        <v>6294</v>
      </c>
      <c r="B1482" s="1" t="s">
        <v>6295</v>
      </c>
      <c r="C1482" t="s">
        <v>6239</v>
      </c>
      <c r="D1482" s="1" t="s">
        <v>6240</v>
      </c>
      <c r="E1482" t="b">
        <v>0</v>
      </c>
      <c r="F1482">
        <v>362</v>
      </c>
      <c r="G1482">
        <v>131</v>
      </c>
      <c r="H1482" t="s">
        <v>11</v>
      </c>
      <c r="I1482" t="b">
        <v>0</v>
      </c>
      <c r="J1482" cm="1">
        <f t="array" ref="J1482">sentimentCalc(B1482)</f>
        <v>0</v>
      </c>
      <c r="K1482" t="str" cm="1">
        <f t="array" ref="K1482">sentimentCategory(J1482)</f>
        <v>Neutral</v>
      </c>
    </row>
    <row r="1483" spans="1:11" ht="34" x14ac:dyDescent="0.2">
      <c r="A1483" t="s">
        <v>2637</v>
      </c>
      <c r="B1483" s="1" t="s">
        <v>2638</v>
      </c>
      <c r="C1483" t="s">
        <v>2639</v>
      </c>
      <c r="D1483" s="1" t="s">
        <v>2</v>
      </c>
      <c r="E1483" t="b">
        <v>0</v>
      </c>
      <c r="F1483">
        <v>180</v>
      </c>
      <c r="G1483">
        <v>366</v>
      </c>
      <c r="H1483" t="s">
        <v>11</v>
      </c>
      <c r="I1483" t="b">
        <v>0</v>
      </c>
      <c r="J1483" cm="1">
        <f t="array" ref="J1483">sentimentCalc(B1483)</f>
        <v>0</v>
      </c>
      <c r="K1483" t="str" cm="1">
        <f t="array" ref="K1483">sentimentCategory(J1483)</f>
        <v>Neutral</v>
      </c>
    </row>
    <row r="1484" spans="1:11" ht="17" x14ac:dyDescent="0.2">
      <c r="A1484" t="s">
        <v>683</v>
      </c>
      <c r="B1484" s="1" t="s">
        <v>684</v>
      </c>
      <c r="C1484" t="s">
        <v>685</v>
      </c>
      <c r="D1484" s="1" t="s">
        <v>2</v>
      </c>
      <c r="E1484" t="b">
        <v>0</v>
      </c>
      <c r="F1484">
        <v>81</v>
      </c>
      <c r="G1484">
        <v>328</v>
      </c>
      <c r="H1484" t="s">
        <v>83</v>
      </c>
      <c r="I1484" t="b">
        <v>0</v>
      </c>
      <c r="J1484" cm="1">
        <f t="array" ref="J1484">sentimentCalc(B1484)</f>
        <v>0</v>
      </c>
      <c r="K1484" t="str" cm="1">
        <f t="array" ref="K1484">sentimentCategory(J1484)</f>
        <v>Neutral</v>
      </c>
    </row>
    <row r="1485" spans="1:11" ht="17" x14ac:dyDescent="0.2">
      <c r="A1485" t="s">
        <v>6447</v>
      </c>
      <c r="B1485" s="1" t="s">
        <v>6448</v>
      </c>
      <c r="C1485" t="s">
        <v>6449</v>
      </c>
      <c r="D1485" s="1" t="s">
        <v>6450</v>
      </c>
      <c r="E1485" t="b">
        <v>0</v>
      </c>
      <c r="F1485">
        <v>61</v>
      </c>
      <c r="G1485">
        <v>127</v>
      </c>
      <c r="H1485" t="s">
        <v>11</v>
      </c>
      <c r="I1485" t="b">
        <v>0</v>
      </c>
      <c r="J1485" cm="1">
        <f t="array" ref="J1485">sentimentCalc(B1485)</f>
        <v>1</v>
      </c>
      <c r="K1485" t="str" cm="1">
        <f t="array" ref="K1485">sentimentCategory(J1485)</f>
        <v>Positive</v>
      </c>
    </row>
    <row r="1486" spans="1:11" ht="17" x14ac:dyDescent="0.2">
      <c r="A1486" t="s">
        <v>5437</v>
      </c>
      <c r="B1486" s="1" t="s">
        <v>5438</v>
      </c>
      <c r="C1486" t="s">
        <v>5439</v>
      </c>
      <c r="D1486" s="1" t="s">
        <v>2</v>
      </c>
      <c r="E1486" t="b">
        <v>0</v>
      </c>
      <c r="F1486">
        <v>329</v>
      </c>
      <c r="G1486">
        <v>307</v>
      </c>
      <c r="H1486" t="s">
        <v>11</v>
      </c>
      <c r="I1486" t="b">
        <v>0</v>
      </c>
      <c r="J1486" cm="1">
        <f t="array" ref="J1486">sentimentCalc(B1486)</f>
        <v>0</v>
      </c>
      <c r="K1486" t="str" cm="1">
        <f t="array" ref="K1486">sentimentCategory(J1486)</f>
        <v>Neutral</v>
      </c>
    </row>
    <row r="1487" spans="1:11" ht="17" x14ac:dyDescent="0.2">
      <c r="A1487" t="s">
        <v>3265</v>
      </c>
      <c r="B1487" s="1" t="s">
        <v>3266</v>
      </c>
      <c r="C1487" t="s">
        <v>3267</v>
      </c>
      <c r="D1487" s="1" t="s">
        <v>2</v>
      </c>
      <c r="E1487" t="b">
        <v>0</v>
      </c>
      <c r="F1487">
        <v>23</v>
      </c>
      <c r="G1487">
        <v>262</v>
      </c>
      <c r="H1487" t="s">
        <v>11</v>
      </c>
      <c r="I1487" t="b">
        <v>0</v>
      </c>
      <c r="J1487" cm="1">
        <f t="array" ref="J1487">sentimentCalc(B1487)</f>
        <v>0</v>
      </c>
      <c r="K1487" t="str" cm="1">
        <f t="array" ref="K1487">sentimentCategory(J1487)</f>
        <v>Neutral</v>
      </c>
    </row>
    <row r="1488" spans="1:11" ht="17" x14ac:dyDescent="0.2">
      <c r="A1488" t="s">
        <v>5970</v>
      </c>
      <c r="B1488" s="1" t="s">
        <v>5971</v>
      </c>
      <c r="C1488" t="s">
        <v>5972</v>
      </c>
      <c r="D1488" s="1" t="s">
        <v>61</v>
      </c>
      <c r="E1488" t="b">
        <v>0</v>
      </c>
      <c r="F1488">
        <v>309</v>
      </c>
      <c r="G1488">
        <v>1058</v>
      </c>
      <c r="H1488" t="s">
        <v>11</v>
      </c>
      <c r="I1488" t="b">
        <v>0</v>
      </c>
      <c r="J1488" cm="1">
        <f t="array" ref="J1488">sentimentCalc(B1488)</f>
        <v>0</v>
      </c>
      <c r="K1488" t="str" cm="1">
        <f t="array" ref="K1488">sentimentCategory(J1488)</f>
        <v>Neutral</v>
      </c>
    </row>
    <row r="1489" spans="1:11" ht="17" x14ac:dyDescent="0.2">
      <c r="A1489" t="s">
        <v>4420</v>
      </c>
      <c r="B1489" s="1" t="s">
        <v>4421</v>
      </c>
      <c r="C1489" t="s">
        <v>410</v>
      </c>
      <c r="D1489" s="1" t="s">
        <v>4422</v>
      </c>
      <c r="E1489" t="b">
        <v>0</v>
      </c>
      <c r="F1489">
        <v>2325</v>
      </c>
      <c r="G1489">
        <v>517</v>
      </c>
      <c r="H1489" t="s">
        <v>11</v>
      </c>
      <c r="I1489" t="b">
        <v>0</v>
      </c>
      <c r="J1489" cm="1">
        <f t="array" ref="J1489">sentimentCalc(B1489)</f>
        <v>0</v>
      </c>
      <c r="K1489" t="str" cm="1">
        <f t="array" ref="K1489">sentimentCategory(J1489)</f>
        <v>Neutral</v>
      </c>
    </row>
    <row r="1490" spans="1:11" ht="17" x14ac:dyDescent="0.2">
      <c r="A1490" t="s">
        <v>4596</v>
      </c>
      <c r="B1490" s="1" t="s">
        <v>4597</v>
      </c>
      <c r="C1490" t="s">
        <v>4598</v>
      </c>
      <c r="D1490" s="1" t="s">
        <v>996</v>
      </c>
      <c r="E1490" t="b">
        <v>0</v>
      </c>
      <c r="F1490">
        <v>1124</v>
      </c>
      <c r="G1490">
        <v>676</v>
      </c>
      <c r="H1490" t="s">
        <v>11</v>
      </c>
      <c r="I1490" t="b">
        <v>0</v>
      </c>
      <c r="J1490" cm="1">
        <f t="array" ref="J1490">sentimentCalc(B1490)</f>
        <v>0</v>
      </c>
      <c r="K1490" t="str" cm="1">
        <f t="array" ref="K1490">sentimentCategory(J1490)</f>
        <v>Neutral</v>
      </c>
    </row>
    <row r="1491" spans="1:11" ht="34" x14ac:dyDescent="0.2">
      <c r="A1491" t="s">
        <v>195</v>
      </c>
      <c r="B1491" s="1" t="s">
        <v>196</v>
      </c>
      <c r="C1491" t="s">
        <v>197</v>
      </c>
      <c r="D1491" s="1" t="s">
        <v>95</v>
      </c>
      <c r="E1491" t="b">
        <v>0</v>
      </c>
      <c r="F1491">
        <v>340</v>
      </c>
      <c r="G1491">
        <v>54</v>
      </c>
      <c r="H1491" t="s">
        <v>11</v>
      </c>
      <c r="I1491" t="b">
        <v>0</v>
      </c>
      <c r="J1491" cm="1">
        <f t="array" ref="J1491">sentimentCalc(B1491)</f>
        <v>-1</v>
      </c>
      <c r="K1491" t="str" cm="1">
        <f t="array" ref="K1491">sentimentCategory(J1491)</f>
        <v>Negative</v>
      </c>
    </row>
    <row r="1492" spans="1:11" ht="34" x14ac:dyDescent="0.2">
      <c r="A1492" t="s">
        <v>137</v>
      </c>
      <c r="B1492" s="1" t="s">
        <v>138</v>
      </c>
      <c r="C1492" t="s">
        <v>139</v>
      </c>
      <c r="D1492" s="1" t="s">
        <v>140</v>
      </c>
      <c r="E1492" t="b">
        <v>0</v>
      </c>
      <c r="F1492">
        <v>11</v>
      </c>
      <c r="G1492">
        <v>322</v>
      </c>
      <c r="H1492" t="s">
        <v>11</v>
      </c>
      <c r="I1492" t="b">
        <v>0</v>
      </c>
      <c r="J1492" cm="1">
        <f t="array" ref="J1492">sentimentCalc(B1492)</f>
        <v>1</v>
      </c>
      <c r="K1492" t="str" cm="1">
        <f t="array" ref="K1492">sentimentCategory(J1492)</f>
        <v>Positive</v>
      </c>
    </row>
    <row r="1493" spans="1:11" ht="17" x14ac:dyDescent="0.2">
      <c r="A1493" t="s">
        <v>2596</v>
      </c>
      <c r="B1493" s="1" t="s">
        <v>2599</v>
      </c>
      <c r="C1493" t="s">
        <v>2600</v>
      </c>
      <c r="D1493" s="1" t="s">
        <v>2601</v>
      </c>
      <c r="E1493" t="b">
        <v>0</v>
      </c>
      <c r="F1493">
        <v>503</v>
      </c>
      <c r="G1493">
        <v>673</v>
      </c>
      <c r="H1493" t="s">
        <v>47</v>
      </c>
      <c r="I1493" t="b">
        <v>0</v>
      </c>
      <c r="J1493" cm="1">
        <f t="array" ref="J1493">sentimentCalc(B1493)</f>
        <v>0</v>
      </c>
      <c r="K1493" t="str" cm="1">
        <f t="array" ref="K1493">sentimentCategory(J1493)</f>
        <v>Neutral</v>
      </c>
    </row>
    <row r="1494" spans="1:11" ht="17" x14ac:dyDescent="0.2">
      <c r="A1494" t="s">
        <v>6360</v>
      </c>
      <c r="B1494" s="1" t="s">
        <v>6361</v>
      </c>
      <c r="C1494" t="s">
        <v>4324</v>
      </c>
      <c r="D1494" s="1" t="s">
        <v>316</v>
      </c>
      <c r="E1494" t="b">
        <v>0</v>
      </c>
      <c r="F1494">
        <v>120</v>
      </c>
      <c r="G1494">
        <v>114</v>
      </c>
      <c r="H1494" t="s">
        <v>11</v>
      </c>
      <c r="I1494" t="b">
        <v>0</v>
      </c>
      <c r="J1494" cm="1">
        <f t="array" ref="J1494">sentimentCalc(B1494)</f>
        <v>0</v>
      </c>
      <c r="K1494" t="str" cm="1">
        <f t="array" ref="K1494">sentimentCategory(J1494)</f>
        <v>Neutral</v>
      </c>
    </row>
    <row r="1495" spans="1:11" ht="34" x14ac:dyDescent="0.2">
      <c r="A1495" t="s">
        <v>3198</v>
      </c>
      <c r="B1495" s="1" t="s">
        <v>3201</v>
      </c>
      <c r="C1495" t="s">
        <v>3202</v>
      </c>
      <c r="D1495" s="1" t="s">
        <v>2</v>
      </c>
      <c r="E1495" t="b">
        <v>0</v>
      </c>
      <c r="F1495">
        <v>91</v>
      </c>
      <c r="G1495">
        <v>493</v>
      </c>
      <c r="H1495" t="s">
        <v>11</v>
      </c>
      <c r="I1495" t="b">
        <v>0</v>
      </c>
      <c r="J1495" cm="1">
        <f t="array" ref="J1495">sentimentCalc(B1495)</f>
        <v>0</v>
      </c>
      <c r="K1495" t="str" cm="1">
        <f t="array" ref="K1495">sentimentCategory(J1495)</f>
        <v>Neutral</v>
      </c>
    </row>
    <row r="1496" spans="1:11" ht="34" x14ac:dyDescent="0.2">
      <c r="A1496" t="s">
        <v>4512</v>
      </c>
      <c r="B1496" s="1" t="s">
        <v>4513</v>
      </c>
      <c r="C1496" t="s">
        <v>1716</v>
      </c>
      <c r="D1496" s="1" t="s">
        <v>1694</v>
      </c>
      <c r="E1496" t="b">
        <v>0</v>
      </c>
      <c r="F1496">
        <v>946</v>
      </c>
      <c r="G1496">
        <v>634</v>
      </c>
      <c r="H1496" t="s">
        <v>11</v>
      </c>
      <c r="I1496" t="b">
        <v>0</v>
      </c>
      <c r="J1496" cm="1">
        <f t="array" ref="J1496">sentimentCalc(B1496)</f>
        <v>0</v>
      </c>
      <c r="K1496" t="str" cm="1">
        <f t="array" ref="K1496">sentimentCategory(J1496)</f>
        <v>Neutral</v>
      </c>
    </row>
    <row r="1497" spans="1:11" ht="34" x14ac:dyDescent="0.2">
      <c r="A1497" t="s">
        <v>4279</v>
      </c>
      <c r="B1497" s="1" t="s">
        <v>4280</v>
      </c>
      <c r="C1497" t="s">
        <v>2749</v>
      </c>
      <c r="D1497" s="1" t="s">
        <v>1368</v>
      </c>
      <c r="E1497" t="b">
        <v>0</v>
      </c>
      <c r="F1497">
        <v>70</v>
      </c>
      <c r="G1497">
        <v>372</v>
      </c>
      <c r="H1497" t="s">
        <v>11</v>
      </c>
      <c r="I1497" t="b">
        <v>0</v>
      </c>
      <c r="J1497" cm="1">
        <f t="array" ref="J1497">sentimentCalc(B1497)</f>
        <v>0</v>
      </c>
      <c r="K1497" t="str" cm="1">
        <f t="array" ref="K1497">sentimentCategory(J1497)</f>
        <v>Neutral</v>
      </c>
    </row>
    <row r="1498" spans="1:11" ht="17" x14ac:dyDescent="0.2">
      <c r="A1498" t="s">
        <v>1100</v>
      </c>
      <c r="B1498" s="1" t="s">
        <v>1101</v>
      </c>
      <c r="C1498" t="s">
        <v>1102</v>
      </c>
      <c r="D1498" s="1" t="s">
        <v>2</v>
      </c>
      <c r="E1498" t="b">
        <v>0</v>
      </c>
      <c r="F1498">
        <v>81</v>
      </c>
      <c r="G1498">
        <v>255</v>
      </c>
      <c r="H1498" t="s">
        <v>11</v>
      </c>
      <c r="I1498" t="b">
        <v>0</v>
      </c>
      <c r="J1498" cm="1">
        <f t="array" ref="J1498">sentimentCalc(B1498)</f>
        <v>0</v>
      </c>
      <c r="K1498" t="str" cm="1">
        <f t="array" ref="K1498">sentimentCategory(J1498)</f>
        <v>Neutral</v>
      </c>
    </row>
    <row r="1499" spans="1:11" ht="17" x14ac:dyDescent="0.2">
      <c r="A1499" t="s">
        <v>6505</v>
      </c>
      <c r="B1499" s="1" t="s">
        <v>6507</v>
      </c>
      <c r="C1499" t="s">
        <v>5952</v>
      </c>
      <c r="D1499" s="1" t="s">
        <v>2</v>
      </c>
      <c r="E1499" t="b">
        <v>0</v>
      </c>
      <c r="F1499">
        <v>50</v>
      </c>
      <c r="G1499">
        <v>242</v>
      </c>
      <c r="H1499" t="s">
        <v>11</v>
      </c>
      <c r="I1499" t="b">
        <v>0</v>
      </c>
      <c r="J1499" cm="1">
        <f t="array" ref="J1499">sentimentCalc(B1499)</f>
        <v>0</v>
      </c>
      <c r="K1499" t="str" cm="1">
        <f t="array" ref="K1499">sentimentCategory(J1499)</f>
        <v>Neutral</v>
      </c>
    </row>
    <row r="1500" spans="1:11" ht="34" x14ac:dyDescent="0.2">
      <c r="A1500" t="s">
        <v>2857</v>
      </c>
      <c r="B1500" s="1" t="s">
        <v>2858</v>
      </c>
      <c r="C1500" t="s">
        <v>358</v>
      </c>
      <c r="D1500" s="1" t="s">
        <v>659</v>
      </c>
      <c r="E1500" t="b">
        <v>0</v>
      </c>
      <c r="F1500">
        <v>1997</v>
      </c>
      <c r="G1500">
        <v>1059</v>
      </c>
      <c r="H1500" t="s">
        <v>11</v>
      </c>
      <c r="I1500" t="b">
        <v>0</v>
      </c>
      <c r="J1500" cm="1">
        <f t="array" ref="J1500">sentimentCalc(B1500)</f>
        <v>0</v>
      </c>
      <c r="K1500" t="str" cm="1">
        <f t="array" ref="K1500">sentimentCategory(J1500)</f>
        <v>Neutral</v>
      </c>
    </row>
    <row r="1501" spans="1:11" ht="17" x14ac:dyDescent="0.2">
      <c r="A1501" t="s">
        <v>3965</v>
      </c>
      <c r="B1501" s="1" t="s">
        <v>3966</v>
      </c>
      <c r="C1501" t="s">
        <v>3967</v>
      </c>
      <c r="D1501" s="1" t="s">
        <v>3968</v>
      </c>
      <c r="E1501" t="b">
        <v>0</v>
      </c>
      <c r="F1501">
        <v>13</v>
      </c>
      <c r="G1501">
        <v>50</v>
      </c>
      <c r="H1501" t="s">
        <v>11</v>
      </c>
      <c r="I1501" t="b">
        <v>0</v>
      </c>
      <c r="J1501" cm="1">
        <f t="array" ref="J1501">sentimentCalc(B1501)</f>
        <v>0</v>
      </c>
      <c r="K1501" t="str" cm="1">
        <f t="array" ref="K1501">sentimentCategory(J1501)</f>
        <v>Neutral</v>
      </c>
    </row>
    <row r="1502" spans="1:11" ht="17" x14ac:dyDescent="0.2">
      <c r="A1502" t="s">
        <v>7196</v>
      </c>
      <c r="B1502" s="1" t="s">
        <v>7197</v>
      </c>
      <c r="C1502" t="s">
        <v>4792</v>
      </c>
      <c r="D1502" s="1" t="s">
        <v>2</v>
      </c>
      <c r="E1502" t="b">
        <v>0</v>
      </c>
      <c r="F1502">
        <v>19</v>
      </c>
      <c r="G1502">
        <v>145</v>
      </c>
      <c r="H1502" t="s">
        <v>83</v>
      </c>
      <c r="I1502" t="b">
        <v>0</v>
      </c>
      <c r="J1502" cm="1">
        <f t="array" ref="J1502">sentimentCalc(B1502)</f>
        <v>-1</v>
      </c>
      <c r="K1502" t="str" cm="1">
        <f t="array" ref="K1502">sentimentCategory(J1502)</f>
        <v>Negative</v>
      </c>
    </row>
    <row r="1503" spans="1:11" ht="17" x14ac:dyDescent="0.2">
      <c r="A1503" t="s">
        <v>5681</v>
      </c>
      <c r="B1503" s="1" t="s">
        <v>5682</v>
      </c>
      <c r="C1503" t="s">
        <v>5683</v>
      </c>
      <c r="D1503" s="1" t="s">
        <v>5684</v>
      </c>
      <c r="E1503" t="b">
        <v>0</v>
      </c>
      <c r="F1503">
        <v>921</v>
      </c>
      <c r="G1503">
        <v>355</v>
      </c>
      <c r="H1503" t="s">
        <v>11</v>
      </c>
      <c r="I1503" t="b">
        <v>0</v>
      </c>
      <c r="J1503" cm="1">
        <f t="array" ref="J1503">sentimentCalc(B1503)</f>
        <v>-1</v>
      </c>
      <c r="K1503" t="str" cm="1">
        <f t="array" ref="K1503">sentimentCategory(J1503)</f>
        <v>Negative</v>
      </c>
    </row>
    <row r="1504" spans="1:11" ht="34" x14ac:dyDescent="0.2">
      <c r="A1504" t="s">
        <v>1302</v>
      </c>
      <c r="B1504" s="1" t="s">
        <v>1303</v>
      </c>
      <c r="C1504" t="s">
        <v>1304</v>
      </c>
      <c r="D1504" s="1" t="s">
        <v>1305</v>
      </c>
      <c r="E1504" t="b">
        <v>0</v>
      </c>
      <c r="F1504">
        <v>273</v>
      </c>
      <c r="G1504">
        <v>46</v>
      </c>
      <c r="H1504" t="s">
        <v>11</v>
      </c>
      <c r="I1504" t="b">
        <v>0</v>
      </c>
      <c r="J1504" cm="1">
        <f t="array" ref="J1504">sentimentCalc(B1504)</f>
        <v>0</v>
      </c>
      <c r="K1504" t="str" cm="1">
        <f t="array" ref="K1504">sentimentCategory(J1504)</f>
        <v>Neutral</v>
      </c>
    </row>
    <row r="1505" spans="1:11" ht="17" x14ac:dyDescent="0.2">
      <c r="A1505" t="s">
        <v>1999</v>
      </c>
      <c r="B1505" s="1" t="s">
        <v>2000</v>
      </c>
      <c r="C1505" t="s">
        <v>2001</v>
      </c>
      <c r="D1505" s="1" t="s">
        <v>2002</v>
      </c>
      <c r="E1505" t="b">
        <v>0</v>
      </c>
      <c r="F1505">
        <v>1321</v>
      </c>
      <c r="G1505">
        <v>1091</v>
      </c>
      <c r="H1505" t="s">
        <v>11</v>
      </c>
      <c r="I1505" t="b">
        <v>0</v>
      </c>
      <c r="J1505" cm="1">
        <f t="array" ref="J1505">sentimentCalc(B1505)</f>
        <v>1</v>
      </c>
      <c r="K1505" t="str" cm="1">
        <f t="array" ref="K1505">sentimentCategory(J1505)</f>
        <v>Positive</v>
      </c>
    </row>
    <row r="1506" spans="1:11" ht="34" x14ac:dyDescent="0.2">
      <c r="A1506" t="s">
        <v>6587</v>
      </c>
      <c r="B1506" s="1" t="s">
        <v>6588</v>
      </c>
      <c r="C1506" t="s">
        <v>455</v>
      </c>
      <c r="D1506" s="1" t="s">
        <v>212</v>
      </c>
      <c r="E1506" t="b">
        <v>0</v>
      </c>
      <c r="F1506">
        <v>178</v>
      </c>
      <c r="G1506">
        <v>135</v>
      </c>
      <c r="H1506" t="s">
        <v>11</v>
      </c>
      <c r="I1506" t="b">
        <v>0</v>
      </c>
      <c r="J1506" cm="1">
        <f t="array" ref="J1506">sentimentCalc(B1506)</f>
        <v>0</v>
      </c>
      <c r="K1506" t="str" cm="1">
        <f t="array" ref="K1506">sentimentCategory(J1506)</f>
        <v>Neutral</v>
      </c>
    </row>
    <row r="1507" spans="1:11" ht="17" x14ac:dyDescent="0.2">
      <c r="A1507" t="s">
        <v>1164</v>
      </c>
      <c r="B1507" s="1" t="s">
        <v>1165</v>
      </c>
      <c r="C1507" t="s">
        <v>591</v>
      </c>
      <c r="D1507" s="1" t="s">
        <v>2</v>
      </c>
      <c r="E1507" t="b">
        <v>0</v>
      </c>
      <c r="F1507">
        <v>154</v>
      </c>
      <c r="G1507">
        <v>258</v>
      </c>
      <c r="H1507" t="s">
        <v>11</v>
      </c>
      <c r="I1507" t="b">
        <v>0</v>
      </c>
      <c r="J1507" cm="1">
        <f t="array" ref="J1507">sentimentCalc(B1507)</f>
        <v>0</v>
      </c>
      <c r="K1507" t="str" cm="1">
        <f t="array" ref="K1507">sentimentCategory(J1507)</f>
        <v>Neutral</v>
      </c>
    </row>
    <row r="1508" spans="1:11" ht="34" x14ac:dyDescent="0.2">
      <c r="A1508" t="s">
        <v>5577</v>
      </c>
      <c r="B1508" s="1" t="s">
        <v>5578</v>
      </c>
      <c r="C1508" t="s">
        <v>2226</v>
      </c>
      <c r="D1508" s="1" t="s">
        <v>5579</v>
      </c>
      <c r="E1508" t="b">
        <v>0</v>
      </c>
      <c r="F1508">
        <v>187</v>
      </c>
      <c r="G1508">
        <v>624</v>
      </c>
      <c r="H1508" t="s">
        <v>11</v>
      </c>
      <c r="I1508" t="b">
        <v>0</v>
      </c>
      <c r="J1508" cm="1">
        <f t="array" ref="J1508">sentimentCalc(B1508)</f>
        <v>0</v>
      </c>
      <c r="K1508" t="str" cm="1">
        <f t="array" ref="K1508">sentimentCategory(J1508)</f>
        <v>Neutral</v>
      </c>
    </row>
    <row r="1509" spans="1:11" ht="17" x14ac:dyDescent="0.2">
      <c r="A1509" t="s">
        <v>5309</v>
      </c>
      <c r="B1509" s="1" t="s">
        <v>5310</v>
      </c>
      <c r="C1509" t="s">
        <v>5311</v>
      </c>
      <c r="D1509" s="1" t="s">
        <v>5312</v>
      </c>
      <c r="E1509" t="b">
        <v>0</v>
      </c>
      <c r="F1509">
        <v>159</v>
      </c>
      <c r="G1509">
        <v>152</v>
      </c>
      <c r="H1509" t="s">
        <v>5313</v>
      </c>
      <c r="I1509" t="b">
        <v>0</v>
      </c>
      <c r="J1509" cm="1">
        <f t="array" ref="J1509">sentimentCalc(B1509)</f>
        <v>0</v>
      </c>
      <c r="K1509" t="str" cm="1">
        <f t="array" ref="K1509">sentimentCategory(J1509)</f>
        <v>Neutral</v>
      </c>
    </row>
    <row r="1510" spans="1:11" ht="17" x14ac:dyDescent="0.2">
      <c r="A1510" t="s">
        <v>3061</v>
      </c>
      <c r="B1510" s="1" t="s">
        <v>3062</v>
      </c>
      <c r="C1510" t="s">
        <v>2007</v>
      </c>
      <c r="D1510" s="1" t="s">
        <v>2</v>
      </c>
      <c r="E1510" t="b">
        <v>0</v>
      </c>
      <c r="F1510">
        <v>555</v>
      </c>
      <c r="G1510">
        <v>692</v>
      </c>
      <c r="H1510" t="s">
        <v>3</v>
      </c>
      <c r="I1510" t="b">
        <v>0</v>
      </c>
      <c r="J1510" cm="1">
        <f t="array" ref="J1510">sentimentCalc(B1510)</f>
        <v>0</v>
      </c>
      <c r="K1510" t="str" cm="1">
        <f t="array" ref="K1510">sentimentCategory(J1510)</f>
        <v>Neutral</v>
      </c>
    </row>
    <row r="1511" spans="1:11" ht="17" x14ac:dyDescent="0.2">
      <c r="A1511" t="s">
        <v>4250</v>
      </c>
      <c r="B1511" s="1" t="s">
        <v>4251</v>
      </c>
      <c r="C1511" t="s">
        <v>1254</v>
      </c>
      <c r="D1511" s="1" t="s">
        <v>61</v>
      </c>
      <c r="E1511" t="b">
        <v>0</v>
      </c>
      <c r="F1511">
        <v>36</v>
      </c>
      <c r="G1511">
        <v>0</v>
      </c>
      <c r="H1511" t="s">
        <v>11</v>
      </c>
      <c r="I1511" t="b">
        <v>0</v>
      </c>
      <c r="J1511" cm="1">
        <f t="array" ref="J1511">sentimentCalc(B1511)</f>
        <v>0</v>
      </c>
      <c r="K1511" t="str" cm="1">
        <f t="array" ref="K1511">sentimentCategory(J1511)</f>
        <v>Neutral</v>
      </c>
    </row>
    <row r="1512" spans="1:11" ht="17" x14ac:dyDescent="0.2">
      <c r="A1512" t="s">
        <v>1820</v>
      </c>
      <c r="B1512" s="1" t="s">
        <v>1821</v>
      </c>
      <c r="C1512" t="s">
        <v>1592</v>
      </c>
      <c r="D1512" s="1" t="s">
        <v>1593</v>
      </c>
      <c r="E1512" t="b">
        <v>0</v>
      </c>
      <c r="F1512">
        <v>4</v>
      </c>
      <c r="G1512">
        <v>0</v>
      </c>
      <c r="H1512" t="s">
        <v>11</v>
      </c>
      <c r="I1512" t="b">
        <v>0</v>
      </c>
      <c r="J1512" cm="1">
        <f t="array" ref="J1512">sentimentCalc(B1512)</f>
        <v>0</v>
      </c>
      <c r="K1512" t="str" cm="1">
        <f t="array" ref="K1512">sentimentCategory(J1512)</f>
        <v>Neutral</v>
      </c>
    </row>
    <row r="1513" spans="1:11" ht="34" x14ac:dyDescent="0.2">
      <c r="A1513" t="s">
        <v>3639</v>
      </c>
      <c r="B1513" s="1" t="s">
        <v>3640</v>
      </c>
      <c r="C1513" t="s">
        <v>3641</v>
      </c>
      <c r="D1513" s="1" t="s">
        <v>3642</v>
      </c>
      <c r="E1513" t="b">
        <v>0</v>
      </c>
      <c r="F1513">
        <v>2688</v>
      </c>
      <c r="G1513">
        <v>560</v>
      </c>
      <c r="H1513" t="s">
        <v>11</v>
      </c>
      <c r="I1513" t="b">
        <v>0</v>
      </c>
      <c r="J1513" cm="1">
        <f t="array" ref="J1513">sentimentCalc(B1513)</f>
        <v>0</v>
      </c>
      <c r="K1513" t="str" cm="1">
        <f t="array" ref="K1513">sentimentCategory(J1513)</f>
        <v>Neutral</v>
      </c>
    </row>
    <row r="1514" spans="1:11" ht="17" x14ac:dyDescent="0.2">
      <c r="A1514" t="s">
        <v>4261</v>
      </c>
      <c r="B1514" s="1" t="s">
        <v>4262</v>
      </c>
      <c r="C1514" t="s">
        <v>1506</v>
      </c>
      <c r="D1514" s="1" t="s">
        <v>2923</v>
      </c>
      <c r="E1514" t="b">
        <v>0</v>
      </c>
      <c r="F1514">
        <v>376</v>
      </c>
      <c r="G1514">
        <v>1085</v>
      </c>
      <c r="H1514" t="s">
        <v>47</v>
      </c>
      <c r="I1514" t="b">
        <v>0</v>
      </c>
      <c r="J1514" cm="1">
        <f t="array" ref="J1514">sentimentCalc(B1514)</f>
        <v>0</v>
      </c>
      <c r="K1514" t="str" cm="1">
        <f t="array" ref="K1514">sentimentCategory(J1514)</f>
        <v>Neutral</v>
      </c>
    </row>
    <row r="1515" spans="1:11" ht="17" x14ac:dyDescent="0.2">
      <c r="A1515" t="s">
        <v>2547</v>
      </c>
      <c r="B1515" s="1" t="s">
        <v>2548</v>
      </c>
      <c r="C1515" t="s">
        <v>167</v>
      </c>
      <c r="D1515" s="1" t="s">
        <v>2549</v>
      </c>
      <c r="E1515" t="b">
        <v>0</v>
      </c>
      <c r="F1515">
        <v>230</v>
      </c>
      <c r="G1515">
        <v>122</v>
      </c>
      <c r="H1515" t="s">
        <v>11</v>
      </c>
      <c r="I1515" t="b">
        <v>0</v>
      </c>
      <c r="J1515" cm="1">
        <f t="array" ref="J1515">sentimentCalc(B1515)</f>
        <v>0</v>
      </c>
      <c r="K1515" t="str" cm="1">
        <f t="array" ref="K1515">sentimentCategory(J1515)</f>
        <v>Neutral</v>
      </c>
    </row>
    <row r="1516" spans="1:11" ht="17" x14ac:dyDescent="0.2">
      <c r="A1516" t="s">
        <v>7026</v>
      </c>
      <c r="B1516" s="1" t="s">
        <v>7027</v>
      </c>
      <c r="C1516" t="s">
        <v>7028</v>
      </c>
      <c r="D1516" s="1" t="s">
        <v>7029</v>
      </c>
      <c r="E1516" t="b">
        <v>0</v>
      </c>
      <c r="F1516">
        <v>512</v>
      </c>
      <c r="G1516">
        <v>533</v>
      </c>
      <c r="H1516" t="s">
        <v>11</v>
      </c>
      <c r="I1516" t="b">
        <v>0</v>
      </c>
      <c r="J1516" cm="1">
        <f t="array" ref="J1516">sentimentCalc(B1516)</f>
        <v>0</v>
      </c>
      <c r="K1516" t="str" cm="1">
        <f t="array" ref="K1516">sentimentCategory(J1516)</f>
        <v>Neutral</v>
      </c>
    </row>
    <row r="1517" spans="1:11" ht="17" x14ac:dyDescent="0.2">
      <c r="A1517" t="s">
        <v>7166</v>
      </c>
      <c r="B1517" s="1" t="s">
        <v>7167</v>
      </c>
      <c r="C1517" t="s">
        <v>769</v>
      </c>
      <c r="D1517" s="1" t="s">
        <v>2</v>
      </c>
      <c r="E1517" t="b">
        <v>0</v>
      </c>
      <c r="F1517">
        <v>756</v>
      </c>
      <c r="G1517">
        <v>47</v>
      </c>
      <c r="H1517" t="s">
        <v>11</v>
      </c>
      <c r="I1517" t="b">
        <v>0</v>
      </c>
      <c r="J1517" cm="1">
        <f t="array" ref="J1517">sentimentCalc(B1517)</f>
        <v>0</v>
      </c>
      <c r="K1517" t="str" cm="1">
        <f t="array" ref="K1517">sentimentCategory(J1517)</f>
        <v>Neutral</v>
      </c>
    </row>
    <row r="1518" spans="1:11" ht="34" x14ac:dyDescent="0.2">
      <c r="A1518" t="s">
        <v>1097</v>
      </c>
      <c r="B1518" s="1" t="s">
        <v>1098</v>
      </c>
      <c r="C1518" t="s">
        <v>1099</v>
      </c>
      <c r="D1518" s="1" t="s">
        <v>2</v>
      </c>
      <c r="E1518" t="b">
        <v>0</v>
      </c>
      <c r="F1518">
        <v>0</v>
      </c>
      <c r="G1518">
        <v>20</v>
      </c>
      <c r="H1518" t="s">
        <v>11</v>
      </c>
      <c r="I1518" t="b">
        <v>0</v>
      </c>
      <c r="J1518" cm="1">
        <f t="array" ref="J1518">sentimentCalc(B1518)</f>
        <v>0</v>
      </c>
      <c r="K1518" t="str" cm="1">
        <f t="array" ref="K1518">sentimentCategory(J1518)</f>
        <v>Neutral</v>
      </c>
    </row>
    <row r="1519" spans="1:11" ht="17" x14ac:dyDescent="0.2">
      <c r="A1519" t="s">
        <v>4035</v>
      </c>
      <c r="B1519" s="1" t="s">
        <v>4036</v>
      </c>
      <c r="C1519" t="s">
        <v>275</v>
      </c>
      <c r="D1519" s="1" t="s">
        <v>2</v>
      </c>
      <c r="E1519" t="b">
        <v>1</v>
      </c>
      <c r="F1519">
        <v>3609</v>
      </c>
      <c r="G1519">
        <v>6</v>
      </c>
      <c r="H1519" t="s">
        <v>11</v>
      </c>
      <c r="I1519" t="b">
        <v>0</v>
      </c>
      <c r="J1519" cm="1">
        <f t="array" ref="J1519">sentimentCalc(B1519)</f>
        <v>0</v>
      </c>
      <c r="K1519" t="str" cm="1">
        <f t="array" ref="K1519">sentimentCategory(J1519)</f>
        <v>Neutral</v>
      </c>
    </row>
    <row r="1520" spans="1:11" ht="17" x14ac:dyDescent="0.2">
      <c r="A1520" t="s">
        <v>605</v>
      </c>
      <c r="B1520" s="1" t="s">
        <v>606</v>
      </c>
      <c r="C1520" t="s">
        <v>607</v>
      </c>
      <c r="D1520" s="1" t="s">
        <v>608</v>
      </c>
      <c r="E1520" t="b">
        <v>0</v>
      </c>
      <c r="F1520">
        <v>380</v>
      </c>
      <c r="G1520">
        <v>402</v>
      </c>
      <c r="H1520" t="s">
        <v>11</v>
      </c>
      <c r="I1520" t="b">
        <v>0</v>
      </c>
      <c r="J1520" cm="1">
        <f t="array" ref="J1520">sentimentCalc(B1520)</f>
        <v>0</v>
      </c>
      <c r="K1520" t="str" cm="1">
        <f t="array" ref="K1520">sentimentCategory(J1520)</f>
        <v>Neutral</v>
      </c>
    </row>
    <row r="1521" spans="1:11" ht="17" x14ac:dyDescent="0.2">
      <c r="A1521" t="s">
        <v>2020</v>
      </c>
      <c r="B1521" s="1" t="s">
        <v>2021</v>
      </c>
      <c r="C1521" t="s">
        <v>204</v>
      </c>
      <c r="D1521" s="1" t="s">
        <v>168</v>
      </c>
      <c r="E1521" t="b">
        <v>0</v>
      </c>
      <c r="F1521">
        <v>10</v>
      </c>
      <c r="G1521">
        <v>2</v>
      </c>
      <c r="H1521" t="s">
        <v>11</v>
      </c>
      <c r="I1521" t="b">
        <v>0</v>
      </c>
      <c r="J1521" cm="1">
        <f t="array" ref="J1521">sentimentCalc(B1521)</f>
        <v>0</v>
      </c>
      <c r="K1521" t="str" cm="1">
        <f t="array" ref="K1521">sentimentCategory(J1521)</f>
        <v>Neutral</v>
      </c>
    </row>
    <row r="1522" spans="1:11" ht="34" x14ac:dyDescent="0.2">
      <c r="A1522" t="s">
        <v>959</v>
      </c>
      <c r="B1522" s="1" t="s">
        <v>960</v>
      </c>
      <c r="C1522" t="s">
        <v>649</v>
      </c>
      <c r="D1522" s="1" t="s">
        <v>961</v>
      </c>
      <c r="E1522" t="b">
        <v>0</v>
      </c>
      <c r="F1522">
        <v>97</v>
      </c>
      <c r="G1522">
        <v>120</v>
      </c>
      <c r="H1522" t="s">
        <v>11</v>
      </c>
      <c r="I1522" t="b">
        <v>0</v>
      </c>
      <c r="J1522" cm="1">
        <f t="array" ref="J1522">sentimentCalc(B1522)</f>
        <v>4</v>
      </c>
      <c r="K1522" t="str" cm="1">
        <f t="array" ref="K1522">sentimentCategory(J1522)</f>
        <v>Positive</v>
      </c>
    </row>
    <row r="1523" spans="1:11" ht="34" x14ac:dyDescent="0.2">
      <c r="A1523" t="s">
        <v>5592</v>
      </c>
      <c r="B1523" s="1" t="s">
        <v>5593</v>
      </c>
      <c r="C1523" t="s">
        <v>67</v>
      </c>
      <c r="D1523" s="1" t="s">
        <v>2</v>
      </c>
      <c r="E1523" t="b">
        <v>0</v>
      </c>
      <c r="F1523">
        <v>127</v>
      </c>
      <c r="G1523">
        <v>271</v>
      </c>
      <c r="H1523" t="s">
        <v>11</v>
      </c>
      <c r="I1523" t="b">
        <v>0</v>
      </c>
      <c r="J1523" cm="1">
        <f t="array" ref="J1523">sentimentCalc(B1523)</f>
        <v>0</v>
      </c>
      <c r="K1523" t="str" cm="1">
        <f t="array" ref="K1523">sentimentCategory(J1523)</f>
        <v>Neutral</v>
      </c>
    </row>
    <row r="1524" spans="1:11" ht="17" x14ac:dyDescent="0.2">
      <c r="A1524" t="s">
        <v>5517</v>
      </c>
      <c r="B1524" s="1" t="s">
        <v>5518</v>
      </c>
      <c r="C1524" t="s">
        <v>5101</v>
      </c>
      <c r="D1524" s="1" t="s">
        <v>5519</v>
      </c>
      <c r="E1524" t="b">
        <v>0</v>
      </c>
      <c r="F1524">
        <v>1214</v>
      </c>
      <c r="G1524">
        <v>2257</v>
      </c>
      <c r="H1524" t="s">
        <v>11</v>
      </c>
      <c r="I1524" t="b">
        <v>0</v>
      </c>
      <c r="J1524" cm="1">
        <f t="array" ref="J1524">sentimentCalc(B1524)</f>
        <v>0</v>
      </c>
      <c r="K1524" t="str" cm="1">
        <f t="array" ref="K1524">sentimentCategory(J1524)</f>
        <v>Neutral</v>
      </c>
    </row>
    <row r="1525" spans="1:11" ht="17" x14ac:dyDescent="0.2">
      <c r="A1525" t="s">
        <v>6124</v>
      </c>
      <c r="B1525" s="1" t="s">
        <v>6125</v>
      </c>
      <c r="C1525" t="s">
        <v>1465</v>
      </c>
      <c r="D1525" s="1" t="s">
        <v>6126</v>
      </c>
      <c r="E1525" t="b">
        <v>0</v>
      </c>
      <c r="F1525">
        <v>55</v>
      </c>
      <c r="G1525">
        <v>81</v>
      </c>
      <c r="H1525" t="s">
        <v>11</v>
      </c>
      <c r="I1525" t="b">
        <v>0</v>
      </c>
      <c r="J1525" cm="1">
        <f t="array" ref="J1525">sentimentCalc(B1525)</f>
        <v>0</v>
      </c>
      <c r="K1525" t="str" cm="1">
        <f t="array" ref="K1525">sentimentCategory(J1525)</f>
        <v>Neutral</v>
      </c>
    </row>
    <row r="1526" spans="1:11" ht="17" x14ac:dyDescent="0.2">
      <c r="A1526" t="s">
        <v>2795</v>
      </c>
      <c r="B1526" s="1" t="s">
        <v>2796</v>
      </c>
      <c r="C1526" t="s">
        <v>2797</v>
      </c>
      <c r="D1526" s="1" t="s">
        <v>2798</v>
      </c>
      <c r="E1526" t="b">
        <v>0</v>
      </c>
      <c r="F1526">
        <v>2376</v>
      </c>
      <c r="G1526">
        <v>449</v>
      </c>
      <c r="H1526" t="s">
        <v>11</v>
      </c>
      <c r="I1526" t="b">
        <v>0</v>
      </c>
      <c r="J1526" cm="1">
        <f t="array" ref="J1526">sentimentCalc(B1526)</f>
        <v>0</v>
      </c>
      <c r="K1526" t="str" cm="1">
        <f t="array" ref="K1526">sentimentCategory(J1526)</f>
        <v>Neutral</v>
      </c>
    </row>
    <row r="1527" spans="1:11" ht="17" x14ac:dyDescent="0.2">
      <c r="A1527" t="s">
        <v>5003</v>
      </c>
      <c r="B1527" s="1" t="s">
        <v>5004</v>
      </c>
      <c r="C1527" t="s">
        <v>814</v>
      </c>
      <c r="D1527" s="1" t="s">
        <v>5005</v>
      </c>
      <c r="E1527" t="b">
        <v>0</v>
      </c>
      <c r="F1527">
        <v>0</v>
      </c>
      <c r="G1527">
        <v>1</v>
      </c>
      <c r="H1527" t="s">
        <v>11</v>
      </c>
      <c r="I1527" t="b">
        <v>0</v>
      </c>
      <c r="J1527" cm="1">
        <f t="array" ref="J1527">sentimentCalc(B1527)</f>
        <v>0</v>
      </c>
      <c r="K1527" t="str" cm="1">
        <f t="array" ref="K1527">sentimentCategory(J1527)</f>
        <v>Neutral</v>
      </c>
    </row>
    <row r="1528" spans="1:11" ht="34" x14ac:dyDescent="0.2">
      <c r="A1528" t="s">
        <v>2355</v>
      </c>
      <c r="B1528" s="1" t="s">
        <v>2356</v>
      </c>
      <c r="C1528" t="s">
        <v>2357</v>
      </c>
      <c r="D1528" s="1" t="s">
        <v>2358</v>
      </c>
      <c r="E1528" t="b">
        <v>0</v>
      </c>
      <c r="F1528">
        <v>126</v>
      </c>
      <c r="G1528">
        <v>657</v>
      </c>
      <c r="H1528" t="s">
        <v>11</v>
      </c>
      <c r="I1528" t="b">
        <v>0</v>
      </c>
      <c r="J1528" cm="1">
        <f t="array" ref="J1528">sentimentCalc(B1528)</f>
        <v>0</v>
      </c>
      <c r="K1528" t="str" cm="1">
        <f t="array" ref="K1528">sentimentCategory(J1528)</f>
        <v>Neutral</v>
      </c>
    </row>
    <row r="1529" spans="1:11" ht="34" x14ac:dyDescent="0.2">
      <c r="A1529" t="s">
        <v>3541</v>
      </c>
      <c r="B1529" s="1" t="s">
        <v>3542</v>
      </c>
      <c r="C1529" t="s">
        <v>3543</v>
      </c>
      <c r="D1529" s="1" t="s">
        <v>2</v>
      </c>
      <c r="E1529" t="b">
        <v>0</v>
      </c>
      <c r="F1529">
        <v>175</v>
      </c>
      <c r="G1529">
        <v>384</v>
      </c>
      <c r="H1529" t="s">
        <v>11</v>
      </c>
      <c r="I1529" t="b">
        <v>0</v>
      </c>
      <c r="J1529" cm="1">
        <f t="array" ref="J1529">sentimentCalc(B1529)</f>
        <v>1</v>
      </c>
      <c r="K1529" t="str" cm="1">
        <f t="array" ref="K1529">sentimentCategory(J1529)</f>
        <v>Positive</v>
      </c>
    </row>
    <row r="1530" spans="1:11" ht="17" x14ac:dyDescent="0.2">
      <c r="A1530" t="s">
        <v>5687</v>
      </c>
      <c r="B1530" s="1" t="s">
        <v>5688</v>
      </c>
      <c r="C1530" t="s">
        <v>5499</v>
      </c>
      <c r="D1530" s="1" t="s">
        <v>95</v>
      </c>
      <c r="E1530" t="b">
        <v>0</v>
      </c>
      <c r="F1530">
        <v>145</v>
      </c>
      <c r="G1530">
        <v>124</v>
      </c>
      <c r="H1530" t="s">
        <v>11</v>
      </c>
      <c r="I1530" t="b">
        <v>0</v>
      </c>
      <c r="J1530" cm="1">
        <f t="array" ref="J1530">sentimentCalc(B1530)</f>
        <v>-1</v>
      </c>
      <c r="K1530" t="str" cm="1">
        <f t="array" ref="K1530">sentimentCategory(J1530)</f>
        <v>Negative</v>
      </c>
    </row>
    <row r="1531" spans="1:11" ht="17" x14ac:dyDescent="0.2">
      <c r="A1531" t="s">
        <v>3500</v>
      </c>
      <c r="B1531" s="1" t="s">
        <v>3502</v>
      </c>
      <c r="C1531" t="s">
        <v>173</v>
      </c>
      <c r="D1531" s="1" t="s">
        <v>730</v>
      </c>
      <c r="E1531" t="b">
        <v>0</v>
      </c>
      <c r="F1531">
        <v>210</v>
      </c>
      <c r="G1531">
        <v>273</v>
      </c>
      <c r="H1531" t="s">
        <v>11</v>
      </c>
      <c r="I1531" t="b">
        <v>0</v>
      </c>
      <c r="J1531" cm="1">
        <f t="array" ref="J1531">sentimentCalc(B1531)</f>
        <v>0</v>
      </c>
      <c r="K1531" t="str" cm="1">
        <f t="array" ref="K1531">sentimentCategory(J1531)</f>
        <v>Neutral</v>
      </c>
    </row>
    <row r="1532" spans="1:11" ht="17" x14ac:dyDescent="0.2">
      <c r="A1532" t="s">
        <v>3337</v>
      </c>
      <c r="B1532" s="1" t="s">
        <v>3338</v>
      </c>
      <c r="C1532" t="s">
        <v>200</v>
      </c>
      <c r="D1532" s="1" t="s">
        <v>2</v>
      </c>
      <c r="E1532" t="b">
        <v>0</v>
      </c>
      <c r="F1532">
        <v>118</v>
      </c>
      <c r="G1532">
        <v>384</v>
      </c>
      <c r="H1532" t="s">
        <v>11</v>
      </c>
      <c r="I1532" t="b">
        <v>0</v>
      </c>
      <c r="J1532" cm="1">
        <f t="array" ref="J1532">sentimentCalc(B1532)</f>
        <v>0</v>
      </c>
      <c r="K1532" t="str" cm="1">
        <f t="array" ref="K1532">sentimentCategory(J1532)</f>
        <v>Neutral</v>
      </c>
    </row>
    <row r="1533" spans="1:11" ht="34" x14ac:dyDescent="0.2">
      <c r="A1533" t="s">
        <v>6598</v>
      </c>
      <c r="B1533" s="1" t="s">
        <v>6599</v>
      </c>
      <c r="C1533" t="s">
        <v>4395</v>
      </c>
      <c r="D1533" s="1" t="s">
        <v>6600</v>
      </c>
      <c r="E1533" t="b">
        <v>0</v>
      </c>
      <c r="F1533">
        <v>538</v>
      </c>
      <c r="G1533">
        <v>602</v>
      </c>
      <c r="H1533" t="s">
        <v>11</v>
      </c>
      <c r="I1533" t="b">
        <v>0</v>
      </c>
      <c r="J1533" cm="1">
        <f t="array" ref="J1533">sentimentCalc(B1533)</f>
        <v>-1</v>
      </c>
      <c r="K1533" t="str" cm="1">
        <f t="array" ref="K1533">sentimentCategory(J1533)</f>
        <v>Negative</v>
      </c>
    </row>
    <row r="1534" spans="1:11" ht="17" x14ac:dyDescent="0.2">
      <c r="A1534" t="s">
        <v>6376</v>
      </c>
      <c r="B1534" s="1" t="s">
        <v>6377</v>
      </c>
      <c r="C1534" t="s">
        <v>995</v>
      </c>
      <c r="D1534" s="1" t="s">
        <v>6378</v>
      </c>
      <c r="E1534" t="b">
        <v>0</v>
      </c>
      <c r="F1534">
        <v>65</v>
      </c>
      <c r="G1534">
        <v>206</v>
      </c>
      <c r="H1534" t="s">
        <v>11</v>
      </c>
      <c r="I1534" t="b">
        <v>0</v>
      </c>
      <c r="J1534" cm="1">
        <f t="array" ref="J1534">sentimentCalc(B1534)</f>
        <v>-2</v>
      </c>
      <c r="K1534" t="str" cm="1">
        <f t="array" ref="K1534">sentimentCategory(J1534)</f>
        <v>Negative</v>
      </c>
    </row>
    <row r="1535" spans="1:11" ht="17" x14ac:dyDescent="0.2">
      <c r="A1535" t="s">
        <v>3049</v>
      </c>
      <c r="B1535" s="1" t="s">
        <v>3050</v>
      </c>
      <c r="C1535" t="s">
        <v>455</v>
      </c>
      <c r="D1535" s="1" t="s">
        <v>2</v>
      </c>
      <c r="E1535" t="b">
        <v>0</v>
      </c>
      <c r="F1535">
        <v>670</v>
      </c>
      <c r="G1535">
        <v>568</v>
      </c>
      <c r="H1535" t="s">
        <v>11</v>
      </c>
      <c r="I1535" t="b">
        <v>0</v>
      </c>
      <c r="J1535" cm="1">
        <f t="array" ref="J1535">sentimentCalc(B1535)</f>
        <v>0</v>
      </c>
      <c r="K1535" t="str" cm="1">
        <f t="array" ref="K1535">sentimentCategory(J1535)</f>
        <v>Neutral</v>
      </c>
    </row>
    <row r="1536" spans="1:11" ht="17" x14ac:dyDescent="0.2">
      <c r="A1536" t="s">
        <v>5497</v>
      </c>
      <c r="B1536" s="1" t="s">
        <v>5498</v>
      </c>
      <c r="C1536" t="s">
        <v>5499</v>
      </c>
      <c r="D1536" s="1" t="s">
        <v>95</v>
      </c>
      <c r="E1536" t="b">
        <v>0</v>
      </c>
      <c r="F1536">
        <v>145</v>
      </c>
      <c r="G1536">
        <v>124</v>
      </c>
      <c r="H1536" t="s">
        <v>11</v>
      </c>
      <c r="I1536" t="b">
        <v>0</v>
      </c>
      <c r="J1536" cm="1">
        <f t="array" ref="J1536">sentimentCalc(B1536)</f>
        <v>0</v>
      </c>
      <c r="K1536" t="str" cm="1">
        <f t="array" ref="K1536">sentimentCategory(J1536)</f>
        <v>Neutral</v>
      </c>
    </row>
    <row r="1537" spans="1:11" ht="17" x14ac:dyDescent="0.2">
      <c r="A1537" t="s">
        <v>2227</v>
      </c>
      <c r="B1537" s="1" t="s">
        <v>2228</v>
      </c>
      <c r="C1537" t="s">
        <v>2229</v>
      </c>
      <c r="D1537" s="1">
        <v>904</v>
      </c>
      <c r="E1537" t="b">
        <v>0</v>
      </c>
      <c r="F1537">
        <v>635</v>
      </c>
      <c r="G1537">
        <v>70</v>
      </c>
      <c r="H1537" t="s">
        <v>11</v>
      </c>
      <c r="I1537" t="b">
        <v>0</v>
      </c>
      <c r="J1537" cm="1">
        <f t="array" ref="J1537">sentimentCalc(B1537)</f>
        <v>0</v>
      </c>
      <c r="K1537" t="str" cm="1">
        <f t="array" ref="K1537">sentimentCategory(J1537)</f>
        <v>Neutral</v>
      </c>
    </row>
    <row r="1538" spans="1:11" ht="17" x14ac:dyDescent="0.2">
      <c r="A1538" t="s">
        <v>1337</v>
      </c>
      <c r="B1538" s="1" t="s">
        <v>1338</v>
      </c>
      <c r="C1538" t="s">
        <v>490</v>
      </c>
      <c r="D1538" s="1" t="s">
        <v>1339</v>
      </c>
      <c r="E1538" t="b">
        <v>0</v>
      </c>
      <c r="F1538">
        <v>1096</v>
      </c>
      <c r="G1538">
        <v>993</v>
      </c>
      <c r="H1538" t="s">
        <v>11</v>
      </c>
      <c r="I1538" t="b">
        <v>0</v>
      </c>
      <c r="J1538" cm="1">
        <f t="array" ref="J1538">sentimentCalc(B1538)</f>
        <v>1</v>
      </c>
      <c r="K1538" t="str" cm="1">
        <f t="array" ref="K1538">sentimentCategory(J1538)</f>
        <v>Positive</v>
      </c>
    </row>
    <row r="1539" spans="1:11" ht="34" x14ac:dyDescent="0.2">
      <c r="A1539" t="s">
        <v>4266</v>
      </c>
      <c r="B1539" s="1" t="s">
        <v>4267</v>
      </c>
      <c r="C1539" t="s">
        <v>3592</v>
      </c>
      <c r="D1539" s="1" t="s">
        <v>2</v>
      </c>
      <c r="E1539" t="b">
        <v>0</v>
      </c>
      <c r="F1539">
        <v>365</v>
      </c>
      <c r="G1539">
        <v>454</v>
      </c>
      <c r="H1539" t="s">
        <v>11</v>
      </c>
      <c r="I1539" t="b">
        <v>0</v>
      </c>
      <c r="J1539" cm="1">
        <f t="array" ref="J1539">sentimentCalc(B1539)</f>
        <v>0</v>
      </c>
      <c r="K1539" t="str" cm="1">
        <f t="array" ref="K1539">sentimentCategory(J1539)</f>
        <v>Neutral</v>
      </c>
    </row>
    <row r="1540" spans="1:11" ht="34" x14ac:dyDescent="0.2">
      <c r="A1540" t="s">
        <v>6203</v>
      </c>
      <c r="B1540" s="1" t="s">
        <v>6204</v>
      </c>
      <c r="C1540" t="s">
        <v>2973</v>
      </c>
      <c r="D1540" s="1" t="s">
        <v>6205</v>
      </c>
      <c r="E1540" t="b">
        <v>0</v>
      </c>
      <c r="F1540">
        <v>542</v>
      </c>
      <c r="G1540">
        <v>587</v>
      </c>
      <c r="H1540" t="s">
        <v>11</v>
      </c>
      <c r="I1540" t="b">
        <v>0</v>
      </c>
      <c r="J1540" cm="1">
        <f t="array" ref="J1540">sentimentCalc(B1540)</f>
        <v>0</v>
      </c>
      <c r="K1540" t="str" cm="1">
        <f t="array" ref="K1540">sentimentCategory(J1540)</f>
        <v>Neutral</v>
      </c>
    </row>
    <row r="1541" spans="1:11" ht="17" x14ac:dyDescent="0.2">
      <c r="A1541" t="s">
        <v>5135</v>
      </c>
      <c r="B1541" s="1" t="s">
        <v>5136</v>
      </c>
      <c r="C1541" t="s">
        <v>5137</v>
      </c>
      <c r="D1541" s="1" t="s">
        <v>5138</v>
      </c>
      <c r="E1541" t="b">
        <v>0</v>
      </c>
      <c r="F1541">
        <v>83</v>
      </c>
      <c r="G1541">
        <v>575</v>
      </c>
      <c r="H1541" t="s">
        <v>11</v>
      </c>
      <c r="I1541" t="b">
        <v>0</v>
      </c>
      <c r="J1541" cm="1">
        <f t="array" ref="J1541">sentimentCalc(B1541)</f>
        <v>0</v>
      </c>
      <c r="K1541" t="str" cm="1">
        <f t="array" ref="K1541">sentimentCategory(J1541)</f>
        <v>Neutral</v>
      </c>
    </row>
    <row r="1542" spans="1:11" ht="34" x14ac:dyDescent="0.2">
      <c r="A1542" t="s">
        <v>2521</v>
      </c>
      <c r="B1542" s="1" t="s">
        <v>2522</v>
      </c>
      <c r="C1542" t="s">
        <v>406</v>
      </c>
      <c r="D1542" s="1" t="s">
        <v>2523</v>
      </c>
      <c r="E1542" t="b">
        <v>0</v>
      </c>
      <c r="F1542">
        <v>966</v>
      </c>
      <c r="G1542">
        <v>534</v>
      </c>
      <c r="H1542" t="s">
        <v>11</v>
      </c>
      <c r="I1542" t="b">
        <v>0</v>
      </c>
      <c r="J1542" cm="1">
        <f t="array" ref="J1542">sentimentCalc(B1542)</f>
        <v>0</v>
      </c>
      <c r="K1542" t="str" cm="1">
        <f t="array" ref="K1542">sentimentCategory(J1542)</f>
        <v>Neutral</v>
      </c>
    </row>
    <row r="1543" spans="1:11" ht="17" x14ac:dyDescent="0.2">
      <c r="A1543" t="s">
        <v>3882</v>
      </c>
      <c r="B1543" s="1" t="s">
        <v>3883</v>
      </c>
      <c r="C1543" t="s">
        <v>1254</v>
      </c>
      <c r="D1543" s="1" t="s">
        <v>2</v>
      </c>
      <c r="E1543" t="b">
        <v>0</v>
      </c>
      <c r="F1543">
        <v>24</v>
      </c>
      <c r="G1543">
        <v>572</v>
      </c>
      <c r="H1543" t="s">
        <v>73</v>
      </c>
      <c r="I1543" t="b">
        <v>0</v>
      </c>
      <c r="J1543" cm="1">
        <f t="array" ref="J1543">sentimentCalc(B1543)</f>
        <v>0</v>
      </c>
      <c r="K1543" t="str" cm="1">
        <f t="array" ref="K1543">sentimentCategory(J1543)</f>
        <v>Neutral</v>
      </c>
    </row>
    <row r="1544" spans="1:11" ht="17" x14ac:dyDescent="0.2">
      <c r="A1544" t="s">
        <v>579</v>
      </c>
      <c r="B1544" s="1" t="s">
        <v>580</v>
      </c>
      <c r="C1544" t="s">
        <v>581</v>
      </c>
      <c r="D1544" s="1" t="s">
        <v>2</v>
      </c>
      <c r="E1544" t="b">
        <v>0</v>
      </c>
      <c r="F1544">
        <v>446</v>
      </c>
      <c r="G1544">
        <v>1474</v>
      </c>
      <c r="H1544" t="s">
        <v>11</v>
      </c>
      <c r="I1544" t="b">
        <v>0</v>
      </c>
      <c r="J1544" cm="1">
        <f t="array" ref="J1544">sentimentCalc(B1544)</f>
        <v>0</v>
      </c>
      <c r="K1544" t="str" cm="1">
        <f t="array" ref="K1544">sentimentCategory(J1544)</f>
        <v>Neutral</v>
      </c>
    </row>
    <row r="1545" spans="1:11" ht="17" x14ac:dyDescent="0.2">
      <c r="A1545" t="s">
        <v>2974</v>
      </c>
      <c r="B1545" s="1" t="s">
        <v>2975</v>
      </c>
      <c r="C1545" t="s">
        <v>2976</v>
      </c>
      <c r="D1545" s="1" t="s">
        <v>2977</v>
      </c>
      <c r="E1545" t="b">
        <v>0</v>
      </c>
      <c r="F1545">
        <v>128</v>
      </c>
      <c r="G1545">
        <v>1067</v>
      </c>
      <c r="H1545" t="s">
        <v>83</v>
      </c>
      <c r="I1545" t="b">
        <v>0</v>
      </c>
      <c r="J1545" cm="1">
        <f t="array" ref="J1545">sentimentCalc(B1545)</f>
        <v>0</v>
      </c>
      <c r="K1545" t="str" cm="1">
        <f t="array" ref="K1545">sentimentCategory(J1545)</f>
        <v>Neutral</v>
      </c>
    </row>
    <row r="1546" spans="1:11" ht="34" x14ac:dyDescent="0.2">
      <c r="A1546" t="s">
        <v>5491</v>
      </c>
      <c r="B1546" s="1" t="s">
        <v>5492</v>
      </c>
      <c r="C1546" t="s">
        <v>2554</v>
      </c>
      <c r="D1546" s="1" t="s">
        <v>5493</v>
      </c>
      <c r="E1546" t="b">
        <v>1</v>
      </c>
      <c r="F1546">
        <v>16662</v>
      </c>
      <c r="G1546">
        <v>1315</v>
      </c>
      <c r="H1546" t="s">
        <v>11</v>
      </c>
      <c r="I1546" t="b">
        <v>0</v>
      </c>
      <c r="J1546" cm="1">
        <f t="array" ref="J1546">sentimentCalc(B1546)</f>
        <v>0</v>
      </c>
      <c r="K1546" t="str" cm="1">
        <f t="array" ref="K1546">sentimentCategory(J1546)</f>
        <v>Neutral</v>
      </c>
    </row>
    <row r="1547" spans="1:11" ht="17" x14ac:dyDescent="0.2">
      <c r="A1547" t="s">
        <v>4673</v>
      </c>
      <c r="B1547" s="1" t="s">
        <v>4674</v>
      </c>
      <c r="C1547" t="s">
        <v>1226</v>
      </c>
      <c r="D1547" s="1" t="s">
        <v>2135</v>
      </c>
      <c r="E1547" t="b">
        <v>0</v>
      </c>
      <c r="F1547">
        <v>417</v>
      </c>
      <c r="G1547">
        <v>410</v>
      </c>
      <c r="H1547" t="s">
        <v>11</v>
      </c>
      <c r="I1547" t="b">
        <v>0</v>
      </c>
      <c r="J1547" cm="1">
        <f t="array" ref="J1547">sentimentCalc(B1547)</f>
        <v>0</v>
      </c>
      <c r="K1547" t="str" cm="1">
        <f t="array" ref="K1547">sentimentCategory(J1547)</f>
        <v>Neutral</v>
      </c>
    </row>
    <row r="1548" spans="1:11" ht="17" x14ac:dyDescent="0.2">
      <c r="A1548" t="s">
        <v>6620</v>
      </c>
      <c r="B1548" s="1" t="s">
        <v>6621</v>
      </c>
      <c r="C1548" t="s">
        <v>3059</v>
      </c>
      <c r="D1548" s="1" t="s">
        <v>2</v>
      </c>
      <c r="E1548" t="b">
        <v>0</v>
      </c>
      <c r="F1548">
        <v>5</v>
      </c>
      <c r="G1548">
        <v>7</v>
      </c>
      <c r="H1548" t="s">
        <v>11</v>
      </c>
      <c r="I1548" t="b">
        <v>0</v>
      </c>
      <c r="J1548" cm="1">
        <f t="array" ref="J1548">sentimentCalc(B1548)</f>
        <v>1</v>
      </c>
      <c r="K1548" t="str" cm="1">
        <f t="array" ref="K1548">sentimentCategory(J1548)</f>
        <v>Positive</v>
      </c>
    </row>
    <row r="1549" spans="1:11" ht="34" x14ac:dyDescent="0.2">
      <c r="A1549" t="s">
        <v>1842</v>
      </c>
      <c r="B1549" s="1" t="s">
        <v>1843</v>
      </c>
      <c r="C1549" t="s">
        <v>315</v>
      </c>
      <c r="D1549" s="1" t="s">
        <v>1844</v>
      </c>
      <c r="E1549" t="b">
        <v>0</v>
      </c>
      <c r="F1549">
        <v>37</v>
      </c>
      <c r="G1549">
        <v>8</v>
      </c>
      <c r="H1549" t="s">
        <v>11</v>
      </c>
      <c r="I1549" t="b">
        <v>0</v>
      </c>
      <c r="J1549" cm="1">
        <f t="array" ref="J1549">sentimentCalc(B1549)</f>
        <v>1</v>
      </c>
      <c r="K1549" t="str" cm="1">
        <f t="array" ref="K1549">sentimentCategory(J1549)</f>
        <v>Positive</v>
      </c>
    </row>
    <row r="1550" spans="1:11" ht="17" x14ac:dyDescent="0.2">
      <c r="A1550" t="s">
        <v>1744</v>
      </c>
      <c r="B1550" s="1" t="s">
        <v>1745</v>
      </c>
      <c r="C1550" t="s">
        <v>1746</v>
      </c>
      <c r="D1550" s="1" t="s">
        <v>1747</v>
      </c>
      <c r="E1550" t="b">
        <v>0</v>
      </c>
      <c r="F1550">
        <v>101</v>
      </c>
      <c r="G1550">
        <v>542</v>
      </c>
      <c r="H1550" t="s">
        <v>11</v>
      </c>
      <c r="I1550" t="b">
        <v>0</v>
      </c>
      <c r="J1550" cm="1">
        <f t="array" ref="J1550">sentimentCalc(B1550)</f>
        <v>0</v>
      </c>
      <c r="K1550" t="str" cm="1">
        <f t="array" ref="K1550">sentimentCategory(J1550)</f>
        <v>Neutral</v>
      </c>
    </row>
    <row r="1551" spans="1:11" ht="34" x14ac:dyDescent="0.2">
      <c r="A1551" t="s">
        <v>3370</v>
      </c>
      <c r="B1551" s="1" t="s">
        <v>3372</v>
      </c>
      <c r="C1551" t="s">
        <v>3059</v>
      </c>
      <c r="D1551" s="1" t="s">
        <v>2</v>
      </c>
      <c r="E1551" t="b">
        <v>0</v>
      </c>
      <c r="F1551">
        <v>100</v>
      </c>
      <c r="G1551">
        <v>261</v>
      </c>
      <c r="H1551" t="s">
        <v>11</v>
      </c>
      <c r="I1551" t="b">
        <v>0</v>
      </c>
      <c r="J1551" cm="1">
        <f t="array" ref="J1551">sentimentCalc(B1551)</f>
        <v>0</v>
      </c>
      <c r="K1551" t="str" cm="1">
        <f t="array" ref="K1551">sentimentCategory(J1551)</f>
        <v>Neutral</v>
      </c>
    </row>
    <row r="1552" spans="1:11" ht="17" x14ac:dyDescent="0.2">
      <c r="A1552" t="s">
        <v>5828</v>
      </c>
      <c r="B1552" s="1" t="s">
        <v>5829</v>
      </c>
      <c r="C1552" t="s">
        <v>3631</v>
      </c>
      <c r="D1552" s="1" t="s">
        <v>5830</v>
      </c>
      <c r="E1552" t="b">
        <v>0</v>
      </c>
      <c r="F1552">
        <v>91</v>
      </c>
      <c r="G1552">
        <v>170</v>
      </c>
      <c r="H1552" t="s">
        <v>11</v>
      </c>
      <c r="I1552" t="b">
        <v>0</v>
      </c>
      <c r="J1552" cm="1">
        <f t="array" ref="J1552">sentimentCalc(B1552)</f>
        <v>0</v>
      </c>
      <c r="K1552" t="str" cm="1">
        <f t="array" ref="K1552">sentimentCategory(J1552)</f>
        <v>Neutral</v>
      </c>
    </row>
    <row r="1553" spans="1:11" ht="34" x14ac:dyDescent="0.2">
      <c r="A1553" t="s">
        <v>3952</v>
      </c>
      <c r="B1553" s="1" t="s">
        <v>3953</v>
      </c>
      <c r="C1553" t="s">
        <v>3954</v>
      </c>
      <c r="D1553" s="1" t="s">
        <v>3955</v>
      </c>
      <c r="E1553" t="b">
        <v>0</v>
      </c>
      <c r="F1553">
        <v>2482</v>
      </c>
      <c r="G1553">
        <v>1802</v>
      </c>
      <c r="H1553" t="s">
        <v>11</v>
      </c>
      <c r="I1553" t="b">
        <v>0</v>
      </c>
      <c r="J1553" cm="1">
        <f t="array" ref="J1553">sentimentCalc(B1553)</f>
        <v>0</v>
      </c>
      <c r="K1553" t="str" cm="1">
        <f t="array" ref="K1553">sentimentCategory(J1553)</f>
        <v>Neutral</v>
      </c>
    </row>
    <row r="1554" spans="1:11" ht="17" x14ac:dyDescent="0.2">
      <c r="A1554" t="s">
        <v>6107</v>
      </c>
      <c r="B1554" s="1" t="s">
        <v>6108</v>
      </c>
      <c r="C1554" t="s">
        <v>6109</v>
      </c>
      <c r="D1554" s="1" t="s">
        <v>6110</v>
      </c>
      <c r="E1554" t="b">
        <v>0</v>
      </c>
      <c r="F1554">
        <v>563</v>
      </c>
      <c r="G1554">
        <v>35</v>
      </c>
      <c r="H1554" t="s">
        <v>11</v>
      </c>
      <c r="I1554" t="b">
        <v>0</v>
      </c>
      <c r="J1554" cm="1">
        <f t="array" ref="J1554">sentimentCalc(B1554)</f>
        <v>0</v>
      </c>
      <c r="K1554" t="str" cm="1">
        <f t="array" ref="K1554">sentimentCategory(J1554)</f>
        <v>Neutral</v>
      </c>
    </row>
    <row r="1555" spans="1:11" ht="17" x14ac:dyDescent="0.2">
      <c r="A1555" t="s">
        <v>2835</v>
      </c>
      <c r="B1555" s="1" t="s">
        <v>2836</v>
      </c>
      <c r="C1555" t="s">
        <v>483</v>
      </c>
      <c r="D1555" s="1" t="s">
        <v>484</v>
      </c>
      <c r="E1555" t="b">
        <v>0</v>
      </c>
      <c r="F1555">
        <v>1899</v>
      </c>
      <c r="G1555">
        <v>540</v>
      </c>
      <c r="H1555" t="s">
        <v>11</v>
      </c>
      <c r="I1555" t="b">
        <v>0</v>
      </c>
      <c r="J1555" cm="1">
        <f t="array" ref="J1555">sentimentCalc(B1555)</f>
        <v>0</v>
      </c>
      <c r="K1555" t="str" cm="1">
        <f t="array" ref="K1555">sentimentCategory(J1555)</f>
        <v>Neutral</v>
      </c>
    </row>
    <row r="1556" spans="1:11" ht="17" x14ac:dyDescent="0.2">
      <c r="A1556" t="s">
        <v>4961</v>
      </c>
      <c r="B1556" s="1" t="s">
        <v>4962</v>
      </c>
      <c r="C1556" t="s">
        <v>4963</v>
      </c>
      <c r="D1556" s="1" t="s">
        <v>2</v>
      </c>
      <c r="E1556" t="b">
        <v>0</v>
      </c>
      <c r="F1556">
        <v>32</v>
      </c>
      <c r="G1556">
        <v>45</v>
      </c>
      <c r="H1556" t="s">
        <v>83</v>
      </c>
      <c r="I1556" t="b">
        <v>0</v>
      </c>
      <c r="J1556" cm="1">
        <f t="array" ref="J1556">sentimentCalc(B1556)</f>
        <v>0</v>
      </c>
      <c r="K1556" t="str" cm="1">
        <f t="array" ref="K1556">sentimentCategory(J1556)</f>
        <v>Neutral</v>
      </c>
    </row>
    <row r="1557" spans="1:11" ht="17" x14ac:dyDescent="0.2">
      <c r="A1557" t="s">
        <v>2346</v>
      </c>
      <c r="B1557" s="1" t="s">
        <v>2347</v>
      </c>
      <c r="C1557" t="s">
        <v>1530</v>
      </c>
      <c r="D1557" s="1" t="s">
        <v>2</v>
      </c>
      <c r="E1557" t="b">
        <v>0</v>
      </c>
      <c r="F1557">
        <v>7</v>
      </c>
      <c r="G1557">
        <v>155</v>
      </c>
      <c r="H1557" t="s">
        <v>11</v>
      </c>
      <c r="I1557" t="b">
        <v>0</v>
      </c>
      <c r="J1557" cm="1">
        <f t="array" ref="J1557">sentimentCalc(B1557)</f>
        <v>0</v>
      </c>
      <c r="K1557" t="str" cm="1">
        <f t="array" ref="K1557">sentimentCategory(J1557)</f>
        <v>Neutral</v>
      </c>
    </row>
    <row r="1558" spans="1:11" ht="34" x14ac:dyDescent="0.2">
      <c r="A1558" t="s">
        <v>1248</v>
      </c>
      <c r="B1558" s="1" t="s">
        <v>1249</v>
      </c>
      <c r="C1558" t="s">
        <v>1250</v>
      </c>
      <c r="D1558" s="1" t="s">
        <v>1251</v>
      </c>
      <c r="E1558" t="b">
        <v>0</v>
      </c>
      <c r="F1558">
        <v>1353</v>
      </c>
      <c r="G1558">
        <v>1068</v>
      </c>
      <c r="H1558" t="s">
        <v>11</v>
      </c>
      <c r="I1558" t="b">
        <v>0</v>
      </c>
      <c r="J1558" cm="1">
        <f t="array" ref="J1558">sentimentCalc(B1558)</f>
        <v>0</v>
      </c>
      <c r="K1558" t="str" cm="1">
        <f t="array" ref="K1558">sentimentCategory(J1558)</f>
        <v>Neutral</v>
      </c>
    </row>
    <row r="1559" spans="1:11" ht="34" x14ac:dyDescent="0.2">
      <c r="A1559" t="s">
        <v>5834</v>
      </c>
      <c r="B1559" s="1" t="s">
        <v>5835</v>
      </c>
      <c r="C1559" t="s">
        <v>1324</v>
      </c>
      <c r="D1559" s="1" t="s">
        <v>2</v>
      </c>
      <c r="E1559" t="b">
        <v>0</v>
      </c>
      <c r="F1559">
        <v>472</v>
      </c>
      <c r="G1559">
        <v>1639</v>
      </c>
      <c r="H1559" t="s">
        <v>11</v>
      </c>
      <c r="I1559" t="b">
        <v>0</v>
      </c>
      <c r="J1559" cm="1">
        <f t="array" ref="J1559">sentimentCalc(B1559)</f>
        <v>0</v>
      </c>
      <c r="K1559" t="str" cm="1">
        <f t="array" ref="K1559">sentimentCategory(J1559)</f>
        <v>Neutral</v>
      </c>
    </row>
    <row r="1560" spans="1:11" ht="34" x14ac:dyDescent="0.2">
      <c r="A1560" t="s">
        <v>5860</v>
      </c>
      <c r="B1560" s="1" t="s">
        <v>5861</v>
      </c>
      <c r="C1560" t="s">
        <v>3431</v>
      </c>
      <c r="D1560" s="1" t="s">
        <v>5862</v>
      </c>
      <c r="E1560" t="b">
        <v>0</v>
      </c>
      <c r="F1560">
        <v>487</v>
      </c>
      <c r="G1560">
        <v>1004</v>
      </c>
      <c r="H1560" t="s">
        <v>11</v>
      </c>
      <c r="I1560" t="b">
        <v>0</v>
      </c>
      <c r="J1560" cm="1">
        <f t="array" ref="J1560">sentimentCalc(B1560)</f>
        <v>0</v>
      </c>
      <c r="K1560" t="str" cm="1">
        <f t="array" ref="K1560">sentimentCategory(J1560)</f>
        <v>Neutral</v>
      </c>
    </row>
    <row r="1561" spans="1:11" ht="17" x14ac:dyDescent="0.2">
      <c r="A1561" t="s">
        <v>5330</v>
      </c>
      <c r="B1561" s="1" t="s">
        <v>5331</v>
      </c>
      <c r="C1561" t="s">
        <v>5332</v>
      </c>
      <c r="D1561" s="1" t="s">
        <v>2</v>
      </c>
      <c r="E1561" t="b">
        <v>0</v>
      </c>
      <c r="F1561">
        <v>173</v>
      </c>
      <c r="G1561">
        <v>1661</v>
      </c>
      <c r="H1561" t="s">
        <v>11</v>
      </c>
      <c r="I1561" t="b">
        <v>0</v>
      </c>
      <c r="J1561" cm="1">
        <f t="array" ref="J1561">sentimentCalc(B1561)</f>
        <v>0</v>
      </c>
      <c r="K1561" t="str" cm="1">
        <f t="array" ref="K1561">sentimentCategory(J1561)</f>
        <v>Neutral</v>
      </c>
    </row>
    <row r="1562" spans="1:11" ht="17" x14ac:dyDescent="0.2">
      <c r="A1562" t="s">
        <v>688</v>
      </c>
      <c r="B1562" s="1" t="s">
        <v>689</v>
      </c>
      <c r="C1562" t="s">
        <v>690</v>
      </c>
      <c r="D1562" s="1" t="s">
        <v>39</v>
      </c>
      <c r="E1562" t="b">
        <v>0</v>
      </c>
      <c r="F1562">
        <v>172</v>
      </c>
      <c r="G1562">
        <v>84</v>
      </c>
      <c r="H1562" t="s">
        <v>11</v>
      </c>
      <c r="I1562" t="b">
        <v>0</v>
      </c>
      <c r="J1562" cm="1">
        <f t="array" ref="J1562">sentimentCalc(B1562)</f>
        <v>0</v>
      </c>
      <c r="K1562" t="str" cm="1">
        <f t="array" ref="K1562">sentimentCategory(J1562)</f>
        <v>Neutral</v>
      </c>
    </row>
    <row r="1563" spans="1:11" ht="34" x14ac:dyDescent="0.2">
      <c r="A1563" t="s">
        <v>3437</v>
      </c>
      <c r="B1563" s="1" t="s">
        <v>3438</v>
      </c>
      <c r="C1563" t="s">
        <v>3439</v>
      </c>
      <c r="D1563" s="1" t="s">
        <v>2702</v>
      </c>
      <c r="E1563" t="b">
        <v>0</v>
      </c>
      <c r="F1563">
        <v>14</v>
      </c>
      <c r="G1563">
        <v>36</v>
      </c>
      <c r="H1563" t="s">
        <v>11</v>
      </c>
      <c r="I1563" t="b">
        <v>0</v>
      </c>
      <c r="J1563" cm="1">
        <f t="array" ref="J1563">sentimentCalc(B1563)</f>
        <v>0</v>
      </c>
      <c r="K1563" t="str" cm="1">
        <f t="array" ref="K1563">sentimentCategory(J1563)</f>
        <v>Neutral</v>
      </c>
    </row>
    <row r="1564" spans="1:11" ht="34" x14ac:dyDescent="0.2">
      <c r="A1564" t="s">
        <v>4630</v>
      </c>
      <c r="B1564" s="1" t="s">
        <v>4631</v>
      </c>
      <c r="C1564" t="s">
        <v>1583</v>
      </c>
      <c r="D1564" s="1" t="s">
        <v>4632</v>
      </c>
      <c r="E1564" t="b">
        <v>0</v>
      </c>
      <c r="F1564">
        <v>1358</v>
      </c>
      <c r="G1564">
        <v>330</v>
      </c>
      <c r="H1564" t="s">
        <v>11</v>
      </c>
      <c r="I1564" t="b">
        <v>0</v>
      </c>
      <c r="J1564" cm="1">
        <f t="array" ref="J1564">sentimentCalc(B1564)</f>
        <v>0</v>
      </c>
      <c r="K1564" t="str" cm="1">
        <f t="array" ref="K1564">sentimentCategory(J1564)</f>
        <v>Neutral</v>
      </c>
    </row>
    <row r="1565" spans="1:11" ht="17" x14ac:dyDescent="0.2">
      <c r="A1565" t="s">
        <v>2453</v>
      </c>
      <c r="B1565" s="1" t="s">
        <v>2454</v>
      </c>
      <c r="C1565" t="s">
        <v>2455</v>
      </c>
      <c r="D1565" s="1" t="s">
        <v>322</v>
      </c>
      <c r="E1565" t="b">
        <v>0</v>
      </c>
      <c r="F1565">
        <v>2</v>
      </c>
      <c r="G1565">
        <v>8</v>
      </c>
      <c r="H1565" t="s">
        <v>11</v>
      </c>
      <c r="I1565" t="b">
        <v>0</v>
      </c>
      <c r="J1565" cm="1">
        <f t="array" ref="J1565">sentimentCalc(B1565)</f>
        <v>0</v>
      </c>
      <c r="K1565" t="str" cm="1">
        <f t="array" ref="K1565">sentimentCategory(J1565)</f>
        <v>Neutral</v>
      </c>
    </row>
    <row r="1566" spans="1:11" ht="34" x14ac:dyDescent="0.2">
      <c r="A1566" t="s">
        <v>4756</v>
      </c>
      <c r="B1566" s="1" t="s">
        <v>4757</v>
      </c>
      <c r="C1566" t="s">
        <v>736</v>
      </c>
      <c r="D1566" s="1" t="s">
        <v>4758</v>
      </c>
      <c r="E1566" t="b">
        <v>0</v>
      </c>
      <c r="F1566">
        <v>165</v>
      </c>
      <c r="G1566">
        <v>243</v>
      </c>
      <c r="H1566" t="s">
        <v>11</v>
      </c>
      <c r="I1566" t="b">
        <v>0</v>
      </c>
      <c r="J1566" cm="1">
        <f t="array" ref="J1566">sentimentCalc(B1566)</f>
        <v>0</v>
      </c>
      <c r="K1566" t="str" cm="1">
        <f t="array" ref="K1566">sentimentCategory(J1566)</f>
        <v>Neutral</v>
      </c>
    </row>
    <row r="1567" spans="1:11" ht="34" x14ac:dyDescent="0.2">
      <c r="A1567" t="s">
        <v>3874</v>
      </c>
      <c r="B1567" s="1" t="s">
        <v>3875</v>
      </c>
      <c r="C1567" t="s">
        <v>3876</v>
      </c>
      <c r="D1567" s="1" t="s">
        <v>2</v>
      </c>
      <c r="E1567" t="b">
        <v>0</v>
      </c>
      <c r="F1567">
        <v>38018</v>
      </c>
      <c r="G1567">
        <v>192</v>
      </c>
      <c r="H1567" t="s">
        <v>641</v>
      </c>
      <c r="I1567" t="b">
        <v>0</v>
      </c>
      <c r="J1567" cm="1">
        <f t="array" ref="J1567">sentimentCalc(B1567)</f>
        <v>1</v>
      </c>
      <c r="K1567" t="str" cm="1">
        <f t="array" ref="K1567">sentimentCategory(J1567)</f>
        <v>Positive</v>
      </c>
    </row>
    <row r="1568" spans="1:11" ht="34" x14ac:dyDescent="0.2">
      <c r="A1568" t="s">
        <v>1180</v>
      </c>
      <c r="B1568" s="1" t="s">
        <v>1182</v>
      </c>
      <c r="C1568" t="s">
        <v>1183</v>
      </c>
      <c r="D1568" s="1" t="s">
        <v>1184</v>
      </c>
      <c r="E1568" t="b">
        <v>0</v>
      </c>
      <c r="F1568">
        <v>198</v>
      </c>
      <c r="G1568">
        <v>120</v>
      </c>
      <c r="H1568" t="s">
        <v>11</v>
      </c>
      <c r="I1568" t="b">
        <v>0</v>
      </c>
      <c r="J1568" cm="1">
        <f t="array" ref="J1568">sentimentCalc(B1568)</f>
        <v>0</v>
      </c>
      <c r="K1568" t="str" cm="1">
        <f t="array" ref="K1568">sentimentCategory(J1568)</f>
        <v>Neutral</v>
      </c>
    </row>
    <row r="1569" spans="1:11" ht="34" x14ac:dyDescent="0.2">
      <c r="A1569" t="s">
        <v>4572</v>
      </c>
      <c r="B1569" s="1" t="s">
        <v>4573</v>
      </c>
      <c r="C1569" t="s">
        <v>4574</v>
      </c>
      <c r="D1569" s="1" t="s">
        <v>1813</v>
      </c>
      <c r="E1569" t="b">
        <v>0</v>
      </c>
      <c r="F1569">
        <v>392</v>
      </c>
      <c r="G1569">
        <v>969</v>
      </c>
      <c r="H1569" t="s">
        <v>11</v>
      </c>
      <c r="I1569" t="b">
        <v>0</v>
      </c>
      <c r="J1569" cm="1">
        <f t="array" ref="J1569">sentimentCalc(B1569)</f>
        <v>-1</v>
      </c>
      <c r="K1569" t="str" cm="1">
        <f t="array" ref="K1569">sentimentCategory(J1569)</f>
        <v>Negative</v>
      </c>
    </row>
    <row r="1570" spans="1:11" ht="34" x14ac:dyDescent="0.2">
      <c r="A1570" t="s">
        <v>5542</v>
      </c>
      <c r="B1570" s="1" t="s">
        <v>5543</v>
      </c>
      <c r="C1570" t="s">
        <v>2642</v>
      </c>
      <c r="D1570" s="1" t="s">
        <v>5544</v>
      </c>
      <c r="E1570" t="b">
        <v>0</v>
      </c>
      <c r="F1570">
        <v>336</v>
      </c>
      <c r="G1570">
        <v>809</v>
      </c>
      <c r="H1570" t="s">
        <v>11</v>
      </c>
      <c r="I1570" t="b">
        <v>0</v>
      </c>
      <c r="J1570" cm="1">
        <f t="array" ref="J1570">sentimentCalc(B1570)</f>
        <v>2</v>
      </c>
      <c r="K1570" t="str" cm="1">
        <f t="array" ref="K1570">sentimentCategory(J1570)</f>
        <v>Positive</v>
      </c>
    </row>
    <row r="1571" spans="1:11" ht="17" x14ac:dyDescent="0.2">
      <c r="A1571" t="s">
        <v>5286</v>
      </c>
      <c r="B1571" s="1" t="s">
        <v>5287</v>
      </c>
      <c r="C1571" t="s">
        <v>468</v>
      </c>
      <c r="D1571" s="1" t="s">
        <v>2</v>
      </c>
      <c r="E1571" t="b">
        <v>0</v>
      </c>
      <c r="F1571">
        <v>479</v>
      </c>
      <c r="G1571">
        <v>305</v>
      </c>
      <c r="H1571" t="s">
        <v>11</v>
      </c>
      <c r="I1571" t="b">
        <v>0</v>
      </c>
      <c r="J1571" cm="1">
        <f t="array" ref="J1571">sentimentCalc(B1571)</f>
        <v>0</v>
      </c>
      <c r="K1571" t="str" cm="1">
        <f t="array" ref="K1571">sentimentCategory(J1571)</f>
        <v>Neutral</v>
      </c>
    </row>
    <row r="1572" spans="1:11" ht="17" x14ac:dyDescent="0.2">
      <c r="A1572" t="s">
        <v>5388</v>
      </c>
      <c r="B1572" s="1" t="s">
        <v>5389</v>
      </c>
      <c r="C1572" t="s">
        <v>2589</v>
      </c>
      <c r="D1572" s="1" t="s">
        <v>5390</v>
      </c>
      <c r="E1572" t="b">
        <v>0</v>
      </c>
      <c r="F1572">
        <v>72</v>
      </c>
      <c r="G1572">
        <v>366</v>
      </c>
      <c r="H1572" t="s">
        <v>11</v>
      </c>
      <c r="I1572" t="b">
        <v>0</v>
      </c>
      <c r="J1572" cm="1">
        <f t="array" ref="J1572">sentimentCalc(B1572)</f>
        <v>0</v>
      </c>
      <c r="K1572" t="str" cm="1">
        <f t="array" ref="K1572">sentimentCategory(J1572)</f>
        <v>Neutral</v>
      </c>
    </row>
    <row r="1573" spans="1:11" ht="17" x14ac:dyDescent="0.2">
      <c r="A1573" t="s">
        <v>771</v>
      </c>
      <c r="B1573" s="1" t="s">
        <v>772</v>
      </c>
      <c r="C1573" t="s">
        <v>773</v>
      </c>
      <c r="D1573" s="1" t="s">
        <v>2</v>
      </c>
      <c r="E1573" t="b">
        <v>0</v>
      </c>
      <c r="F1573">
        <v>11</v>
      </c>
      <c r="G1573">
        <v>54</v>
      </c>
      <c r="H1573" t="s">
        <v>11</v>
      </c>
      <c r="I1573" t="b">
        <v>0</v>
      </c>
      <c r="J1573" cm="1">
        <f t="array" ref="J1573">sentimentCalc(B1573)</f>
        <v>0</v>
      </c>
      <c r="K1573" t="str" cm="1">
        <f t="array" ref="K1573">sentimentCategory(J1573)</f>
        <v>Neutral</v>
      </c>
    </row>
    <row r="1574" spans="1:11" ht="17" x14ac:dyDescent="0.2">
      <c r="A1574" t="s">
        <v>3396</v>
      </c>
      <c r="B1574" s="1" t="s">
        <v>3397</v>
      </c>
      <c r="C1574" t="s">
        <v>1148</v>
      </c>
      <c r="D1574" s="1" t="s">
        <v>2953</v>
      </c>
      <c r="E1574" t="b">
        <v>0</v>
      </c>
      <c r="F1574">
        <v>1438</v>
      </c>
      <c r="G1574">
        <v>580</v>
      </c>
      <c r="H1574" t="s">
        <v>11</v>
      </c>
      <c r="I1574" t="b">
        <v>0</v>
      </c>
      <c r="J1574" cm="1">
        <f t="array" ref="J1574">sentimentCalc(B1574)</f>
        <v>1</v>
      </c>
      <c r="K1574" t="str" cm="1">
        <f t="array" ref="K1574">sentimentCategory(J1574)</f>
        <v>Positive</v>
      </c>
    </row>
    <row r="1575" spans="1:11" ht="34" x14ac:dyDescent="0.2">
      <c r="A1575" t="s">
        <v>6754</v>
      </c>
      <c r="B1575" s="1" t="s">
        <v>6755</v>
      </c>
      <c r="C1575" t="s">
        <v>3908</v>
      </c>
      <c r="D1575" s="1" t="s">
        <v>6494</v>
      </c>
      <c r="E1575" t="b">
        <v>0</v>
      </c>
      <c r="F1575">
        <v>141</v>
      </c>
      <c r="G1575">
        <v>439</v>
      </c>
      <c r="H1575" t="s">
        <v>11</v>
      </c>
      <c r="I1575" t="b">
        <v>0</v>
      </c>
      <c r="J1575" cm="1">
        <f t="array" ref="J1575">sentimentCalc(B1575)</f>
        <v>0</v>
      </c>
      <c r="K1575" t="str" cm="1">
        <f t="array" ref="K1575">sentimentCategory(J1575)</f>
        <v>Neutral</v>
      </c>
    </row>
    <row r="1576" spans="1:11" ht="17" x14ac:dyDescent="0.2">
      <c r="A1576" t="s">
        <v>1027</v>
      </c>
      <c r="B1576" s="1" t="s">
        <v>1030</v>
      </c>
      <c r="C1576" t="s">
        <v>1031</v>
      </c>
      <c r="E1576" t="b">
        <v>0</v>
      </c>
      <c r="F1576">
        <v>984</v>
      </c>
      <c r="G1576">
        <v>273</v>
      </c>
      <c r="H1576" t="s">
        <v>122</v>
      </c>
      <c r="I1576" t="b">
        <v>0</v>
      </c>
      <c r="J1576" cm="1">
        <f t="array" ref="J1576">sentimentCalc(B1576)</f>
        <v>0</v>
      </c>
      <c r="K1576" t="str" cm="1">
        <f t="array" ref="K1576">sentimentCategory(J1576)</f>
        <v>Neutral</v>
      </c>
    </row>
    <row r="1577" spans="1:11" ht="17" x14ac:dyDescent="0.2">
      <c r="A1577" t="s">
        <v>7240</v>
      </c>
      <c r="B1577" s="1" t="s">
        <v>7241</v>
      </c>
      <c r="C1577" t="s">
        <v>2850</v>
      </c>
      <c r="D1577" s="1" t="s">
        <v>1167</v>
      </c>
      <c r="E1577" t="b">
        <v>0</v>
      </c>
      <c r="F1577">
        <v>171</v>
      </c>
      <c r="G1577">
        <v>359</v>
      </c>
      <c r="H1577" t="s">
        <v>11</v>
      </c>
      <c r="I1577" t="b">
        <v>0</v>
      </c>
      <c r="J1577" cm="1">
        <f t="array" ref="J1577">sentimentCalc(B1577)</f>
        <v>0</v>
      </c>
      <c r="K1577" t="str" cm="1">
        <f t="array" ref="K1577">sentimentCategory(J1577)</f>
        <v>Neutral</v>
      </c>
    </row>
    <row r="1578" spans="1:11" ht="17" x14ac:dyDescent="0.2">
      <c r="A1578" t="s">
        <v>5292</v>
      </c>
      <c r="B1578" s="1" t="s">
        <v>5293</v>
      </c>
      <c r="C1578" t="s">
        <v>2310</v>
      </c>
      <c r="D1578" s="1" t="s">
        <v>2</v>
      </c>
      <c r="E1578" t="b">
        <v>0</v>
      </c>
      <c r="F1578">
        <v>157</v>
      </c>
      <c r="G1578">
        <v>178</v>
      </c>
      <c r="H1578" t="s">
        <v>11</v>
      </c>
      <c r="I1578" t="b">
        <v>0</v>
      </c>
      <c r="J1578" cm="1">
        <f t="array" ref="J1578">sentimentCalc(B1578)</f>
        <v>0</v>
      </c>
      <c r="K1578" t="str" cm="1">
        <f t="array" ref="K1578">sentimentCategory(J1578)</f>
        <v>Neutral</v>
      </c>
    </row>
    <row r="1579" spans="1:11" ht="17" x14ac:dyDescent="0.2">
      <c r="A1579" t="s">
        <v>374</v>
      </c>
      <c r="B1579" s="1" t="s">
        <v>375</v>
      </c>
      <c r="C1579" t="s">
        <v>161</v>
      </c>
      <c r="D1579" s="1" t="s">
        <v>376</v>
      </c>
      <c r="E1579" t="b">
        <v>0</v>
      </c>
      <c r="F1579">
        <v>16</v>
      </c>
      <c r="G1579">
        <v>65</v>
      </c>
      <c r="H1579" t="s">
        <v>11</v>
      </c>
      <c r="I1579" t="b">
        <v>0</v>
      </c>
      <c r="J1579" cm="1">
        <f t="array" ref="J1579">sentimentCalc(B1579)</f>
        <v>0</v>
      </c>
      <c r="K1579" t="str" cm="1">
        <f t="array" ref="K1579">sentimentCategory(J1579)</f>
        <v>Neutral</v>
      </c>
    </row>
    <row r="1580" spans="1:11" ht="34" x14ac:dyDescent="0.2">
      <c r="A1580" t="s">
        <v>5473</v>
      </c>
      <c r="B1580" s="1" t="s">
        <v>5474</v>
      </c>
      <c r="C1580" t="s">
        <v>5475</v>
      </c>
      <c r="D1580" s="1" t="s">
        <v>3133</v>
      </c>
      <c r="E1580" t="b">
        <v>0</v>
      </c>
      <c r="F1580">
        <v>525</v>
      </c>
      <c r="G1580">
        <v>189</v>
      </c>
      <c r="H1580" t="s">
        <v>11</v>
      </c>
      <c r="I1580" t="b">
        <v>0</v>
      </c>
      <c r="J1580" cm="1">
        <f t="array" ref="J1580">sentimentCalc(B1580)</f>
        <v>3</v>
      </c>
      <c r="K1580" t="str" cm="1">
        <f t="array" ref="K1580">sentimentCategory(J1580)</f>
        <v>Positive</v>
      </c>
    </row>
    <row r="1581" spans="1:11" ht="17" x14ac:dyDescent="0.2">
      <c r="A1581" t="s">
        <v>2431</v>
      </c>
      <c r="B1581" s="1" t="s">
        <v>2432</v>
      </c>
      <c r="C1581" t="s">
        <v>2391</v>
      </c>
      <c r="D1581" s="1" t="s">
        <v>2</v>
      </c>
      <c r="E1581" t="b">
        <v>0</v>
      </c>
      <c r="F1581">
        <v>47</v>
      </c>
      <c r="G1581">
        <v>88</v>
      </c>
      <c r="H1581" t="s">
        <v>11</v>
      </c>
      <c r="I1581" t="b">
        <v>0</v>
      </c>
      <c r="J1581" cm="1">
        <f t="array" ref="J1581">sentimentCalc(B1581)</f>
        <v>0</v>
      </c>
      <c r="K1581" t="str" cm="1">
        <f t="array" ref="K1581">sentimentCategory(J1581)</f>
        <v>Neutral</v>
      </c>
    </row>
    <row r="1582" spans="1:11" ht="17" x14ac:dyDescent="0.2">
      <c r="A1582" t="s">
        <v>5734</v>
      </c>
      <c r="B1582" s="1" t="s">
        <v>5735</v>
      </c>
      <c r="C1582" t="s">
        <v>5736</v>
      </c>
      <c r="D1582" s="1" t="s">
        <v>4544</v>
      </c>
      <c r="E1582" t="b">
        <v>0</v>
      </c>
      <c r="F1582">
        <v>1278</v>
      </c>
      <c r="G1582">
        <v>625</v>
      </c>
      <c r="H1582" t="s">
        <v>11</v>
      </c>
      <c r="I1582" t="b">
        <v>0</v>
      </c>
      <c r="J1582" cm="1">
        <f t="array" ref="J1582">sentimentCalc(B1582)</f>
        <v>1</v>
      </c>
      <c r="K1582" t="str" cm="1">
        <f t="array" ref="K1582">sentimentCategory(J1582)</f>
        <v>Positive</v>
      </c>
    </row>
    <row r="1583" spans="1:11" ht="17" x14ac:dyDescent="0.2">
      <c r="A1583" t="s">
        <v>4557</v>
      </c>
      <c r="B1583" s="1" t="s">
        <v>4558</v>
      </c>
      <c r="C1583" t="s">
        <v>4154</v>
      </c>
      <c r="D1583" s="1">
        <v>0</v>
      </c>
      <c r="E1583" t="b">
        <v>0</v>
      </c>
      <c r="F1583">
        <v>49</v>
      </c>
      <c r="G1583">
        <v>181</v>
      </c>
      <c r="H1583" t="s">
        <v>11</v>
      </c>
      <c r="I1583" t="b">
        <v>0</v>
      </c>
      <c r="J1583" cm="1">
        <f t="array" ref="J1583">sentimentCalc(B1583)</f>
        <v>0</v>
      </c>
      <c r="K1583" t="str" cm="1">
        <f t="array" ref="K1583">sentimentCategory(J1583)</f>
        <v>Neutral</v>
      </c>
    </row>
    <row r="1584" spans="1:11" ht="34" x14ac:dyDescent="0.2">
      <c r="A1584" t="s">
        <v>2596</v>
      </c>
      <c r="B1584" s="1" t="s">
        <v>2597</v>
      </c>
      <c r="C1584" t="s">
        <v>2598</v>
      </c>
      <c r="D1584" s="1" t="s">
        <v>2</v>
      </c>
      <c r="E1584" t="b">
        <v>0</v>
      </c>
      <c r="F1584">
        <v>24</v>
      </c>
      <c r="G1584">
        <v>95</v>
      </c>
      <c r="H1584" t="s">
        <v>11</v>
      </c>
      <c r="I1584" t="b">
        <v>0</v>
      </c>
      <c r="J1584" cm="1">
        <f t="array" ref="J1584">sentimentCalc(B1584)</f>
        <v>0</v>
      </c>
      <c r="K1584" t="str" cm="1">
        <f t="array" ref="K1584">sentimentCategory(J1584)</f>
        <v>Neutral</v>
      </c>
    </row>
    <row r="1585" spans="1:11" ht="17" x14ac:dyDescent="0.2">
      <c r="A1585" t="s">
        <v>6194</v>
      </c>
      <c r="B1585" s="1" t="s">
        <v>6195</v>
      </c>
      <c r="C1585" t="s">
        <v>387</v>
      </c>
      <c r="D1585" s="1" t="s">
        <v>2</v>
      </c>
      <c r="E1585" t="b">
        <v>0</v>
      </c>
      <c r="F1585">
        <v>8</v>
      </c>
      <c r="G1585">
        <v>92</v>
      </c>
      <c r="H1585" t="s">
        <v>11</v>
      </c>
      <c r="I1585" t="b">
        <v>0</v>
      </c>
      <c r="J1585" cm="1">
        <f t="array" ref="J1585">sentimentCalc(B1585)</f>
        <v>0</v>
      </c>
      <c r="K1585" t="str" cm="1">
        <f t="array" ref="K1585">sentimentCategory(J1585)</f>
        <v>Neutral</v>
      </c>
    </row>
    <row r="1586" spans="1:11" ht="17" x14ac:dyDescent="0.2">
      <c r="A1586" t="s">
        <v>2854</v>
      </c>
      <c r="B1586" s="1" t="s">
        <v>2855</v>
      </c>
      <c r="C1586" t="s">
        <v>2856</v>
      </c>
      <c r="D1586" s="1" t="s">
        <v>2</v>
      </c>
      <c r="E1586" t="b">
        <v>0</v>
      </c>
      <c r="F1586">
        <v>208</v>
      </c>
      <c r="G1586">
        <v>508</v>
      </c>
      <c r="H1586" t="s">
        <v>11</v>
      </c>
      <c r="I1586" t="b">
        <v>0</v>
      </c>
      <c r="J1586" cm="1">
        <f t="array" ref="J1586">sentimentCalc(B1586)</f>
        <v>0</v>
      </c>
      <c r="K1586" t="str" cm="1">
        <f t="array" ref="K1586">sentimentCategory(J1586)</f>
        <v>Neutral</v>
      </c>
    </row>
    <row r="1587" spans="1:11" ht="34" x14ac:dyDescent="0.2">
      <c r="A1587" t="s">
        <v>4790</v>
      </c>
      <c r="B1587" s="1" t="s">
        <v>4791</v>
      </c>
      <c r="C1587" t="s">
        <v>4792</v>
      </c>
      <c r="D1587" s="1" t="s">
        <v>2</v>
      </c>
      <c r="E1587" t="b">
        <v>0</v>
      </c>
      <c r="F1587">
        <v>443</v>
      </c>
      <c r="G1587">
        <v>500</v>
      </c>
      <c r="H1587" t="s">
        <v>11</v>
      </c>
      <c r="I1587" t="b">
        <v>0</v>
      </c>
      <c r="J1587" cm="1">
        <f t="array" ref="J1587">sentimentCalc(B1587)</f>
        <v>0</v>
      </c>
      <c r="K1587" t="str" cm="1">
        <f t="array" ref="K1587">sentimentCategory(J1587)</f>
        <v>Neutral</v>
      </c>
    </row>
    <row r="1588" spans="1:11" ht="17" x14ac:dyDescent="0.2">
      <c r="A1588" t="s">
        <v>5346</v>
      </c>
      <c r="B1588" s="1" t="s">
        <v>5347</v>
      </c>
      <c r="C1588" t="s">
        <v>5348</v>
      </c>
      <c r="D1588" s="1" t="s">
        <v>5349</v>
      </c>
      <c r="E1588" t="b">
        <v>0</v>
      </c>
      <c r="F1588">
        <v>99</v>
      </c>
      <c r="G1588">
        <v>141</v>
      </c>
      <c r="H1588" t="s">
        <v>11</v>
      </c>
      <c r="I1588" t="b">
        <v>0</v>
      </c>
      <c r="J1588" cm="1">
        <f t="array" ref="J1588">sentimentCalc(B1588)</f>
        <v>0</v>
      </c>
      <c r="K1588" t="str" cm="1">
        <f t="array" ref="K1588">sentimentCategory(J1588)</f>
        <v>Neutral</v>
      </c>
    </row>
    <row r="1589" spans="1:11" ht="17" x14ac:dyDescent="0.2">
      <c r="A1589" t="s">
        <v>3302</v>
      </c>
      <c r="B1589" s="1" t="s">
        <v>3303</v>
      </c>
      <c r="C1589" t="s">
        <v>3304</v>
      </c>
      <c r="D1589" s="1" t="s">
        <v>3305</v>
      </c>
      <c r="E1589" t="b">
        <v>0</v>
      </c>
      <c r="F1589">
        <v>2204</v>
      </c>
      <c r="G1589">
        <v>595</v>
      </c>
      <c r="H1589" t="s">
        <v>11</v>
      </c>
      <c r="I1589" t="b">
        <v>0</v>
      </c>
      <c r="J1589" cm="1">
        <f t="array" ref="J1589">sentimentCalc(B1589)</f>
        <v>-1</v>
      </c>
      <c r="K1589" t="str" cm="1">
        <f t="array" ref="K1589">sentimentCategory(J1589)</f>
        <v>Negative</v>
      </c>
    </row>
    <row r="1590" spans="1:11" ht="17" x14ac:dyDescent="0.2">
      <c r="A1590" t="s">
        <v>3925</v>
      </c>
      <c r="B1590" s="1" t="s">
        <v>3926</v>
      </c>
      <c r="C1590" t="s">
        <v>995</v>
      </c>
      <c r="D1590" s="1" t="s">
        <v>3927</v>
      </c>
      <c r="E1590" t="b">
        <v>0</v>
      </c>
      <c r="F1590">
        <v>119</v>
      </c>
      <c r="G1590">
        <v>524</v>
      </c>
      <c r="H1590" t="s">
        <v>11</v>
      </c>
      <c r="I1590" t="b">
        <v>0</v>
      </c>
      <c r="J1590" cm="1">
        <f t="array" ref="J1590">sentimentCalc(B1590)</f>
        <v>0</v>
      </c>
      <c r="K1590" t="str" cm="1">
        <f t="array" ref="K1590">sentimentCategory(J1590)</f>
        <v>Neutral</v>
      </c>
    </row>
    <row r="1591" spans="1:11" ht="17" x14ac:dyDescent="0.2">
      <c r="A1591" t="s">
        <v>3317</v>
      </c>
      <c r="B1591" s="1" t="s">
        <v>3318</v>
      </c>
      <c r="C1591" t="s">
        <v>617</v>
      </c>
      <c r="D1591" s="1" t="s">
        <v>3319</v>
      </c>
      <c r="E1591" t="b">
        <v>0</v>
      </c>
      <c r="F1591">
        <v>183</v>
      </c>
      <c r="G1591">
        <v>207</v>
      </c>
      <c r="H1591" t="s">
        <v>11</v>
      </c>
      <c r="I1591" t="b">
        <v>0</v>
      </c>
      <c r="J1591" cm="1">
        <f t="array" ref="J1591">sentimentCalc(B1591)</f>
        <v>0</v>
      </c>
      <c r="K1591" t="str" cm="1">
        <f t="array" ref="K1591">sentimentCategory(J1591)</f>
        <v>Neutral</v>
      </c>
    </row>
    <row r="1592" spans="1:11" ht="17" x14ac:dyDescent="0.2">
      <c r="A1592" t="s">
        <v>7030</v>
      </c>
      <c r="B1592" s="1" t="s">
        <v>7031</v>
      </c>
      <c r="C1592" t="s">
        <v>4076</v>
      </c>
      <c r="D1592" s="1" t="s">
        <v>7032</v>
      </c>
      <c r="E1592" t="b">
        <v>0</v>
      </c>
      <c r="F1592">
        <v>123</v>
      </c>
      <c r="G1592">
        <v>167</v>
      </c>
      <c r="H1592" t="s">
        <v>11</v>
      </c>
      <c r="I1592" t="b">
        <v>0</v>
      </c>
      <c r="J1592" cm="1">
        <f t="array" ref="J1592">sentimentCalc(B1592)</f>
        <v>0</v>
      </c>
      <c r="K1592" t="str" cm="1">
        <f t="array" ref="K1592">sentimentCategory(J1592)</f>
        <v>Neutral</v>
      </c>
    </row>
    <row r="1593" spans="1:11" ht="17" x14ac:dyDescent="0.2">
      <c r="A1593" t="s">
        <v>5987</v>
      </c>
      <c r="B1593" s="1" t="s">
        <v>5988</v>
      </c>
      <c r="C1593" t="s">
        <v>2044</v>
      </c>
      <c r="D1593" s="1" t="s">
        <v>2</v>
      </c>
      <c r="E1593" t="b">
        <v>0</v>
      </c>
      <c r="F1593">
        <v>5</v>
      </c>
      <c r="G1593">
        <v>41</v>
      </c>
      <c r="H1593" t="s">
        <v>110</v>
      </c>
      <c r="I1593" t="b">
        <v>0</v>
      </c>
      <c r="J1593" cm="1">
        <f t="array" ref="J1593">sentimentCalc(B1593)</f>
        <v>0</v>
      </c>
      <c r="K1593" t="str" cm="1">
        <f t="array" ref="K1593">sentimentCategory(J1593)</f>
        <v>Neutral</v>
      </c>
    </row>
    <row r="1594" spans="1:11" ht="17" x14ac:dyDescent="0.2">
      <c r="A1594" t="s">
        <v>6856</v>
      </c>
      <c r="B1594" s="1" t="s">
        <v>6857</v>
      </c>
      <c r="C1594" t="s">
        <v>3400</v>
      </c>
      <c r="D1594" s="1" t="s">
        <v>2</v>
      </c>
      <c r="E1594" t="b">
        <v>0</v>
      </c>
      <c r="F1594">
        <v>249</v>
      </c>
      <c r="G1594">
        <v>232</v>
      </c>
      <c r="H1594" t="s">
        <v>110</v>
      </c>
      <c r="I1594" t="b">
        <v>0</v>
      </c>
      <c r="J1594" cm="1">
        <f t="array" ref="J1594">sentimentCalc(B1594)</f>
        <v>2</v>
      </c>
      <c r="K1594" t="str" cm="1">
        <f t="array" ref="K1594">sentimentCategory(J1594)</f>
        <v>Positive</v>
      </c>
    </row>
    <row r="1595" spans="1:11" ht="34" x14ac:dyDescent="0.2">
      <c r="A1595" t="s">
        <v>4591</v>
      </c>
      <c r="B1595" s="1" t="s">
        <v>4592</v>
      </c>
      <c r="C1595" t="s">
        <v>773</v>
      </c>
      <c r="D1595" s="1" t="s">
        <v>2135</v>
      </c>
      <c r="E1595" t="b">
        <v>0</v>
      </c>
      <c r="F1595">
        <v>28</v>
      </c>
      <c r="G1595">
        <v>278</v>
      </c>
      <c r="H1595" t="s">
        <v>11</v>
      </c>
      <c r="I1595" t="b">
        <v>0</v>
      </c>
      <c r="J1595" cm="1">
        <f t="array" ref="J1595">sentimentCalc(B1595)</f>
        <v>2</v>
      </c>
      <c r="K1595" t="str" cm="1">
        <f t="array" ref="K1595">sentimentCategory(J1595)</f>
        <v>Positive</v>
      </c>
    </row>
    <row r="1596" spans="1:11" ht="17" x14ac:dyDescent="0.2">
      <c r="A1596" t="s">
        <v>5916</v>
      </c>
      <c r="B1596" s="1" t="s">
        <v>5917</v>
      </c>
      <c r="C1596" t="s">
        <v>45</v>
      </c>
      <c r="D1596" s="1" t="s">
        <v>2</v>
      </c>
      <c r="E1596" t="b">
        <v>0</v>
      </c>
      <c r="F1596">
        <v>3505</v>
      </c>
      <c r="G1596">
        <v>67</v>
      </c>
      <c r="H1596" t="s">
        <v>11</v>
      </c>
      <c r="I1596" t="b">
        <v>0</v>
      </c>
      <c r="J1596" cm="1">
        <f t="array" ref="J1596">sentimentCalc(B1596)</f>
        <v>0</v>
      </c>
      <c r="K1596" t="str" cm="1">
        <f t="array" ref="K1596">sentimentCategory(J1596)</f>
        <v>Neutral</v>
      </c>
    </row>
    <row r="1597" spans="1:11" ht="17" x14ac:dyDescent="0.2">
      <c r="A1597" t="s">
        <v>4396</v>
      </c>
      <c r="B1597" s="1" t="s">
        <v>4397</v>
      </c>
      <c r="C1597" t="s">
        <v>4398</v>
      </c>
      <c r="D1597" s="1" t="s">
        <v>2</v>
      </c>
      <c r="E1597" t="b">
        <v>0</v>
      </c>
      <c r="F1597">
        <v>12</v>
      </c>
      <c r="G1597">
        <v>55</v>
      </c>
      <c r="H1597" t="s">
        <v>11</v>
      </c>
      <c r="I1597" t="b">
        <v>0</v>
      </c>
      <c r="J1597" cm="1">
        <f t="array" ref="J1597">sentimentCalc(B1597)</f>
        <v>0</v>
      </c>
      <c r="K1597" t="str" cm="1">
        <f t="array" ref="K1597">sentimentCategory(J1597)</f>
        <v>Neutral</v>
      </c>
    </row>
    <row r="1598" spans="1:11" ht="34" x14ac:dyDescent="0.2">
      <c r="A1598" t="s">
        <v>2059</v>
      </c>
      <c r="B1598" s="1" t="s">
        <v>2060</v>
      </c>
      <c r="C1598" t="s">
        <v>2061</v>
      </c>
      <c r="D1598" s="1" t="s">
        <v>2062</v>
      </c>
      <c r="E1598" t="b">
        <v>0</v>
      </c>
      <c r="F1598">
        <v>9748</v>
      </c>
      <c r="G1598">
        <v>399</v>
      </c>
      <c r="H1598" t="s">
        <v>11</v>
      </c>
      <c r="I1598" t="b">
        <v>0</v>
      </c>
      <c r="J1598" cm="1">
        <f t="array" ref="J1598">sentimentCalc(B1598)</f>
        <v>0</v>
      </c>
      <c r="K1598" t="str" cm="1">
        <f t="array" ref="K1598">sentimentCategory(J1598)</f>
        <v>Neutral</v>
      </c>
    </row>
    <row r="1599" spans="1:11" ht="34" x14ac:dyDescent="0.2">
      <c r="A1599" t="s">
        <v>1369</v>
      </c>
      <c r="B1599" s="1" t="s">
        <v>1370</v>
      </c>
      <c r="C1599" t="s">
        <v>1371</v>
      </c>
      <c r="D1599" s="1" t="s">
        <v>1372</v>
      </c>
      <c r="E1599" t="b">
        <v>0</v>
      </c>
      <c r="F1599">
        <v>1197</v>
      </c>
      <c r="G1599">
        <v>398</v>
      </c>
      <c r="H1599" t="s">
        <v>11</v>
      </c>
      <c r="I1599" t="b">
        <v>0</v>
      </c>
      <c r="J1599" cm="1">
        <f t="array" ref="J1599">sentimentCalc(B1599)</f>
        <v>0</v>
      </c>
      <c r="K1599" t="str" cm="1">
        <f t="array" ref="K1599">sentimentCategory(J1599)</f>
        <v>Neutral</v>
      </c>
    </row>
    <row r="1600" spans="1:11" ht="17" x14ac:dyDescent="0.2">
      <c r="A1600" t="s">
        <v>918</v>
      </c>
      <c r="B1600" s="1" t="s">
        <v>919</v>
      </c>
      <c r="C1600" t="s">
        <v>920</v>
      </c>
      <c r="D1600" s="1" t="s">
        <v>921</v>
      </c>
      <c r="E1600" t="b">
        <v>0</v>
      </c>
      <c r="F1600">
        <v>1059</v>
      </c>
      <c r="G1600">
        <v>100</v>
      </c>
      <c r="H1600" t="s">
        <v>11</v>
      </c>
      <c r="I1600" t="b">
        <v>0</v>
      </c>
      <c r="J1600" cm="1">
        <f t="array" ref="J1600">sentimentCalc(B1600)</f>
        <v>1</v>
      </c>
      <c r="K1600" t="str" cm="1">
        <f t="array" ref="K1600">sentimentCategory(J1600)</f>
        <v>Positive</v>
      </c>
    </row>
    <row r="1601" spans="1:11" ht="17" x14ac:dyDescent="0.2">
      <c r="A1601" t="s">
        <v>6715</v>
      </c>
      <c r="B1601" s="1" t="s">
        <v>6717</v>
      </c>
      <c r="C1601" t="s">
        <v>5749</v>
      </c>
      <c r="D1601" s="1" t="s">
        <v>6718</v>
      </c>
      <c r="E1601" t="b">
        <v>0</v>
      </c>
      <c r="F1601">
        <v>207</v>
      </c>
      <c r="G1601">
        <v>316</v>
      </c>
      <c r="H1601" t="s">
        <v>11</v>
      </c>
      <c r="I1601" t="b">
        <v>0</v>
      </c>
      <c r="J1601" cm="1">
        <f t="array" ref="J1601">sentimentCalc(B1601)</f>
        <v>1</v>
      </c>
      <c r="K1601" t="str" cm="1">
        <f t="array" ref="K1601">sentimentCategory(J1601)</f>
        <v>Positive</v>
      </c>
    </row>
    <row r="1602" spans="1:11" ht="17" x14ac:dyDescent="0.2">
      <c r="A1602" t="s">
        <v>4892</v>
      </c>
      <c r="B1602" s="1" t="s">
        <v>4893</v>
      </c>
      <c r="C1602" t="s">
        <v>970</v>
      </c>
      <c r="D1602" s="1" t="s">
        <v>2</v>
      </c>
      <c r="E1602" t="b">
        <v>0</v>
      </c>
      <c r="F1602">
        <v>254</v>
      </c>
      <c r="G1602">
        <v>818</v>
      </c>
      <c r="H1602" t="s">
        <v>11</v>
      </c>
      <c r="I1602" t="b">
        <v>0</v>
      </c>
      <c r="J1602" cm="1">
        <f t="array" ref="J1602">sentimentCalc(B1602)</f>
        <v>1</v>
      </c>
      <c r="K1602" t="str" cm="1">
        <f t="array" ref="K1602">sentimentCategory(J1602)</f>
        <v>Positive</v>
      </c>
    </row>
    <row r="1603" spans="1:11" ht="17" x14ac:dyDescent="0.2">
      <c r="A1603" t="s">
        <v>5610</v>
      </c>
      <c r="B1603" s="1" t="s">
        <v>5614</v>
      </c>
      <c r="C1603" t="s">
        <v>237</v>
      </c>
      <c r="D1603" s="1" t="s">
        <v>5615</v>
      </c>
      <c r="E1603" t="b">
        <v>0</v>
      </c>
      <c r="F1603">
        <v>758</v>
      </c>
      <c r="G1603">
        <v>2205</v>
      </c>
      <c r="H1603" t="s">
        <v>11</v>
      </c>
      <c r="I1603" t="b">
        <v>0</v>
      </c>
      <c r="J1603" cm="1">
        <f t="array" ref="J1603">sentimentCalc(B1603)</f>
        <v>0</v>
      </c>
      <c r="K1603" t="str" cm="1">
        <f t="array" ref="K1603">sentimentCategory(J1603)</f>
        <v>Neutral</v>
      </c>
    </row>
    <row r="1604" spans="1:11" ht="34" x14ac:dyDescent="0.2">
      <c r="A1604" t="s">
        <v>4599</v>
      </c>
      <c r="B1604" s="1" t="s">
        <v>4600</v>
      </c>
      <c r="C1604" t="s">
        <v>4601</v>
      </c>
      <c r="D1604" s="1" t="s">
        <v>4602</v>
      </c>
      <c r="E1604" t="b">
        <v>0</v>
      </c>
      <c r="F1604">
        <v>2801</v>
      </c>
      <c r="G1604">
        <v>1195</v>
      </c>
      <c r="H1604" t="s">
        <v>11</v>
      </c>
      <c r="I1604" t="b">
        <v>0</v>
      </c>
      <c r="J1604" cm="1">
        <f t="array" ref="J1604">sentimentCalc(B1604)</f>
        <v>0</v>
      </c>
      <c r="K1604" t="str" cm="1">
        <f t="array" ref="K1604">sentimentCategory(J1604)</f>
        <v>Neutral</v>
      </c>
    </row>
    <row r="1605" spans="1:11" ht="34" x14ac:dyDescent="0.2">
      <c r="A1605" t="s">
        <v>1883</v>
      </c>
      <c r="B1605" s="1" t="s">
        <v>1884</v>
      </c>
      <c r="C1605" t="s">
        <v>1885</v>
      </c>
      <c r="D1605" s="1">
        <v>1988</v>
      </c>
      <c r="E1605" t="b">
        <v>0</v>
      </c>
      <c r="F1605">
        <v>134</v>
      </c>
      <c r="G1605">
        <v>196</v>
      </c>
      <c r="H1605" t="s">
        <v>11</v>
      </c>
      <c r="I1605" t="b">
        <v>0</v>
      </c>
      <c r="J1605" cm="1">
        <f t="array" ref="J1605">sentimentCalc(B1605)</f>
        <v>0</v>
      </c>
      <c r="K1605" t="str" cm="1">
        <f t="array" ref="K1605">sentimentCategory(J1605)</f>
        <v>Neutral</v>
      </c>
    </row>
    <row r="1606" spans="1:11" ht="17" x14ac:dyDescent="0.2">
      <c r="A1606" t="s">
        <v>5000</v>
      </c>
      <c r="B1606" s="1" t="s">
        <v>5001</v>
      </c>
      <c r="C1606" t="s">
        <v>3678</v>
      </c>
      <c r="D1606" s="1" t="s">
        <v>5002</v>
      </c>
      <c r="E1606" t="b">
        <v>0</v>
      </c>
      <c r="F1606">
        <v>85</v>
      </c>
      <c r="G1606">
        <v>0</v>
      </c>
      <c r="H1606" t="s">
        <v>11</v>
      </c>
      <c r="I1606" t="b">
        <v>0</v>
      </c>
      <c r="J1606" cm="1">
        <f t="array" ref="J1606">sentimentCalc(B1606)</f>
        <v>0</v>
      </c>
      <c r="K1606" t="str" cm="1">
        <f t="array" ref="K1606">sentimentCategory(J1606)</f>
        <v>Neutral</v>
      </c>
    </row>
    <row r="1607" spans="1:11" ht="17" x14ac:dyDescent="0.2">
      <c r="A1607" t="s">
        <v>2473</v>
      </c>
      <c r="B1607" s="1" t="s">
        <v>2474</v>
      </c>
      <c r="C1607" t="s">
        <v>177</v>
      </c>
      <c r="D1607" s="1" t="s">
        <v>2</v>
      </c>
      <c r="E1607" t="b">
        <v>0</v>
      </c>
      <c r="F1607">
        <v>131</v>
      </c>
      <c r="G1607">
        <v>81</v>
      </c>
      <c r="H1607" t="s">
        <v>47</v>
      </c>
      <c r="I1607" t="b">
        <v>0</v>
      </c>
      <c r="J1607" cm="1">
        <f t="array" ref="J1607">sentimentCalc(B1607)</f>
        <v>1</v>
      </c>
      <c r="K1607" t="str" cm="1">
        <f t="array" ref="K1607">sentimentCategory(J1607)</f>
        <v>Positive</v>
      </c>
    </row>
    <row r="1608" spans="1:11" ht="17" x14ac:dyDescent="0.2">
      <c r="A1608" t="s">
        <v>2164</v>
      </c>
      <c r="B1608" s="1" t="s">
        <v>2165</v>
      </c>
      <c r="C1608" t="s">
        <v>2166</v>
      </c>
      <c r="D1608" s="1" t="s">
        <v>2167</v>
      </c>
      <c r="E1608" t="b">
        <v>0</v>
      </c>
      <c r="F1608">
        <v>924</v>
      </c>
      <c r="G1608">
        <v>136</v>
      </c>
      <c r="H1608" t="s">
        <v>11</v>
      </c>
      <c r="I1608" t="b">
        <v>0</v>
      </c>
      <c r="J1608" cm="1">
        <f t="array" ref="J1608">sentimentCalc(B1608)</f>
        <v>0</v>
      </c>
      <c r="K1608" t="str" cm="1">
        <f t="array" ref="K1608">sentimentCategory(J1608)</f>
        <v>Neutral</v>
      </c>
    </row>
    <row r="1609" spans="1:11" ht="34" x14ac:dyDescent="0.2">
      <c r="A1609" t="s">
        <v>2778</v>
      </c>
      <c r="B1609" s="1" t="s">
        <v>2779</v>
      </c>
      <c r="C1609" t="s">
        <v>944</v>
      </c>
      <c r="D1609" s="1" t="s">
        <v>2780</v>
      </c>
      <c r="E1609" t="b">
        <v>0</v>
      </c>
      <c r="F1609">
        <v>160</v>
      </c>
      <c r="G1609">
        <v>475</v>
      </c>
      <c r="H1609" t="s">
        <v>11</v>
      </c>
      <c r="I1609" t="b">
        <v>0</v>
      </c>
      <c r="J1609" cm="1">
        <f t="array" ref="J1609">sentimentCalc(B1609)</f>
        <v>0</v>
      </c>
      <c r="K1609" t="str" cm="1">
        <f t="array" ref="K1609">sentimentCategory(J1609)</f>
        <v>Neutral</v>
      </c>
    </row>
    <row r="1610" spans="1:11" ht="17" x14ac:dyDescent="0.2">
      <c r="A1610" t="s">
        <v>2436</v>
      </c>
      <c r="B1610" s="1" t="s">
        <v>2437</v>
      </c>
      <c r="C1610" t="s">
        <v>2438</v>
      </c>
      <c r="D1610" s="1" t="s">
        <v>2</v>
      </c>
      <c r="E1610" t="b">
        <v>0</v>
      </c>
      <c r="F1610">
        <v>225</v>
      </c>
      <c r="G1610">
        <v>56</v>
      </c>
      <c r="H1610" t="s">
        <v>11</v>
      </c>
      <c r="I1610" t="b">
        <v>0</v>
      </c>
      <c r="J1610" cm="1">
        <f t="array" ref="J1610">sentimentCalc(B1610)</f>
        <v>0</v>
      </c>
      <c r="K1610" t="str" cm="1">
        <f t="array" ref="K1610">sentimentCategory(J1610)</f>
        <v>Neutral</v>
      </c>
    </row>
    <row r="1611" spans="1:11" ht="17" x14ac:dyDescent="0.2">
      <c r="A1611" t="s">
        <v>6871</v>
      </c>
      <c r="B1611" s="1" t="s">
        <v>6872</v>
      </c>
      <c r="C1611" t="s">
        <v>6873</v>
      </c>
      <c r="D1611" s="1" t="s">
        <v>2</v>
      </c>
      <c r="E1611" t="b">
        <v>0</v>
      </c>
      <c r="F1611">
        <v>151</v>
      </c>
      <c r="G1611">
        <v>175</v>
      </c>
      <c r="H1611" t="s">
        <v>11</v>
      </c>
      <c r="I1611" t="b">
        <v>0</v>
      </c>
      <c r="J1611" cm="1">
        <f t="array" ref="J1611">sentimentCalc(B1611)</f>
        <v>1</v>
      </c>
      <c r="K1611" t="str" cm="1">
        <f t="array" ref="K1611">sentimentCategory(J1611)</f>
        <v>Positive</v>
      </c>
    </row>
    <row r="1612" spans="1:11" ht="17" x14ac:dyDescent="0.2">
      <c r="A1612" t="s">
        <v>256</v>
      </c>
      <c r="B1612" s="1" t="s">
        <v>257</v>
      </c>
      <c r="C1612" t="s">
        <v>161</v>
      </c>
      <c r="D1612" s="1" t="s">
        <v>68</v>
      </c>
      <c r="E1612" t="b">
        <v>0</v>
      </c>
      <c r="F1612">
        <v>545</v>
      </c>
      <c r="G1612">
        <v>805</v>
      </c>
      <c r="H1612" t="s">
        <v>11</v>
      </c>
      <c r="I1612" t="b">
        <v>0</v>
      </c>
      <c r="J1612" cm="1">
        <f t="array" ref="J1612">sentimentCalc(B1612)</f>
        <v>1</v>
      </c>
      <c r="K1612" t="str" cm="1">
        <f t="array" ref="K1612">sentimentCategory(J1612)</f>
        <v>Positive</v>
      </c>
    </row>
    <row r="1613" spans="1:11" ht="17" x14ac:dyDescent="0.2">
      <c r="A1613" t="s">
        <v>2176</v>
      </c>
      <c r="B1613" s="1" t="s">
        <v>2177</v>
      </c>
      <c r="C1613" t="s">
        <v>2166</v>
      </c>
      <c r="D1613" s="1" t="s">
        <v>2167</v>
      </c>
      <c r="E1613" t="b">
        <v>0</v>
      </c>
      <c r="F1613">
        <v>924</v>
      </c>
      <c r="G1613">
        <v>136</v>
      </c>
      <c r="H1613" t="s">
        <v>11</v>
      </c>
      <c r="I1613" t="b">
        <v>0</v>
      </c>
      <c r="J1613" cm="1">
        <f t="array" ref="J1613">sentimentCalc(B1613)</f>
        <v>0</v>
      </c>
      <c r="K1613" t="str" cm="1">
        <f t="array" ref="K1613">sentimentCategory(J1613)</f>
        <v>Neutral</v>
      </c>
    </row>
    <row r="1614" spans="1:11" ht="34" x14ac:dyDescent="0.2">
      <c r="A1614" t="s">
        <v>5076</v>
      </c>
      <c r="B1614" s="1" t="s">
        <v>5077</v>
      </c>
      <c r="C1614" t="s">
        <v>5078</v>
      </c>
      <c r="D1614" s="1" t="s">
        <v>5079</v>
      </c>
      <c r="E1614" t="b">
        <v>0</v>
      </c>
      <c r="F1614">
        <v>160</v>
      </c>
      <c r="G1614">
        <v>11</v>
      </c>
      <c r="H1614" t="s">
        <v>1088</v>
      </c>
      <c r="I1614" t="b">
        <v>0</v>
      </c>
      <c r="J1614" cm="1">
        <f t="array" ref="J1614">sentimentCalc(B1614)</f>
        <v>0</v>
      </c>
      <c r="K1614" t="str" cm="1">
        <f t="array" ref="K1614">sentimentCategory(J1614)</f>
        <v>Neutral</v>
      </c>
    </row>
    <row r="1615" spans="1:11" ht="34" x14ac:dyDescent="0.2">
      <c r="A1615" t="s">
        <v>4941</v>
      </c>
      <c r="B1615" s="1" t="s">
        <v>4942</v>
      </c>
      <c r="C1615" t="s">
        <v>2375</v>
      </c>
      <c r="D1615" s="1" t="s">
        <v>2</v>
      </c>
      <c r="E1615" t="b">
        <v>0</v>
      </c>
      <c r="F1615">
        <v>88</v>
      </c>
      <c r="G1615">
        <v>87</v>
      </c>
      <c r="H1615" t="s">
        <v>11</v>
      </c>
      <c r="I1615" t="b">
        <v>0</v>
      </c>
      <c r="J1615" cm="1">
        <f t="array" ref="J1615">sentimentCalc(B1615)</f>
        <v>1</v>
      </c>
      <c r="K1615" t="str" cm="1">
        <f t="array" ref="K1615">sentimentCategory(J1615)</f>
        <v>Positive</v>
      </c>
    </row>
    <row r="1616" spans="1:11" ht="34" x14ac:dyDescent="0.2">
      <c r="A1616" t="s">
        <v>830</v>
      </c>
      <c r="B1616" s="1" t="s">
        <v>831</v>
      </c>
      <c r="C1616" t="s">
        <v>832</v>
      </c>
      <c r="D1616" s="1" t="s">
        <v>833</v>
      </c>
      <c r="E1616" t="b">
        <v>0</v>
      </c>
      <c r="F1616">
        <v>6881</v>
      </c>
      <c r="G1616">
        <v>101</v>
      </c>
      <c r="H1616" t="s">
        <v>11</v>
      </c>
      <c r="I1616" t="b">
        <v>0</v>
      </c>
      <c r="J1616" cm="1">
        <f t="array" ref="J1616">sentimentCalc(B1616)</f>
        <v>1</v>
      </c>
      <c r="K1616" t="str" cm="1">
        <f t="array" ref="K1616">sentimentCategory(J1616)</f>
        <v>Positive</v>
      </c>
    </row>
    <row r="1617" spans="1:11" ht="17" x14ac:dyDescent="0.2">
      <c r="A1617" t="s">
        <v>3709</v>
      </c>
      <c r="B1617" s="1" t="s">
        <v>3713</v>
      </c>
      <c r="C1617" t="s">
        <v>305</v>
      </c>
      <c r="D1617" s="1" t="s">
        <v>3714</v>
      </c>
      <c r="E1617" t="b">
        <v>0</v>
      </c>
      <c r="F1617">
        <v>72</v>
      </c>
      <c r="G1617">
        <v>403</v>
      </c>
      <c r="H1617" t="s">
        <v>11</v>
      </c>
      <c r="I1617" t="b">
        <v>0</v>
      </c>
      <c r="J1617" cm="1">
        <f t="array" ref="J1617">sentimentCalc(B1617)</f>
        <v>0</v>
      </c>
      <c r="K1617" t="str" cm="1">
        <f t="array" ref="K1617">sentimentCategory(J1617)</f>
        <v>Neutral</v>
      </c>
    </row>
    <row r="1618" spans="1:11" ht="17" x14ac:dyDescent="0.2">
      <c r="A1618" t="s">
        <v>4074</v>
      </c>
      <c r="B1618" s="1" t="s">
        <v>4075</v>
      </c>
      <c r="C1618" t="s">
        <v>4076</v>
      </c>
      <c r="D1618" s="1" t="s">
        <v>4077</v>
      </c>
      <c r="E1618" t="b">
        <v>0</v>
      </c>
      <c r="F1618">
        <v>171</v>
      </c>
      <c r="G1618">
        <v>169</v>
      </c>
      <c r="H1618" t="s">
        <v>359</v>
      </c>
      <c r="I1618" t="b">
        <v>0</v>
      </c>
      <c r="J1618" cm="1">
        <f t="array" ref="J1618">sentimentCalc(B1618)</f>
        <v>0</v>
      </c>
      <c r="K1618" t="str" cm="1">
        <f t="array" ref="K1618">sentimentCategory(J1618)</f>
        <v>Neutral</v>
      </c>
    </row>
    <row r="1619" spans="1:11" ht="17" x14ac:dyDescent="0.2">
      <c r="A1619" t="s">
        <v>4283</v>
      </c>
      <c r="B1619" s="1" t="s">
        <v>4284</v>
      </c>
      <c r="C1619" t="s">
        <v>2628</v>
      </c>
      <c r="E1619" t="b">
        <v>0</v>
      </c>
      <c r="F1619">
        <v>84</v>
      </c>
      <c r="G1619">
        <v>57</v>
      </c>
      <c r="H1619" t="s">
        <v>11</v>
      </c>
      <c r="I1619" t="b">
        <v>0</v>
      </c>
      <c r="J1619" cm="1">
        <f t="array" ref="J1619">sentimentCalc(B1619)</f>
        <v>-1</v>
      </c>
      <c r="K1619" t="str" cm="1">
        <f t="array" ref="K1619">sentimentCategory(J1619)</f>
        <v>Negative</v>
      </c>
    </row>
    <row r="1620" spans="1:11" ht="17" x14ac:dyDescent="0.2">
      <c r="A1620" t="s">
        <v>2350</v>
      </c>
      <c r="B1620" s="1" t="s">
        <v>2351</v>
      </c>
      <c r="C1620" t="s">
        <v>1753</v>
      </c>
      <c r="D1620" s="1" t="s">
        <v>2352</v>
      </c>
      <c r="E1620" t="b">
        <v>0</v>
      </c>
      <c r="F1620">
        <v>11</v>
      </c>
      <c r="G1620">
        <v>84</v>
      </c>
      <c r="H1620" t="s">
        <v>11</v>
      </c>
      <c r="I1620" t="b">
        <v>0</v>
      </c>
      <c r="J1620" cm="1">
        <f t="array" ref="J1620">sentimentCalc(B1620)</f>
        <v>0</v>
      </c>
      <c r="K1620" t="str" cm="1">
        <f t="array" ref="K1620">sentimentCategory(J1620)</f>
        <v>Neutral</v>
      </c>
    </row>
    <row r="1621" spans="1:11" ht="34" x14ac:dyDescent="0.2">
      <c r="A1621" t="s">
        <v>734</v>
      </c>
      <c r="B1621" s="1" t="s">
        <v>735</v>
      </c>
      <c r="C1621" t="s">
        <v>736</v>
      </c>
      <c r="D1621" s="1" t="s">
        <v>2</v>
      </c>
      <c r="E1621" t="b">
        <v>0</v>
      </c>
      <c r="F1621">
        <v>17345</v>
      </c>
      <c r="G1621">
        <v>12513</v>
      </c>
      <c r="H1621" t="s">
        <v>11</v>
      </c>
      <c r="I1621" t="b">
        <v>0</v>
      </c>
      <c r="J1621" cm="1">
        <f t="array" ref="J1621">sentimentCalc(B1621)</f>
        <v>0</v>
      </c>
      <c r="K1621" t="str" cm="1">
        <f t="array" ref="K1621">sentimentCategory(J1621)</f>
        <v>Neutral</v>
      </c>
    </row>
    <row r="1622" spans="1:11" ht="17" x14ac:dyDescent="0.2">
      <c r="A1622" t="s">
        <v>818</v>
      </c>
      <c r="B1622" s="1" t="s">
        <v>819</v>
      </c>
      <c r="C1622" t="s">
        <v>820</v>
      </c>
      <c r="D1622" s="1" t="s">
        <v>821</v>
      </c>
      <c r="E1622" t="b">
        <v>0</v>
      </c>
      <c r="F1622">
        <v>1</v>
      </c>
      <c r="G1622">
        <v>29</v>
      </c>
      <c r="H1622" t="s">
        <v>11</v>
      </c>
      <c r="I1622" t="b">
        <v>0</v>
      </c>
      <c r="J1622" cm="1">
        <f t="array" ref="J1622">sentimentCalc(B1622)</f>
        <v>1</v>
      </c>
      <c r="K1622" t="str" cm="1">
        <f t="array" ref="K1622">sentimentCategory(J1622)</f>
        <v>Positive</v>
      </c>
    </row>
    <row r="1623" spans="1:11" ht="17" x14ac:dyDescent="0.2">
      <c r="A1623" t="s">
        <v>2009</v>
      </c>
      <c r="B1623" s="1" t="s">
        <v>2010</v>
      </c>
      <c r="C1623" t="s">
        <v>1099</v>
      </c>
      <c r="D1623" s="1" t="s">
        <v>2</v>
      </c>
      <c r="E1623" t="b">
        <v>0</v>
      </c>
      <c r="F1623">
        <v>1</v>
      </c>
      <c r="G1623">
        <v>11</v>
      </c>
      <c r="H1623" t="s">
        <v>11</v>
      </c>
      <c r="I1623" t="b">
        <v>0</v>
      </c>
      <c r="J1623" cm="1">
        <f t="array" ref="J1623">sentimentCalc(B1623)</f>
        <v>0</v>
      </c>
      <c r="K1623" t="str" cm="1">
        <f t="array" ref="K1623">sentimentCategory(J1623)</f>
        <v>Neutral</v>
      </c>
    </row>
    <row r="1624" spans="1:11" ht="17" x14ac:dyDescent="0.2">
      <c r="A1624" t="s">
        <v>1479</v>
      </c>
      <c r="B1624" s="1" t="s">
        <v>1480</v>
      </c>
      <c r="C1624" t="s">
        <v>1206</v>
      </c>
      <c r="D1624" s="1" t="s">
        <v>1481</v>
      </c>
      <c r="E1624" t="b">
        <v>0</v>
      </c>
      <c r="F1624">
        <v>964</v>
      </c>
      <c r="G1624">
        <v>2475</v>
      </c>
      <c r="H1624" t="s">
        <v>11</v>
      </c>
      <c r="I1624" t="b">
        <v>0</v>
      </c>
      <c r="J1624" cm="1">
        <f t="array" ref="J1624">sentimentCalc(B1624)</f>
        <v>0</v>
      </c>
      <c r="K1624" t="str" cm="1">
        <f t="array" ref="K1624">sentimentCategory(J1624)</f>
        <v>Neutral</v>
      </c>
    </row>
    <row r="1625" spans="1:11" ht="34" x14ac:dyDescent="0.2">
      <c r="A1625" t="s">
        <v>6465</v>
      </c>
      <c r="B1625" s="1" t="s">
        <v>6466</v>
      </c>
      <c r="C1625" t="s">
        <v>1053</v>
      </c>
      <c r="D1625" s="1" t="s">
        <v>6467</v>
      </c>
      <c r="E1625" t="b">
        <v>0</v>
      </c>
      <c r="F1625">
        <v>14</v>
      </c>
      <c r="G1625">
        <v>71</v>
      </c>
      <c r="H1625" t="s">
        <v>11</v>
      </c>
      <c r="I1625" t="b">
        <v>0</v>
      </c>
      <c r="J1625" cm="1">
        <f t="array" ref="J1625">sentimentCalc(B1625)</f>
        <v>0</v>
      </c>
      <c r="K1625" t="str" cm="1">
        <f t="array" ref="K1625">sentimentCategory(J1625)</f>
        <v>Neutral</v>
      </c>
    </row>
    <row r="1626" spans="1:11" ht="17" x14ac:dyDescent="0.2">
      <c r="A1626" t="s">
        <v>2805</v>
      </c>
      <c r="B1626" s="1" t="s">
        <v>2806</v>
      </c>
      <c r="C1626" t="s">
        <v>2807</v>
      </c>
      <c r="D1626" s="1" t="s">
        <v>2</v>
      </c>
      <c r="E1626" t="b">
        <v>0</v>
      </c>
      <c r="F1626">
        <v>191</v>
      </c>
      <c r="G1626">
        <v>104</v>
      </c>
      <c r="H1626" t="s">
        <v>11</v>
      </c>
      <c r="I1626" t="b">
        <v>0</v>
      </c>
      <c r="J1626" cm="1">
        <f t="array" ref="J1626">sentimentCalc(B1626)</f>
        <v>1</v>
      </c>
      <c r="K1626" t="str" cm="1">
        <f t="array" ref="K1626">sentimentCategory(J1626)</f>
        <v>Positive</v>
      </c>
    </row>
    <row r="1627" spans="1:11" ht="17" x14ac:dyDescent="0.2">
      <c r="A1627" t="s">
        <v>1893</v>
      </c>
      <c r="B1627" s="1" t="s">
        <v>1894</v>
      </c>
      <c r="C1627" t="s">
        <v>219</v>
      </c>
      <c r="D1627" s="1" t="s">
        <v>2</v>
      </c>
      <c r="E1627" t="b">
        <v>0</v>
      </c>
      <c r="F1627">
        <v>224</v>
      </c>
      <c r="G1627">
        <v>1407</v>
      </c>
      <c r="H1627" t="s">
        <v>11</v>
      </c>
      <c r="I1627" t="b">
        <v>0</v>
      </c>
      <c r="J1627" cm="1">
        <f t="array" ref="J1627">sentimentCalc(B1627)</f>
        <v>0</v>
      </c>
      <c r="K1627" t="str" cm="1">
        <f t="array" ref="K1627">sentimentCategory(J1627)</f>
        <v>Neutral</v>
      </c>
    </row>
    <row r="1628" spans="1:11" ht="34" x14ac:dyDescent="0.2">
      <c r="A1628" t="s">
        <v>2022</v>
      </c>
      <c r="B1628" s="1" t="s">
        <v>2023</v>
      </c>
      <c r="C1628" t="s">
        <v>2024</v>
      </c>
      <c r="D1628" s="1" t="s">
        <v>1184</v>
      </c>
      <c r="E1628" t="b">
        <v>0</v>
      </c>
      <c r="F1628">
        <v>1314</v>
      </c>
      <c r="G1628">
        <v>2612</v>
      </c>
      <c r="H1628" t="s">
        <v>11</v>
      </c>
      <c r="I1628" t="b">
        <v>0</v>
      </c>
      <c r="J1628" cm="1">
        <f t="array" ref="J1628">sentimentCalc(B1628)</f>
        <v>0</v>
      </c>
      <c r="K1628" t="str" cm="1">
        <f t="array" ref="K1628">sentimentCategory(J1628)</f>
        <v>Neutral</v>
      </c>
    </row>
    <row r="1629" spans="1:11" ht="17" x14ac:dyDescent="0.2">
      <c r="A1629" t="s">
        <v>6521</v>
      </c>
      <c r="B1629" s="1" t="s">
        <v>6522</v>
      </c>
      <c r="C1629" t="s">
        <v>6523</v>
      </c>
      <c r="D1629" s="1" t="s">
        <v>6524</v>
      </c>
      <c r="E1629" t="b">
        <v>0</v>
      </c>
      <c r="F1629">
        <v>119</v>
      </c>
      <c r="G1629">
        <v>73</v>
      </c>
      <c r="H1629" t="s">
        <v>11</v>
      </c>
      <c r="I1629" t="b">
        <v>0</v>
      </c>
      <c r="J1629" cm="1">
        <f t="array" ref="J1629">sentimentCalc(B1629)</f>
        <v>0</v>
      </c>
      <c r="K1629" t="str" cm="1">
        <f t="array" ref="K1629">sentimentCategory(J1629)</f>
        <v>Neutral</v>
      </c>
    </row>
    <row r="1630" spans="1:11" ht="17" x14ac:dyDescent="0.2">
      <c r="A1630" t="s">
        <v>6734</v>
      </c>
      <c r="B1630" s="1" t="s">
        <v>6735</v>
      </c>
      <c r="C1630" t="s">
        <v>4605</v>
      </c>
      <c r="D1630" s="1" t="s">
        <v>399</v>
      </c>
      <c r="E1630" t="b">
        <v>0</v>
      </c>
      <c r="F1630">
        <v>35834</v>
      </c>
      <c r="G1630">
        <v>1551</v>
      </c>
      <c r="H1630" t="s">
        <v>11</v>
      </c>
      <c r="I1630" t="b">
        <v>0</v>
      </c>
      <c r="J1630" cm="1">
        <f t="array" ref="J1630">sentimentCalc(B1630)</f>
        <v>0</v>
      </c>
      <c r="K1630" t="str" cm="1">
        <f t="array" ref="K1630">sentimentCategory(J1630)</f>
        <v>Neutral</v>
      </c>
    </row>
    <row r="1631" spans="1:11" ht="17" x14ac:dyDescent="0.2">
      <c r="A1631" t="s">
        <v>5170</v>
      </c>
      <c r="B1631" s="1" t="s">
        <v>5171</v>
      </c>
      <c r="C1631" t="s">
        <v>814</v>
      </c>
      <c r="D1631" s="1" t="s">
        <v>5005</v>
      </c>
      <c r="E1631" t="b">
        <v>0</v>
      </c>
      <c r="F1631">
        <v>0</v>
      </c>
      <c r="G1631">
        <v>1</v>
      </c>
      <c r="H1631" t="s">
        <v>11</v>
      </c>
      <c r="I1631" t="b">
        <v>0</v>
      </c>
      <c r="J1631" cm="1">
        <f t="array" ref="J1631">sentimentCalc(B1631)</f>
        <v>0</v>
      </c>
      <c r="K1631" t="str" cm="1">
        <f t="array" ref="K1631">sentimentCategory(J1631)</f>
        <v>Neutral</v>
      </c>
    </row>
    <row r="1632" spans="1:11" ht="17" x14ac:dyDescent="0.2">
      <c r="A1632" t="s">
        <v>5321</v>
      </c>
      <c r="B1632" s="1" t="s">
        <v>5322</v>
      </c>
      <c r="C1632" t="s">
        <v>5323</v>
      </c>
      <c r="D1632" s="1" t="s">
        <v>565</v>
      </c>
      <c r="E1632" t="b">
        <v>0</v>
      </c>
      <c r="F1632">
        <v>249</v>
      </c>
      <c r="G1632">
        <v>547</v>
      </c>
      <c r="H1632" t="s">
        <v>11</v>
      </c>
      <c r="I1632" t="b">
        <v>0</v>
      </c>
      <c r="J1632" cm="1">
        <f t="array" ref="J1632">sentimentCalc(B1632)</f>
        <v>0</v>
      </c>
      <c r="K1632" t="str" cm="1">
        <f t="array" ref="K1632">sentimentCategory(J1632)</f>
        <v>Neutral</v>
      </c>
    </row>
    <row r="1633" spans="1:11" ht="17" x14ac:dyDescent="0.2">
      <c r="A1633" t="s">
        <v>2164</v>
      </c>
      <c r="B1633" s="1" t="s">
        <v>2168</v>
      </c>
      <c r="C1633" t="s">
        <v>2169</v>
      </c>
      <c r="D1633" s="1" t="s">
        <v>2170</v>
      </c>
      <c r="E1633" t="b">
        <v>0</v>
      </c>
      <c r="F1633">
        <v>62084</v>
      </c>
      <c r="G1633">
        <v>346</v>
      </c>
      <c r="H1633" t="s">
        <v>83</v>
      </c>
      <c r="I1633" t="b">
        <v>0</v>
      </c>
      <c r="J1633" cm="1">
        <f t="array" ref="J1633">sentimentCalc(B1633)</f>
        <v>0</v>
      </c>
      <c r="K1633" t="str" cm="1">
        <f t="array" ref="K1633">sentimentCategory(J1633)</f>
        <v>Neutral</v>
      </c>
    </row>
    <row r="1634" spans="1:11" ht="17" x14ac:dyDescent="0.2">
      <c r="A1634" t="s">
        <v>3235</v>
      </c>
      <c r="B1634" s="1" t="s">
        <v>3236</v>
      </c>
      <c r="C1634" t="s">
        <v>700</v>
      </c>
      <c r="D1634" s="1" t="s">
        <v>3237</v>
      </c>
      <c r="E1634" t="b">
        <v>0</v>
      </c>
      <c r="F1634">
        <v>178</v>
      </c>
      <c r="G1634">
        <v>150</v>
      </c>
      <c r="H1634" t="s">
        <v>11</v>
      </c>
      <c r="I1634" t="b">
        <v>0</v>
      </c>
      <c r="J1634" cm="1">
        <f t="array" ref="J1634">sentimentCalc(B1634)</f>
        <v>1</v>
      </c>
      <c r="K1634" t="str" cm="1">
        <f t="array" ref="K1634">sentimentCategory(J1634)</f>
        <v>Positive</v>
      </c>
    </row>
    <row r="1635" spans="1:11" ht="34" x14ac:dyDescent="0.2">
      <c r="A1635" t="s">
        <v>2467</v>
      </c>
      <c r="B1635" s="1" t="s">
        <v>2468</v>
      </c>
      <c r="C1635" t="s">
        <v>1592</v>
      </c>
      <c r="D1635" s="1" t="s">
        <v>1593</v>
      </c>
      <c r="E1635" t="b">
        <v>0</v>
      </c>
      <c r="F1635">
        <v>4</v>
      </c>
      <c r="G1635">
        <v>0</v>
      </c>
      <c r="H1635" t="s">
        <v>11</v>
      </c>
      <c r="I1635" t="b">
        <v>0</v>
      </c>
      <c r="J1635" cm="1">
        <f t="array" ref="J1635">sentimentCalc(B1635)</f>
        <v>0</v>
      </c>
      <c r="K1635" t="str" cm="1">
        <f t="array" ref="K1635">sentimentCategory(J1635)</f>
        <v>Neutral</v>
      </c>
    </row>
    <row r="1636" spans="1:11" ht="34" x14ac:dyDescent="0.2">
      <c r="A1636" t="s">
        <v>273</v>
      </c>
      <c r="B1636" s="1" t="s">
        <v>274</v>
      </c>
      <c r="C1636" t="s">
        <v>275</v>
      </c>
      <c r="D1636" s="1" t="s">
        <v>276</v>
      </c>
      <c r="E1636" t="b">
        <v>0</v>
      </c>
      <c r="F1636">
        <v>135</v>
      </c>
      <c r="G1636">
        <v>258</v>
      </c>
      <c r="H1636" t="s">
        <v>11</v>
      </c>
      <c r="I1636" t="b">
        <v>0</v>
      </c>
      <c r="J1636" cm="1">
        <f t="array" ref="J1636">sentimentCalc(B1636)</f>
        <v>1</v>
      </c>
      <c r="K1636" t="str" cm="1">
        <f t="array" ref="K1636">sentimentCategory(J1636)</f>
        <v>Positive</v>
      </c>
    </row>
    <row r="1637" spans="1:11" ht="34" x14ac:dyDescent="0.2">
      <c r="A1637" t="s">
        <v>4740</v>
      </c>
      <c r="B1637" s="1" t="s">
        <v>4741</v>
      </c>
      <c r="C1637" t="s">
        <v>200</v>
      </c>
      <c r="D1637" s="1" t="s">
        <v>2</v>
      </c>
      <c r="E1637" t="b">
        <v>0</v>
      </c>
      <c r="F1637">
        <v>118</v>
      </c>
      <c r="G1637">
        <v>384</v>
      </c>
      <c r="H1637" t="s">
        <v>11</v>
      </c>
      <c r="I1637" t="b">
        <v>0</v>
      </c>
      <c r="J1637" cm="1">
        <f t="array" ref="J1637">sentimentCalc(B1637)</f>
        <v>0</v>
      </c>
      <c r="K1637" t="str" cm="1">
        <f t="array" ref="K1637">sentimentCategory(J1637)</f>
        <v>Neutral</v>
      </c>
    </row>
    <row r="1638" spans="1:11" ht="17" x14ac:dyDescent="0.2">
      <c r="A1638" t="s">
        <v>6530</v>
      </c>
      <c r="B1638" s="1" t="s">
        <v>6531</v>
      </c>
      <c r="C1638" t="s">
        <v>3431</v>
      </c>
      <c r="D1638" s="1" t="s">
        <v>2</v>
      </c>
      <c r="E1638" t="b">
        <v>0</v>
      </c>
      <c r="F1638">
        <v>27</v>
      </c>
      <c r="G1638">
        <v>27</v>
      </c>
      <c r="H1638" t="s">
        <v>11</v>
      </c>
      <c r="I1638" t="b">
        <v>0</v>
      </c>
      <c r="J1638" cm="1">
        <f t="array" ref="J1638">sentimentCalc(B1638)</f>
        <v>0</v>
      </c>
      <c r="K1638" t="str" cm="1">
        <f t="array" ref="K1638">sentimentCategory(J1638)</f>
        <v>Neutral</v>
      </c>
    </row>
    <row r="1639" spans="1:11" ht="34" x14ac:dyDescent="0.2">
      <c r="A1639" t="s">
        <v>2464</v>
      </c>
      <c r="B1639" s="1" t="s">
        <v>2465</v>
      </c>
      <c r="C1639" t="s">
        <v>2466</v>
      </c>
      <c r="D1639" s="1" t="s">
        <v>2</v>
      </c>
      <c r="E1639" t="b">
        <v>0</v>
      </c>
      <c r="F1639">
        <v>144</v>
      </c>
      <c r="G1639">
        <v>238</v>
      </c>
      <c r="H1639" t="s">
        <v>11</v>
      </c>
      <c r="I1639" t="b">
        <v>0</v>
      </c>
      <c r="J1639" cm="1">
        <f t="array" ref="J1639">sentimentCalc(B1639)</f>
        <v>0</v>
      </c>
      <c r="K1639" t="str" cm="1">
        <f t="array" ref="K1639">sentimentCategory(J1639)</f>
        <v>Neutral</v>
      </c>
    </row>
    <row r="1640" spans="1:11" ht="17" x14ac:dyDescent="0.2">
      <c r="A1640" t="s">
        <v>559</v>
      </c>
      <c r="B1640" s="1" t="s">
        <v>560</v>
      </c>
      <c r="C1640" t="s">
        <v>561</v>
      </c>
      <c r="D1640" s="1" t="s">
        <v>562</v>
      </c>
      <c r="E1640" t="b">
        <v>0</v>
      </c>
      <c r="F1640">
        <v>499</v>
      </c>
      <c r="G1640">
        <v>352</v>
      </c>
      <c r="H1640" t="s">
        <v>3</v>
      </c>
      <c r="I1640" t="b">
        <v>0</v>
      </c>
      <c r="J1640" cm="1">
        <f t="array" ref="J1640">sentimentCalc(B1640)</f>
        <v>0</v>
      </c>
      <c r="K1640" t="str" cm="1">
        <f t="array" ref="K1640">sentimentCategory(J1640)</f>
        <v>Neutral</v>
      </c>
    </row>
    <row r="1641" spans="1:11" ht="17" x14ac:dyDescent="0.2">
      <c r="A1641" t="s">
        <v>1933</v>
      </c>
      <c r="B1641" s="1" t="s">
        <v>1934</v>
      </c>
      <c r="C1641" t="s">
        <v>675</v>
      </c>
      <c r="D1641" s="1" t="s">
        <v>1935</v>
      </c>
      <c r="E1641" t="b">
        <v>0</v>
      </c>
      <c r="F1641">
        <v>48</v>
      </c>
      <c r="G1641">
        <v>139</v>
      </c>
      <c r="H1641" t="s">
        <v>11</v>
      </c>
      <c r="I1641" t="b">
        <v>0</v>
      </c>
      <c r="J1641" cm="1">
        <f t="array" ref="J1641">sentimentCalc(B1641)</f>
        <v>0</v>
      </c>
      <c r="K1641" t="str" cm="1">
        <f t="array" ref="K1641">sentimentCategory(J1641)</f>
        <v>Neutral</v>
      </c>
    </row>
    <row r="1642" spans="1:11" ht="17" x14ac:dyDescent="0.2">
      <c r="A1642" t="s">
        <v>4325</v>
      </c>
      <c r="B1642" s="1" t="s">
        <v>4326</v>
      </c>
      <c r="C1642" t="s">
        <v>4327</v>
      </c>
      <c r="D1642" s="1" t="s">
        <v>4328</v>
      </c>
      <c r="E1642" t="b">
        <v>0</v>
      </c>
      <c r="F1642">
        <v>20</v>
      </c>
      <c r="G1642">
        <v>95</v>
      </c>
      <c r="H1642" t="s">
        <v>11</v>
      </c>
      <c r="I1642" t="b">
        <v>0</v>
      </c>
      <c r="J1642" cm="1">
        <f t="array" ref="J1642">sentimentCalc(B1642)</f>
        <v>0</v>
      </c>
      <c r="K1642" t="str" cm="1">
        <f t="array" ref="K1642">sentimentCategory(J1642)</f>
        <v>Neutral</v>
      </c>
    </row>
    <row r="1643" spans="1:11" ht="17" x14ac:dyDescent="0.2">
      <c r="A1643" t="s">
        <v>3911</v>
      </c>
      <c r="B1643" s="1" t="s">
        <v>3912</v>
      </c>
      <c r="C1643" t="s">
        <v>3913</v>
      </c>
      <c r="D1643" s="1" t="s">
        <v>2</v>
      </c>
      <c r="E1643" t="b">
        <v>0</v>
      </c>
      <c r="F1643">
        <v>461</v>
      </c>
      <c r="G1643">
        <v>77</v>
      </c>
      <c r="H1643" t="s">
        <v>11</v>
      </c>
      <c r="I1643" t="b">
        <v>0</v>
      </c>
      <c r="J1643" cm="1">
        <f t="array" ref="J1643">sentimentCalc(B1643)</f>
        <v>0</v>
      </c>
      <c r="K1643" t="str" cm="1">
        <f t="array" ref="K1643">sentimentCategory(J1643)</f>
        <v>Neutral</v>
      </c>
    </row>
    <row r="1644" spans="1:11" ht="34" x14ac:dyDescent="0.2">
      <c r="A1644" t="s">
        <v>4915</v>
      </c>
      <c r="B1644" s="1" t="s">
        <v>4916</v>
      </c>
      <c r="C1644" t="s">
        <v>4917</v>
      </c>
      <c r="D1644" s="1" t="s">
        <v>4918</v>
      </c>
      <c r="E1644" t="b">
        <v>0</v>
      </c>
      <c r="F1644">
        <v>248</v>
      </c>
      <c r="G1644">
        <v>173</v>
      </c>
      <c r="H1644" t="s">
        <v>11</v>
      </c>
      <c r="I1644" t="b">
        <v>0</v>
      </c>
      <c r="J1644" cm="1">
        <f t="array" ref="J1644">sentimentCalc(B1644)</f>
        <v>2</v>
      </c>
      <c r="K1644" t="str" cm="1">
        <f t="array" ref="K1644">sentimentCategory(J1644)</f>
        <v>Positive</v>
      </c>
    </row>
    <row r="1645" spans="1:11" ht="34" x14ac:dyDescent="0.2">
      <c r="A1645" t="s">
        <v>5227</v>
      </c>
      <c r="B1645" s="1" t="s">
        <v>5228</v>
      </c>
      <c r="C1645" t="s">
        <v>726</v>
      </c>
      <c r="D1645" s="1" t="s">
        <v>2</v>
      </c>
      <c r="E1645" t="b">
        <v>0</v>
      </c>
      <c r="F1645">
        <v>49</v>
      </c>
      <c r="G1645">
        <v>146</v>
      </c>
      <c r="H1645" t="s">
        <v>11</v>
      </c>
      <c r="I1645" t="b">
        <v>0</v>
      </c>
      <c r="J1645" cm="1">
        <f t="array" ref="J1645">sentimentCalc(B1645)</f>
        <v>1</v>
      </c>
      <c r="K1645" t="str" cm="1">
        <f t="array" ref="K1645">sentimentCategory(J1645)</f>
        <v>Positive</v>
      </c>
    </row>
    <row r="1646" spans="1:11" ht="34" x14ac:dyDescent="0.2">
      <c r="A1646" t="s">
        <v>306</v>
      </c>
      <c r="B1646" s="1" t="s">
        <v>307</v>
      </c>
      <c r="C1646" t="s">
        <v>308</v>
      </c>
      <c r="D1646" s="1" t="s">
        <v>2</v>
      </c>
      <c r="E1646" t="b">
        <v>0</v>
      </c>
      <c r="F1646">
        <v>90</v>
      </c>
      <c r="G1646">
        <v>117</v>
      </c>
      <c r="H1646" t="s">
        <v>47</v>
      </c>
      <c r="I1646" t="b">
        <v>0</v>
      </c>
      <c r="J1646" cm="1">
        <f t="array" ref="J1646">sentimentCalc(B1646)</f>
        <v>-1</v>
      </c>
      <c r="K1646" t="str" cm="1">
        <f t="array" ref="K1646">sentimentCategory(J1646)</f>
        <v>Negative</v>
      </c>
    </row>
    <row r="1647" spans="1:11" ht="17" x14ac:dyDescent="0.2">
      <c r="A1647" t="s">
        <v>5958</v>
      </c>
      <c r="B1647" s="1" t="s">
        <v>5959</v>
      </c>
      <c r="C1647" t="s">
        <v>591</v>
      </c>
      <c r="D1647" s="1" t="s">
        <v>1023</v>
      </c>
      <c r="E1647" t="b">
        <v>0</v>
      </c>
      <c r="F1647">
        <v>296</v>
      </c>
      <c r="G1647">
        <v>202</v>
      </c>
      <c r="H1647" t="s">
        <v>11</v>
      </c>
      <c r="I1647" t="b">
        <v>0</v>
      </c>
      <c r="J1647" cm="1">
        <f t="array" ref="J1647">sentimentCalc(B1647)</f>
        <v>0</v>
      </c>
      <c r="K1647" t="str" cm="1">
        <f t="array" ref="K1647">sentimentCategory(J1647)</f>
        <v>Neutral</v>
      </c>
    </row>
    <row r="1648" spans="1:11" ht="34" x14ac:dyDescent="0.2">
      <c r="A1648" t="s">
        <v>6984</v>
      </c>
      <c r="B1648" s="1" t="s">
        <v>6985</v>
      </c>
      <c r="C1648" t="s">
        <v>6986</v>
      </c>
      <c r="D1648" s="1" t="s">
        <v>2</v>
      </c>
      <c r="E1648" t="b">
        <v>0</v>
      </c>
      <c r="F1648">
        <v>1843</v>
      </c>
      <c r="G1648">
        <v>106</v>
      </c>
      <c r="H1648" t="s">
        <v>47</v>
      </c>
      <c r="I1648" t="b">
        <v>0</v>
      </c>
      <c r="J1648" cm="1">
        <f t="array" ref="J1648">sentimentCalc(B1648)</f>
        <v>0</v>
      </c>
      <c r="K1648" t="str" cm="1">
        <f t="array" ref="K1648">sentimentCategory(J1648)</f>
        <v>Neutral</v>
      </c>
    </row>
    <row r="1649" spans="1:11" ht="17" x14ac:dyDescent="0.2">
      <c r="A1649" t="s">
        <v>4657</v>
      </c>
      <c r="B1649" s="1" t="s">
        <v>4658</v>
      </c>
      <c r="C1649" t="s">
        <v>1287</v>
      </c>
      <c r="D1649" s="1" t="s">
        <v>4659</v>
      </c>
      <c r="E1649" t="b">
        <v>0</v>
      </c>
      <c r="F1649">
        <v>24</v>
      </c>
      <c r="G1649">
        <v>163</v>
      </c>
      <c r="H1649" t="s">
        <v>11</v>
      </c>
      <c r="I1649" t="b">
        <v>0</v>
      </c>
      <c r="J1649" cm="1">
        <f t="array" ref="J1649">sentimentCalc(B1649)</f>
        <v>0</v>
      </c>
      <c r="K1649" t="str" cm="1">
        <f t="array" ref="K1649">sentimentCategory(J1649)</f>
        <v>Neutral</v>
      </c>
    </row>
    <row r="1650" spans="1:11" ht="17" x14ac:dyDescent="0.2">
      <c r="A1650" t="s">
        <v>2292</v>
      </c>
      <c r="B1650" s="1" t="s">
        <v>2293</v>
      </c>
      <c r="C1650" t="s">
        <v>2294</v>
      </c>
      <c r="D1650" s="1" t="s">
        <v>2295</v>
      </c>
      <c r="E1650" t="b">
        <v>0</v>
      </c>
      <c r="F1650">
        <v>5041</v>
      </c>
      <c r="G1650">
        <v>1690</v>
      </c>
      <c r="H1650" t="s">
        <v>11</v>
      </c>
      <c r="I1650" t="b">
        <v>0</v>
      </c>
      <c r="J1650" cm="1">
        <f t="array" ref="J1650">sentimentCalc(B1650)</f>
        <v>0</v>
      </c>
      <c r="K1650" t="str" cm="1">
        <f t="array" ref="K1650">sentimentCategory(J1650)</f>
        <v>Neutral</v>
      </c>
    </row>
    <row r="1651" spans="1:11" ht="17" x14ac:dyDescent="0.2">
      <c r="A1651" t="s">
        <v>4130</v>
      </c>
      <c r="B1651" s="1" t="s">
        <v>4131</v>
      </c>
      <c r="C1651" t="s">
        <v>995</v>
      </c>
      <c r="D1651" s="1" t="s">
        <v>4132</v>
      </c>
      <c r="E1651" t="b">
        <v>0</v>
      </c>
      <c r="F1651">
        <v>275</v>
      </c>
      <c r="G1651">
        <v>878</v>
      </c>
      <c r="H1651" t="s">
        <v>11</v>
      </c>
      <c r="I1651" t="b">
        <v>0</v>
      </c>
      <c r="J1651" cm="1">
        <f t="array" ref="J1651">sentimentCalc(B1651)</f>
        <v>0</v>
      </c>
      <c r="K1651" t="str" cm="1">
        <f t="array" ref="K1651">sentimentCategory(J1651)</f>
        <v>Neutral</v>
      </c>
    </row>
    <row r="1652" spans="1:11" ht="17" x14ac:dyDescent="0.2">
      <c r="A1652" t="s">
        <v>2590</v>
      </c>
      <c r="B1652" s="1" t="s">
        <v>2591</v>
      </c>
      <c r="C1652" t="s">
        <v>2592</v>
      </c>
      <c r="D1652" s="1" t="s">
        <v>399</v>
      </c>
      <c r="E1652" t="b">
        <v>0</v>
      </c>
      <c r="F1652">
        <v>2450</v>
      </c>
      <c r="G1652">
        <v>2099</v>
      </c>
      <c r="H1652" t="s">
        <v>11</v>
      </c>
      <c r="I1652" t="b">
        <v>0</v>
      </c>
      <c r="J1652" cm="1">
        <f t="array" ref="J1652">sentimentCalc(B1652)</f>
        <v>0</v>
      </c>
      <c r="K1652" t="str" cm="1">
        <f t="array" ref="K1652">sentimentCategory(J1652)</f>
        <v>Neutral</v>
      </c>
    </row>
    <row r="1653" spans="1:11" ht="17" x14ac:dyDescent="0.2">
      <c r="A1653" t="s">
        <v>6771</v>
      </c>
      <c r="B1653" s="1" t="s">
        <v>6772</v>
      </c>
      <c r="C1653" t="s">
        <v>1091</v>
      </c>
      <c r="D1653" s="1" t="s">
        <v>2</v>
      </c>
      <c r="E1653" t="b">
        <v>0</v>
      </c>
      <c r="F1653">
        <v>0</v>
      </c>
      <c r="G1653">
        <v>10</v>
      </c>
      <c r="H1653" t="s">
        <v>11</v>
      </c>
      <c r="I1653" t="b">
        <v>0</v>
      </c>
      <c r="J1653" cm="1">
        <f t="array" ref="J1653">sentimentCalc(B1653)</f>
        <v>0</v>
      </c>
      <c r="K1653" t="str" cm="1">
        <f t="array" ref="K1653">sentimentCategory(J1653)</f>
        <v>Neutral</v>
      </c>
    </row>
    <row r="1654" spans="1:11" ht="17" x14ac:dyDescent="0.2">
      <c r="A1654" t="s">
        <v>6116</v>
      </c>
      <c r="B1654" s="1" t="s">
        <v>6117</v>
      </c>
      <c r="C1654" t="s">
        <v>1518</v>
      </c>
      <c r="D1654" s="1" t="s">
        <v>2</v>
      </c>
      <c r="E1654" t="b">
        <v>0</v>
      </c>
      <c r="F1654">
        <v>766</v>
      </c>
      <c r="G1654">
        <v>20</v>
      </c>
      <c r="H1654" t="s">
        <v>11</v>
      </c>
      <c r="I1654" t="b">
        <v>0</v>
      </c>
      <c r="J1654" cm="1">
        <f t="array" ref="J1654">sentimentCalc(B1654)</f>
        <v>0</v>
      </c>
      <c r="K1654" t="str" cm="1">
        <f t="array" ref="K1654">sentimentCategory(J1654)</f>
        <v>Neutral</v>
      </c>
    </row>
    <row r="1655" spans="1:11" ht="34" x14ac:dyDescent="0.2">
      <c r="A1655" t="s">
        <v>4882</v>
      </c>
      <c r="B1655" s="1" t="s">
        <v>4883</v>
      </c>
      <c r="C1655" t="s">
        <v>1746</v>
      </c>
      <c r="D1655" s="1" t="s">
        <v>2</v>
      </c>
      <c r="E1655" t="b">
        <v>0</v>
      </c>
      <c r="F1655">
        <v>1950</v>
      </c>
      <c r="G1655">
        <v>1914</v>
      </c>
      <c r="H1655" t="s">
        <v>11</v>
      </c>
      <c r="I1655" t="b">
        <v>0</v>
      </c>
      <c r="J1655" cm="1">
        <f t="array" ref="J1655">sentimentCalc(B1655)</f>
        <v>0</v>
      </c>
      <c r="K1655" t="str" cm="1">
        <f t="array" ref="K1655">sentimentCategory(J1655)</f>
        <v>Neutral</v>
      </c>
    </row>
    <row r="1656" spans="1:11" ht="17" x14ac:dyDescent="0.2">
      <c r="A1656" t="s">
        <v>5420</v>
      </c>
      <c r="B1656" s="1" t="s">
        <v>5421</v>
      </c>
      <c r="C1656" t="s">
        <v>90</v>
      </c>
      <c r="D1656" s="1" t="s">
        <v>91</v>
      </c>
      <c r="E1656" t="b">
        <v>0</v>
      </c>
      <c r="F1656">
        <v>136</v>
      </c>
      <c r="G1656">
        <v>11</v>
      </c>
      <c r="H1656" t="s">
        <v>11</v>
      </c>
      <c r="I1656" t="b">
        <v>0</v>
      </c>
      <c r="J1656" cm="1">
        <f t="array" ref="J1656">sentimentCalc(B1656)</f>
        <v>2</v>
      </c>
      <c r="K1656" t="str" cm="1">
        <f t="array" ref="K1656">sentimentCategory(J1656)</f>
        <v>Positive</v>
      </c>
    </row>
    <row r="1657" spans="1:11" ht="34" x14ac:dyDescent="0.2">
      <c r="A1657" t="s">
        <v>88</v>
      </c>
      <c r="B1657" s="1" t="s">
        <v>89</v>
      </c>
      <c r="C1657" t="s">
        <v>90</v>
      </c>
      <c r="D1657" s="1" t="s">
        <v>91</v>
      </c>
      <c r="E1657" t="b">
        <v>0</v>
      </c>
      <c r="F1657">
        <v>136</v>
      </c>
      <c r="G1657">
        <v>11</v>
      </c>
      <c r="H1657" t="s">
        <v>11</v>
      </c>
      <c r="I1657" t="b">
        <v>0</v>
      </c>
      <c r="J1657" cm="1">
        <f t="array" ref="J1657">sentimentCalc(B1657)</f>
        <v>0</v>
      </c>
      <c r="K1657" t="str" cm="1">
        <f t="array" ref="K1657">sentimentCategory(J1657)</f>
        <v>Neutral</v>
      </c>
    </row>
    <row r="1658" spans="1:11" ht="17" x14ac:dyDescent="0.2">
      <c r="A1658" t="s">
        <v>491</v>
      </c>
      <c r="B1658" s="1" t="s">
        <v>492</v>
      </c>
      <c r="C1658" t="s">
        <v>189</v>
      </c>
      <c r="D1658" s="1" t="s">
        <v>190</v>
      </c>
      <c r="E1658" t="b">
        <v>0</v>
      </c>
      <c r="F1658">
        <v>1181</v>
      </c>
      <c r="G1658">
        <v>766</v>
      </c>
      <c r="H1658" t="s">
        <v>11</v>
      </c>
      <c r="I1658" t="b">
        <v>0</v>
      </c>
      <c r="J1658" cm="1">
        <f t="array" ref="J1658">sentimentCalc(B1658)</f>
        <v>0</v>
      </c>
      <c r="K1658" t="str" cm="1">
        <f t="array" ref="K1658">sentimentCategory(J1658)</f>
        <v>Neutral</v>
      </c>
    </row>
    <row r="1659" spans="1:11" ht="17" x14ac:dyDescent="0.2">
      <c r="A1659" t="s">
        <v>1849</v>
      </c>
      <c r="B1659" s="1" t="s">
        <v>1850</v>
      </c>
      <c r="C1659" t="s">
        <v>1851</v>
      </c>
      <c r="D1659" s="1" t="s">
        <v>2</v>
      </c>
      <c r="E1659" t="b">
        <v>0</v>
      </c>
      <c r="F1659">
        <v>25</v>
      </c>
      <c r="G1659">
        <v>109</v>
      </c>
      <c r="H1659" t="s">
        <v>11</v>
      </c>
      <c r="I1659" t="b">
        <v>0</v>
      </c>
      <c r="J1659" cm="1">
        <f t="array" ref="J1659">sentimentCalc(B1659)</f>
        <v>0</v>
      </c>
      <c r="K1659" t="str" cm="1">
        <f t="array" ref="K1659">sentimentCategory(J1659)</f>
        <v>Neutral</v>
      </c>
    </row>
    <row r="1660" spans="1:11" ht="17" x14ac:dyDescent="0.2">
      <c r="A1660" t="s">
        <v>5716</v>
      </c>
      <c r="B1660" s="1" t="s">
        <v>5717</v>
      </c>
      <c r="C1660" t="s">
        <v>297</v>
      </c>
      <c r="D1660" s="1" t="s">
        <v>833</v>
      </c>
      <c r="E1660" t="b">
        <v>0</v>
      </c>
      <c r="F1660">
        <v>7</v>
      </c>
      <c r="G1660">
        <v>21</v>
      </c>
      <c r="H1660" t="s">
        <v>11</v>
      </c>
      <c r="I1660" t="b">
        <v>0</v>
      </c>
      <c r="J1660" cm="1">
        <f t="array" ref="J1660">sentimentCalc(B1660)</f>
        <v>0</v>
      </c>
      <c r="K1660" t="str" cm="1">
        <f t="array" ref="K1660">sentimentCategory(J1660)</f>
        <v>Neutral</v>
      </c>
    </row>
    <row r="1661" spans="1:11" ht="34" x14ac:dyDescent="0.2">
      <c r="A1661" t="s">
        <v>1328</v>
      </c>
      <c r="B1661" s="1" t="s">
        <v>1329</v>
      </c>
      <c r="C1661" t="s">
        <v>1330</v>
      </c>
      <c r="D1661" s="1" t="s">
        <v>2</v>
      </c>
      <c r="E1661" t="b">
        <v>0</v>
      </c>
      <c r="F1661">
        <v>4793</v>
      </c>
      <c r="G1661">
        <v>5034</v>
      </c>
      <c r="H1661" t="s">
        <v>3</v>
      </c>
      <c r="I1661" t="b">
        <v>0</v>
      </c>
      <c r="J1661" cm="1">
        <f t="array" ref="J1661">sentimentCalc(B1661)</f>
        <v>0</v>
      </c>
      <c r="K1661" t="str" cm="1">
        <f t="array" ref="K1661">sentimentCategory(J1661)</f>
        <v>Neutral</v>
      </c>
    </row>
    <row r="1662" spans="1:11" ht="17" x14ac:dyDescent="0.2">
      <c r="A1662" t="s">
        <v>1171</v>
      </c>
      <c r="B1662" s="1" t="s">
        <v>1173</v>
      </c>
      <c r="C1662" t="s">
        <v>90</v>
      </c>
      <c r="D1662" s="1" t="s">
        <v>1174</v>
      </c>
      <c r="E1662" t="b">
        <v>0</v>
      </c>
      <c r="F1662">
        <v>41</v>
      </c>
      <c r="G1662">
        <v>6</v>
      </c>
      <c r="H1662" t="s">
        <v>11</v>
      </c>
      <c r="I1662" t="b">
        <v>0</v>
      </c>
      <c r="J1662" cm="1">
        <f t="array" ref="J1662">sentimentCalc(B1662)</f>
        <v>0</v>
      </c>
      <c r="K1662" t="str" cm="1">
        <f t="array" ref="K1662">sentimentCategory(J1662)</f>
        <v>Neutral</v>
      </c>
    </row>
    <row r="1663" spans="1:11" ht="34" x14ac:dyDescent="0.2">
      <c r="A1663" t="s">
        <v>975</v>
      </c>
      <c r="B1663" s="1" t="s">
        <v>976</v>
      </c>
      <c r="C1663" t="s">
        <v>289</v>
      </c>
      <c r="D1663" s="1" t="s">
        <v>2</v>
      </c>
      <c r="E1663" t="b">
        <v>0</v>
      </c>
      <c r="F1663">
        <v>3632</v>
      </c>
      <c r="G1663">
        <v>3728</v>
      </c>
      <c r="H1663" t="s">
        <v>11</v>
      </c>
      <c r="I1663" t="b">
        <v>0</v>
      </c>
      <c r="J1663" cm="1">
        <f t="array" ref="J1663">sentimentCalc(B1663)</f>
        <v>0</v>
      </c>
      <c r="K1663" t="str" cm="1">
        <f t="array" ref="K1663">sentimentCategory(J1663)</f>
        <v>Neutral</v>
      </c>
    </row>
    <row r="1664" spans="1:11" ht="17" x14ac:dyDescent="0.2">
      <c r="A1664" t="s">
        <v>6887</v>
      </c>
      <c r="B1664" s="1" t="s">
        <v>6888</v>
      </c>
      <c r="C1664" t="s">
        <v>4154</v>
      </c>
      <c r="D1664" s="1" t="s">
        <v>2167</v>
      </c>
      <c r="E1664" t="b">
        <v>0</v>
      </c>
      <c r="F1664">
        <v>6</v>
      </c>
      <c r="G1664">
        <v>26</v>
      </c>
      <c r="H1664" t="s">
        <v>11</v>
      </c>
      <c r="I1664" t="b">
        <v>0</v>
      </c>
      <c r="J1664" cm="1">
        <f t="array" ref="J1664">sentimentCalc(B1664)</f>
        <v>0</v>
      </c>
      <c r="K1664" t="str" cm="1">
        <f t="array" ref="K1664">sentimentCategory(J1664)</f>
        <v>Neutral</v>
      </c>
    </row>
    <row r="1665" spans="1:11" ht="34" x14ac:dyDescent="0.2">
      <c r="A1665" t="s">
        <v>3005</v>
      </c>
      <c r="B1665" s="1" t="s">
        <v>3006</v>
      </c>
      <c r="C1665" t="s">
        <v>3007</v>
      </c>
      <c r="D1665" s="1" t="s">
        <v>2</v>
      </c>
      <c r="E1665" t="b">
        <v>0</v>
      </c>
      <c r="F1665">
        <v>10187</v>
      </c>
      <c r="G1665">
        <v>5143</v>
      </c>
      <c r="H1665" t="s">
        <v>11</v>
      </c>
      <c r="I1665" t="b">
        <v>0</v>
      </c>
      <c r="J1665" cm="1">
        <f t="array" ref="J1665">sentimentCalc(B1665)</f>
        <v>0</v>
      </c>
      <c r="K1665" t="str" cm="1">
        <f t="array" ref="K1665">sentimentCategory(J1665)</f>
        <v>Neutral</v>
      </c>
    </row>
    <row r="1666" spans="1:11" ht="17" x14ac:dyDescent="0.2">
      <c r="A1666" t="s">
        <v>4522</v>
      </c>
      <c r="B1666" s="1" t="s">
        <v>4523</v>
      </c>
      <c r="C1666" t="s">
        <v>4524</v>
      </c>
      <c r="D1666" s="1" t="s">
        <v>4525</v>
      </c>
      <c r="E1666" t="b">
        <v>0</v>
      </c>
      <c r="F1666">
        <v>112</v>
      </c>
      <c r="G1666">
        <v>302</v>
      </c>
      <c r="H1666" t="s">
        <v>11</v>
      </c>
      <c r="I1666" t="b">
        <v>0</v>
      </c>
      <c r="J1666" cm="1">
        <f t="array" ref="J1666">sentimentCalc(B1666)</f>
        <v>0</v>
      </c>
      <c r="K1666" t="str" cm="1">
        <f t="array" ref="K1666">sentimentCategory(J1666)</f>
        <v>Neutral</v>
      </c>
    </row>
    <row r="1667" spans="1:11" ht="17" x14ac:dyDescent="0.2">
      <c r="A1667" t="s">
        <v>5858</v>
      </c>
      <c r="B1667" s="1" t="s">
        <v>5859</v>
      </c>
      <c r="C1667" t="s">
        <v>82</v>
      </c>
      <c r="D1667" s="1" t="s">
        <v>2</v>
      </c>
      <c r="E1667" t="b">
        <v>0</v>
      </c>
      <c r="F1667">
        <v>5</v>
      </c>
      <c r="G1667">
        <v>376</v>
      </c>
      <c r="H1667" t="s">
        <v>11</v>
      </c>
      <c r="I1667" t="b">
        <v>0</v>
      </c>
      <c r="J1667" cm="1">
        <f t="array" ref="J1667">sentimentCalc(B1667)</f>
        <v>0</v>
      </c>
      <c r="K1667" t="str" cm="1">
        <f t="array" ref="K1667">sentimentCategory(J1667)</f>
        <v>Neutral</v>
      </c>
    </row>
    <row r="1668" spans="1:11" ht="17" x14ac:dyDescent="0.2">
      <c r="A1668" t="s">
        <v>3753</v>
      </c>
      <c r="B1668" s="1" t="s">
        <v>3754</v>
      </c>
      <c r="C1668" t="s">
        <v>3755</v>
      </c>
      <c r="D1668" s="1" t="s">
        <v>3756</v>
      </c>
      <c r="E1668" t="b">
        <v>0</v>
      </c>
      <c r="F1668">
        <v>19</v>
      </c>
      <c r="G1668">
        <v>8</v>
      </c>
      <c r="H1668" t="s">
        <v>11</v>
      </c>
      <c r="I1668" t="b">
        <v>0</v>
      </c>
      <c r="J1668" cm="1">
        <f t="array" ref="J1668">sentimentCalc(B1668)</f>
        <v>0</v>
      </c>
      <c r="K1668" t="str" cm="1">
        <f t="array" ref="K1668">sentimentCategory(J1668)</f>
        <v>Neutral</v>
      </c>
    </row>
    <row r="1669" spans="1:11" ht="17" x14ac:dyDescent="0.2">
      <c r="A1669" t="s">
        <v>5600</v>
      </c>
      <c r="B1669" s="1" t="s">
        <v>5601</v>
      </c>
      <c r="C1669" t="s">
        <v>3793</v>
      </c>
      <c r="D1669" s="1" t="s">
        <v>2</v>
      </c>
      <c r="E1669" t="b">
        <v>0</v>
      </c>
      <c r="F1669">
        <v>11</v>
      </c>
      <c r="G1669">
        <v>39</v>
      </c>
      <c r="H1669" t="s">
        <v>11</v>
      </c>
      <c r="I1669" t="b">
        <v>0</v>
      </c>
      <c r="J1669" cm="1">
        <f t="array" ref="J1669">sentimentCalc(B1669)</f>
        <v>0</v>
      </c>
      <c r="K1669" t="str" cm="1">
        <f t="array" ref="K1669">sentimentCategory(J1669)</f>
        <v>Neutral</v>
      </c>
    </row>
    <row r="1670" spans="1:11" ht="17" x14ac:dyDescent="0.2">
      <c r="A1670" t="s">
        <v>1089</v>
      </c>
      <c r="B1670" s="1" t="s">
        <v>1090</v>
      </c>
      <c r="C1670" t="s">
        <v>1091</v>
      </c>
      <c r="D1670" s="1" t="s">
        <v>1092</v>
      </c>
      <c r="E1670" t="b">
        <v>0</v>
      </c>
      <c r="F1670">
        <v>386</v>
      </c>
      <c r="G1670">
        <v>407</v>
      </c>
      <c r="H1670" t="s">
        <v>641</v>
      </c>
      <c r="I1670" t="b">
        <v>0</v>
      </c>
      <c r="J1670" cm="1">
        <f t="array" ref="J1670">sentimentCalc(B1670)</f>
        <v>0</v>
      </c>
      <c r="K1670" t="str" cm="1">
        <f t="array" ref="K1670">sentimentCategory(J1670)</f>
        <v>Neutral</v>
      </c>
    </row>
    <row r="1671" spans="1:11" ht="34" x14ac:dyDescent="0.2">
      <c r="A1671" t="s">
        <v>5036</v>
      </c>
      <c r="B1671" s="1" t="s">
        <v>5037</v>
      </c>
      <c r="C1671" t="s">
        <v>167</v>
      </c>
      <c r="D1671" s="1" t="s">
        <v>640</v>
      </c>
      <c r="E1671" t="b">
        <v>0</v>
      </c>
      <c r="F1671">
        <v>3259</v>
      </c>
      <c r="G1671">
        <v>2</v>
      </c>
      <c r="H1671" t="s">
        <v>641</v>
      </c>
      <c r="I1671" t="b">
        <v>0</v>
      </c>
      <c r="J1671" cm="1">
        <f t="array" ref="J1671">sentimentCalc(B1671)</f>
        <v>-1</v>
      </c>
      <c r="K1671" t="str" cm="1">
        <f t="array" ref="K1671">sentimentCategory(J1671)</f>
        <v>Negative</v>
      </c>
    </row>
    <row r="1672" spans="1:11" ht="17" x14ac:dyDescent="0.2">
      <c r="A1672" t="s">
        <v>4393</v>
      </c>
      <c r="B1672" s="1" t="s">
        <v>4394</v>
      </c>
      <c r="C1672" t="s">
        <v>4395</v>
      </c>
      <c r="D1672" s="1" t="s">
        <v>2</v>
      </c>
      <c r="E1672" t="b">
        <v>0</v>
      </c>
      <c r="F1672">
        <v>25</v>
      </c>
      <c r="G1672">
        <v>222</v>
      </c>
      <c r="H1672" t="s">
        <v>83</v>
      </c>
      <c r="I1672" t="b">
        <v>0</v>
      </c>
      <c r="J1672" cm="1">
        <f t="array" ref="J1672">sentimentCalc(B1672)</f>
        <v>0</v>
      </c>
      <c r="K1672" t="str" cm="1">
        <f t="array" ref="K1672">sentimentCategory(J1672)</f>
        <v>Neutral</v>
      </c>
    </row>
    <row r="1673" spans="1:11" ht="34" x14ac:dyDescent="0.2">
      <c r="A1673" t="s">
        <v>638</v>
      </c>
      <c r="B1673" s="1" t="s">
        <v>639</v>
      </c>
      <c r="C1673" t="s">
        <v>167</v>
      </c>
      <c r="D1673" s="1" t="s">
        <v>640</v>
      </c>
      <c r="E1673" t="b">
        <v>0</v>
      </c>
      <c r="F1673">
        <v>3259</v>
      </c>
      <c r="G1673">
        <v>2</v>
      </c>
      <c r="H1673" t="s">
        <v>641</v>
      </c>
      <c r="I1673" t="b">
        <v>0</v>
      </c>
      <c r="J1673" cm="1">
        <f t="array" ref="J1673">sentimentCalc(B1673)</f>
        <v>1</v>
      </c>
      <c r="K1673" t="str" cm="1">
        <f t="array" ref="K1673">sentimentCategory(J1673)</f>
        <v>Positive</v>
      </c>
    </row>
    <row r="1674" spans="1:11" ht="34" x14ac:dyDescent="0.2">
      <c r="A1674" t="s">
        <v>6475</v>
      </c>
      <c r="B1674" s="1" t="s">
        <v>6476</v>
      </c>
      <c r="C1674" t="s">
        <v>167</v>
      </c>
      <c r="D1674" s="1" t="s">
        <v>640</v>
      </c>
      <c r="E1674" t="b">
        <v>0</v>
      </c>
      <c r="F1674">
        <v>3258</v>
      </c>
      <c r="G1674">
        <v>2</v>
      </c>
      <c r="H1674" t="s">
        <v>641</v>
      </c>
      <c r="I1674" t="b">
        <v>0</v>
      </c>
      <c r="J1674" cm="1">
        <f t="array" ref="J1674">sentimentCalc(B1674)</f>
        <v>1</v>
      </c>
      <c r="K1674" t="str" cm="1">
        <f t="array" ref="K1674">sentimentCategory(J1674)</f>
        <v>Positive</v>
      </c>
    </row>
    <row r="1675" spans="1:11" ht="34" x14ac:dyDescent="0.2">
      <c r="A1675" t="s">
        <v>209</v>
      </c>
      <c r="B1675" s="1" t="s">
        <v>210</v>
      </c>
      <c r="C1675" t="s">
        <v>211</v>
      </c>
      <c r="D1675" s="1" t="s">
        <v>212</v>
      </c>
      <c r="E1675" t="b">
        <v>0</v>
      </c>
      <c r="F1675">
        <v>1315</v>
      </c>
      <c r="G1675">
        <v>541</v>
      </c>
      <c r="H1675" t="s">
        <v>11</v>
      </c>
      <c r="I1675" t="b">
        <v>0</v>
      </c>
      <c r="J1675" cm="1">
        <f t="array" ref="J1675">sentimentCalc(B1675)</f>
        <v>1</v>
      </c>
      <c r="K1675" t="str" cm="1">
        <f t="array" ref="K1675">sentimentCategory(J1675)</f>
        <v>Positive</v>
      </c>
    </row>
    <row r="1676" spans="1:11" ht="17" x14ac:dyDescent="0.2">
      <c r="A1676" t="s">
        <v>6659</v>
      </c>
      <c r="B1676" s="1" t="s">
        <v>6660</v>
      </c>
      <c r="C1676" t="s">
        <v>425</v>
      </c>
      <c r="D1676" s="1" t="s">
        <v>2</v>
      </c>
      <c r="E1676" t="b">
        <v>0</v>
      </c>
      <c r="F1676">
        <v>19</v>
      </c>
      <c r="G1676">
        <v>277</v>
      </c>
      <c r="H1676" t="s">
        <v>11</v>
      </c>
      <c r="I1676" t="b">
        <v>0</v>
      </c>
      <c r="J1676" cm="1">
        <f t="array" ref="J1676">sentimentCalc(B1676)</f>
        <v>0</v>
      </c>
      <c r="K1676" t="str" cm="1">
        <f t="array" ref="K1676">sentimentCategory(J1676)</f>
        <v>Neutral</v>
      </c>
    </row>
    <row r="1677" spans="1:11" ht="17" x14ac:dyDescent="0.2">
      <c r="A1677" t="s">
        <v>4404</v>
      </c>
      <c r="B1677" s="1" t="s">
        <v>4405</v>
      </c>
      <c r="C1677" t="s">
        <v>2573</v>
      </c>
      <c r="D1677" s="1" t="s">
        <v>4406</v>
      </c>
      <c r="E1677" t="b">
        <v>0</v>
      </c>
      <c r="F1677">
        <v>3975</v>
      </c>
      <c r="G1677">
        <v>877</v>
      </c>
      <c r="H1677" t="s">
        <v>11</v>
      </c>
      <c r="I1677" t="b">
        <v>0</v>
      </c>
      <c r="J1677" cm="1">
        <f t="array" ref="J1677">sentimentCalc(B1677)</f>
        <v>0</v>
      </c>
      <c r="K1677" t="str" cm="1">
        <f t="array" ref="K1677">sentimentCategory(J1677)</f>
        <v>Neutral</v>
      </c>
    </row>
    <row r="1678" spans="1:11" ht="17" x14ac:dyDescent="0.2">
      <c r="A1678" t="s">
        <v>5538</v>
      </c>
      <c r="B1678" s="1" t="s">
        <v>5539</v>
      </c>
      <c r="C1678" t="s">
        <v>2061</v>
      </c>
      <c r="D1678" s="1" t="s">
        <v>2</v>
      </c>
      <c r="E1678" t="b">
        <v>0</v>
      </c>
      <c r="F1678">
        <v>3518</v>
      </c>
      <c r="G1678">
        <v>990</v>
      </c>
      <c r="H1678" t="s">
        <v>11</v>
      </c>
      <c r="I1678" t="b">
        <v>0</v>
      </c>
      <c r="J1678" cm="1">
        <f t="array" ref="J1678">sentimentCalc(B1678)</f>
        <v>1</v>
      </c>
      <c r="K1678" t="str" cm="1">
        <f t="array" ref="K1678">sentimentCategory(J1678)</f>
        <v>Positive</v>
      </c>
    </row>
    <row r="1679" spans="1:11" ht="17" x14ac:dyDescent="0.2">
      <c r="A1679" t="s">
        <v>5921</v>
      </c>
      <c r="B1679" s="1" t="s">
        <v>5922</v>
      </c>
      <c r="C1679" t="s">
        <v>289</v>
      </c>
      <c r="D1679" s="1" t="s">
        <v>5923</v>
      </c>
      <c r="E1679" t="b">
        <v>0</v>
      </c>
      <c r="F1679">
        <v>248</v>
      </c>
      <c r="G1679">
        <v>48</v>
      </c>
      <c r="H1679" t="s">
        <v>11</v>
      </c>
      <c r="I1679" t="b">
        <v>0</v>
      </c>
      <c r="J1679" cm="1">
        <f t="array" ref="J1679">sentimentCalc(B1679)</f>
        <v>0</v>
      </c>
      <c r="K1679" t="str" cm="1">
        <f t="array" ref="K1679">sentimentCategory(J1679)</f>
        <v>Neutral</v>
      </c>
    </row>
    <row r="1680" spans="1:11" ht="34" x14ac:dyDescent="0.2">
      <c r="A1680" t="s">
        <v>5742</v>
      </c>
      <c r="B1680" s="1" t="s">
        <v>5743</v>
      </c>
      <c r="C1680" t="s">
        <v>1681</v>
      </c>
      <c r="D1680" s="1" t="s">
        <v>5744</v>
      </c>
      <c r="E1680" t="b">
        <v>0</v>
      </c>
      <c r="F1680">
        <v>175</v>
      </c>
      <c r="G1680">
        <v>296</v>
      </c>
      <c r="H1680" t="s">
        <v>11</v>
      </c>
      <c r="I1680" t="b">
        <v>0</v>
      </c>
      <c r="J1680" cm="1">
        <f t="array" ref="J1680">sentimentCalc(B1680)</f>
        <v>0</v>
      </c>
      <c r="K1680" t="str" cm="1">
        <f t="array" ref="K1680">sentimentCategory(J1680)</f>
        <v>Neutral</v>
      </c>
    </row>
    <row r="1681" spans="1:11" ht="34" x14ac:dyDescent="0.2">
      <c r="A1681" t="s">
        <v>1393</v>
      </c>
      <c r="B1681" s="1" t="s">
        <v>1394</v>
      </c>
      <c r="C1681" t="s">
        <v>941</v>
      </c>
      <c r="D1681" s="1" t="s">
        <v>1395</v>
      </c>
      <c r="E1681" t="b">
        <v>0</v>
      </c>
      <c r="F1681">
        <v>373</v>
      </c>
      <c r="G1681">
        <v>73</v>
      </c>
      <c r="H1681" t="s">
        <v>11</v>
      </c>
      <c r="I1681" t="b">
        <v>0</v>
      </c>
      <c r="J1681" cm="1">
        <f t="array" ref="J1681">sentimentCalc(B1681)</f>
        <v>0</v>
      </c>
      <c r="K1681" t="str" cm="1">
        <f t="array" ref="K1681">sentimentCategory(J1681)</f>
        <v>Neutral</v>
      </c>
    </row>
    <row r="1682" spans="1:11" ht="34" x14ac:dyDescent="0.2">
      <c r="A1682" t="s">
        <v>6148</v>
      </c>
      <c r="B1682" s="1" t="s">
        <v>6149</v>
      </c>
      <c r="C1682" t="s">
        <v>5475</v>
      </c>
      <c r="D1682" s="1" t="s">
        <v>6150</v>
      </c>
      <c r="E1682" t="b">
        <v>0</v>
      </c>
      <c r="F1682">
        <v>283</v>
      </c>
      <c r="G1682">
        <v>181</v>
      </c>
      <c r="H1682" t="s">
        <v>11</v>
      </c>
      <c r="I1682" t="b">
        <v>0</v>
      </c>
      <c r="J1682" cm="1">
        <f t="array" ref="J1682">sentimentCalc(B1682)</f>
        <v>0</v>
      </c>
      <c r="K1682" t="str" cm="1">
        <f t="array" ref="K1682">sentimentCategory(J1682)</f>
        <v>Neutral</v>
      </c>
    </row>
    <row r="1683" spans="1:11" ht="17" x14ac:dyDescent="0.2">
      <c r="A1683" t="s">
        <v>3750</v>
      </c>
      <c r="B1683" s="1" t="s">
        <v>3751</v>
      </c>
      <c r="C1683" t="s">
        <v>3444</v>
      </c>
      <c r="D1683" s="1" t="s">
        <v>3752</v>
      </c>
      <c r="E1683" t="b">
        <v>0</v>
      </c>
      <c r="F1683">
        <v>16</v>
      </c>
      <c r="G1683">
        <v>100</v>
      </c>
      <c r="H1683" t="s">
        <v>11</v>
      </c>
      <c r="I1683" t="b">
        <v>0</v>
      </c>
      <c r="J1683" cm="1">
        <f t="array" ref="J1683">sentimentCalc(B1683)</f>
        <v>0</v>
      </c>
      <c r="K1683" t="str" cm="1">
        <f t="array" ref="K1683">sentimentCategory(J1683)</f>
        <v>Neutral</v>
      </c>
    </row>
    <row r="1684" spans="1:11" ht="17" x14ac:dyDescent="0.2">
      <c r="A1684" t="s">
        <v>3067</v>
      </c>
      <c r="B1684" s="1" t="s">
        <v>3068</v>
      </c>
      <c r="C1684" t="s">
        <v>3069</v>
      </c>
      <c r="D1684" s="1" t="s">
        <v>2</v>
      </c>
      <c r="E1684" t="b">
        <v>0</v>
      </c>
      <c r="F1684">
        <v>121</v>
      </c>
      <c r="G1684">
        <v>119</v>
      </c>
      <c r="H1684" t="s">
        <v>11</v>
      </c>
      <c r="I1684" t="b">
        <v>0</v>
      </c>
      <c r="J1684" cm="1">
        <f t="array" ref="J1684">sentimentCalc(B1684)</f>
        <v>0</v>
      </c>
      <c r="K1684" t="str" cm="1">
        <f t="array" ref="K1684">sentimentCategory(J1684)</f>
        <v>Neutral</v>
      </c>
    </row>
    <row r="1685" spans="1:11" ht="17" x14ac:dyDescent="0.2">
      <c r="A1685" t="s">
        <v>4008</v>
      </c>
      <c r="B1685" s="1" t="s">
        <v>4009</v>
      </c>
      <c r="C1685" t="s">
        <v>4010</v>
      </c>
      <c r="D1685" s="1" t="s">
        <v>2</v>
      </c>
      <c r="E1685" t="b">
        <v>0</v>
      </c>
      <c r="F1685">
        <v>72</v>
      </c>
      <c r="G1685">
        <v>239</v>
      </c>
      <c r="H1685" t="s">
        <v>11</v>
      </c>
      <c r="I1685" t="b">
        <v>0</v>
      </c>
      <c r="J1685" cm="1">
        <f t="array" ref="J1685">sentimentCalc(B1685)</f>
        <v>0</v>
      </c>
      <c r="K1685" t="str" cm="1">
        <f t="array" ref="K1685">sentimentCategory(J1685)</f>
        <v>Neutral</v>
      </c>
    </row>
    <row r="1686" spans="1:11" ht="17" x14ac:dyDescent="0.2">
      <c r="A1686" t="s">
        <v>2100</v>
      </c>
      <c r="B1686" s="1" t="s">
        <v>2101</v>
      </c>
      <c r="C1686" t="s">
        <v>2102</v>
      </c>
      <c r="D1686" s="1" t="s">
        <v>928</v>
      </c>
      <c r="E1686" t="b">
        <v>0</v>
      </c>
      <c r="F1686">
        <v>26</v>
      </c>
      <c r="G1686">
        <v>167</v>
      </c>
      <c r="H1686" t="s">
        <v>11</v>
      </c>
      <c r="I1686" t="b">
        <v>0</v>
      </c>
      <c r="J1686" cm="1">
        <f t="array" ref="J1686">sentimentCalc(B1686)</f>
        <v>0</v>
      </c>
      <c r="K1686" t="str" cm="1">
        <f t="array" ref="K1686">sentimentCategory(J1686)</f>
        <v>Neutral</v>
      </c>
    </row>
    <row r="1687" spans="1:11" ht="34" x14ac:dyDescent="0.2">
      <c r="A1687" t="s">
        <v>6836</v>
      </c>
      <c r="B1687" s="1" t="s">
        <v>6837</v>
      </c>
      <c r="C1687" t="s">
        <v>1405</v>
      </c>
      <c r="D1687" s="1" t="s">
        <v>2</v>
      </c>
      <c r="E1687" t="b">
        <v>0</v>
      </c>
      <c r="F1687">
        <v>2</v>
      </c>
      <c r="G1687">
        <v>23</v>
      </c>
      <c r="H1687" t="s">
        <v>11</v>
      </c>
      <c r="I1687" t="b">
        <v>0</v>
      </c>
      <c r="J1687" cm="1">
        <f t="array" ref="J1687">sentimentCalc(B1687)</f>
        <v>1</v>
      </c>
      <c r="K1687" t="str" cm="1">
        <f t="array" ref="K1687">sentimentCategory(J1687)</f>
        <v>Positive</v>
      </c>
    </row>
    <row r="1688" spans="1:11" ht="34" x14ac:dyDescent="0.2">
      <c r="A1688" t="s">
        <v>4428</v>
      </c>
      <c r="B1688" s="1" t="s">
        <v>4429</v>
      </c>
      <c r="C1688" t="s">
        <v>4430</v>
      </c>
      <c r="D1688" s="1" t="s">
        <v>4431</v>
      </c>
      <c r="E1688" t="b">
        <v>0</v>
      </c>
      <c r="F1688">
        <v>4</v>
      </c>
      <c r="G1688">
        <v>51</v>
      </c>
      <c r="H1688" t="s">
        <v>11</v>
      </c>
      <c r="I1688" t="b">
        <v>0</v>
      </c>
      <c r="J1688" cm="1">
        <f t="array" ref="J1688">sentimentCalc(B1688)</f>
        <v>0</v>
      </c>
      <c r="K1688" t="str" cm="1">
        <f t="array" ref="K1688">sentimentCategory(J1688)</f>
        <v>Neutral</v>
      </c>
    </row>
    <row r="1689" spans="1:11" ht="34" x14ac:dyDescent="0.2">
      <c r="A1689" t="s">
        <v>6362</v>
      </c>
      <c r="B1689" s="1" t="s">
        <v>6363</v>
      </c>
      <c r="C1689" t="s">
        <v>22</v>
      </c>
      <c r="D1689" s="1" t="s">
        <v>1736</v>
      </c>
      <c r="E1689" t="b">
        <v>0</v>
      </c>
      <c r="F1689">
        <v>312</v>
      </c>
      <c r="G1689">
        <v>498</v>
      </c>
      <c r="H1689" t="s">
        <v>11</v>
      </c>
      <c r="I1689" t="b">
        <v>0</v>
      </c>
      <c r="J1689" cm="1">
        <f t="array" ref="J1689">sentimentCalc(B1689)</f>
        <v>1</v>
      </c>
      <c r="K1689" t="str" cm="1">
        <f t="array" ref="K1689">sentimentCategory(J1689)</f>
        <v>Positive</v>
      </c>
    </row>
    <row r="1690" spans="1:11" ht="34" x14ac:dyDescent="0.2">
      <c r="A1690" t="s">
        <v>2783</v>
      </c>
      <c r="B1690" s="1" t="s">
        <v>2784</v>
      </c>
      <c r="C1690" t="s">
        <v>2785</v>
      </c>
      <c r="D1690" s="1" t="s">
        <v>2276</v>
      </c>
      <c r="E1690" t="b">
        <v>0</v>
      </c>
      <c r="F1690">
        <v>4817</v>
      </c>
      <c r="G1690">
        <v>936</v>
      </c>
      <c r="H1690" t="s">
        <v>11</v>
      </c>
      <c r="I1690" t="b">
        <v>0</v>
      </c>
      <c r="J1690" cm="1">
        <f t="array" ref="J1690">sentimentCalc(B1690)</f>
        <v>1</v>
      </c>
      <c r="K1690" t="str" cm="1">
        <f t="array" ref="K1690">sentimentCategory(J1690)</f>
        <v>Positive</v>
      </c>
    </row>
    <row r="1691" spans="1:11" ht="17" x14ac:dyDescent="0.2">
      <c r="A1691" t="s">
        <v>4050</v>
      </c>
      <c r="B1691" s="1" t="s">
        <v>4051</v>
      </c>
      <c r="C1691" t="s">
        <v>4052</v>
      </c>
      <c r="D1691" s="1" t="s">
        <v>2</v>
      </c>
      <c r="E1691" t="b">
        <v>0</v>
      </c>
      <c r="F1691">
        <v>127</v>
      </c>
      <c r="G1691">
        <v>284</v>
      </c>
      <c r="H1691" t="s">
        <v>11</v>
      </c>
      <c r="I1691" t="b">
        <v>0</v>
      </c>
      <c r="J1691" cm="1">
        <f t="array" ref="J1691">sentimentCalc(B1691)</f>
        <v>0</v>
      </c>
      <c r="K1691" t="str" cm="1">
        <f t="array" ref="K1691">sentimentCategory(J1691)</f>
        <v>Neutral</v>
      </c>
    </row>
    <row r="1692" spans="1:11" ht="17" x14ac:dyDescent="0.2">
      <c r="A1692" t="s">
        <v>3146</v>
      </c>
      <c r="B1692" s="1" t="s">
        <v>3147</v>
      </c>
      <c r="C1692" t="s">
        <v>332</v>
      </c>
      <c r="D1692" s="1" t="s">
        <v>971</v>
      </c>
      <c r="E1692" t="b">
        <v>0</v>
      </c>
      <c r="F1692">
        <v>300</v>
      </c>
      <c r="G1692">
        <v>681</v>
      </c>
      <c r="H1692" t="s">
        <v>47</v>
      </c>
      <c r="I1692" t="b">
        <v>0</v>
      </c>
      <c r="J1692" cm="1">
        <f t="array" ref="J1692">sentimentCalc(B1692)</f>
        <v>0</v>
      </c>
      <c r="K1692" t="str" cm="1">
        <f t="array" ref="K1692">sentimentCategory(J1692)</f>
        <v>Neutral</v>
      </c>
    </row>
    <row r="1693" spans="1:11" ht="17" x14ac:dyDescent="0.2">
      <c r="A1693" t="s">
        <v>4148</v>
      </c>
      <c r="B1693" s="1" t="s">
        <v>4149</v>
      </c>
      <c r="C1693" t="s">
        <v>289</v>
      </c>
      <c r="D1693" s="1" t="s">
        <v>2</v>
      </c>
      <c r="E1693" t="b">
        <v>0</v>
      </c>
      <c r="F1693">
        <v>3634</v>
      </c>
      <c r="G1693">
        <v>3732</v>
      </c>
      <c r="H1693" t="s">
        <v>11</v>
      </c>
      <c r="I1693" t="b">
        <v>0</v>
      </c>
      <c r="J1693" cm="1">
        <f t="array" ref="J1693">sentimentCalc(B1693)</f>
        <v>0</v>
      </c>
      <c r="K1693" t="str" cm="1">
        <f t="array" ref="K1693">sentimentCategory(J1693)</f>
        <v>Neutral</v>
      </c>
    </row>
    <row r="1694" spans="1:11" ht="34" x14ac:dyDescent="0.2">
      <c r="A1694" t="s">
        <v>6838</v>
      </c>
      <c r="B1694" s="1" t="s">
        <v>6839</v>
      </c>
      <c r="C1694" t="s">
        <v>3665</v>
      </c>
      <c r="D1694" s="1" t="s">
        <v>6840</v>
      </c>
      <c r="E1694" t="b">
        <v>0</v>
      </c>
      <c r="F1694">
        <v>872</v>
      </c>
      <c r="G1694">
        <v>542</v>
      </c>
      <c r="H1694" t="s">
        <v>11</v>
      </c>
      <c r="I1694" t="b">
        <v>0</v>
      </c>
      <c r="J1694" cm="1">
        <f t="array" ref="J1694">sentimentCalc(B1694)</f>
        <v>0</v>
      </c>
      <c r="K1694" t="str" cm="1">
        <f t="array" ref="K1694">sentimentCategory(J1694)</f>
        <v>Neutral</v>
      </c>
    </row>
    <row r="1695" spans="1:11" ht="34" x14ac:dyDescent="0.2">
      <c r="A1695" t="s">
        <v>3564</v>
      </c>
      <c r="B1695" s="1" t="s">
        <v>3565</v>
      </c>
      <c r="C1695" t="s">
        <v>3566</v>
      </c>
      <c r="D1695" s="1" t="s">
        <v>3567</v>
      </c>
      <c r="E1695" t="b">
        <v>0</v>
      </c>
      <c r="F1695">
        <v>639</v>
      </c>
      <c r="G1695">
        <v>181</v>
      </c>
      <c r="H1695" t="s">
        <v>11</v>
      </c>
      <c r="I1695" t="b">
        <v>0</v>
      </c>
      <c r="J1695" cm="1">
        <f t="array" ref="J1695">sentimentCalc(B1695)</f>
        <v>0</v>
      </c>
      <c r="K1695" t="str" cm="1">
        <f t="array" ref="K1695">sentimentCategory(J1695)</f>
        <v>Neutral</v>
      </c>
    </row>
    <row r="1696" spans="1:11" ht="17" x14ac:dyDescent="0.2">
      <c r="A1696" t="s">
        <v>119</v>
      </c>
      <c r="B1696" s="1" t="s">
        <v>120</v>
      </c>
      <c r="C1696" t="s">
        <v>121</v>
      </c>
      <c r="D1696" s="1" t="s">
        <v>2</v>
      </c>
      <c r="E1696" t="b">
        <v>0</v>
      </c>
      <c r="F1696">
        <v>218</v>
      </c>
      <c r="G1696">
        <v>126</v>
      </c>
      <c r="H1696" t="s">
        <v>122</v>
      </c>
      <c r="I1696" t="b">
        <v>0</v>
      </c>
      <c r="J1696" cm="1">
        <f t="array" ref="J1696">sentimentCalc(B1696)</f>
        <v>0</v>
      </c>
      <c r="K1696" t="str" cm="1">
        <f t="array" ref="K1696">sentimentCategory(J1696)</f>
        <v>Neutral</v>
      </c>
    </row>
    <row r="1697" spans="1:11" ht="17" x14ac:dyDescent="0.2">
      <c r="A1697" t="s">
        <v>5616</v>
      </c>
      <c r="B1697" s="1" t="s">
        <v>5617</v>
      </c>
      <c r="C1697" t="s">
        <v>5618</v>
      </c>
      <c r="D1697" s="1" t="s">
        <v>2</v>
      </c>
      <c r="E1697" t="b">
        <v>0</v>
      </c>
      <c r="F1697">
        <v>204</v>
      </c>
      <c r="G1697">
        <v>137</v>
      </c>
      <c r="H1697" t="s">
        <v>11</v>
      </c>
      <c r="I1697" t="b">
        <v>0</v>
      </c>
      <c r="J1697" cm="1">
        <f t="array" ref="J1697">sentimentCalc(B1697)</f>
        <v>0</v>
      </c>
      <c r="K1697" t="str" cm="1">
        <f t="array" ref="K1697">sentimentCategory(J1697)</f>
        <v>Neutral</v>
      </c>
    </row>
    <row r="1698" spans="1:11" ht="17" x14ac:dyDescent="0.2">
      <c r="A1698" t="s">
        <v>3593</v>
      </c>
      <c r="B1698" s="1" t="s">
        <v>3594</v>
      </c>
      <c r="C1698" t="s">
        <v>289</v>
      </c>
      <c r="D1698" s="1" t="s">
        <v>2</v>
      </c>
      <c r="E1698" t="b">
        <v>0</v>
      </c>
      <c r="F1698">
        <v>3634</v>
      </c>
      <c r="G1698">
        <v>3732</v>
      </c>
      <c r="H1698" t="s">
        <v>11</v>
      </c>
      <c r="I1698" t="b">
        <v>0</v>
      </c>
      <c r="J1698" cm="1">
        <f t="array" ref="J1698">sentimentCalc(B1698)</f>
        <v>0</v>
      </c>
      <c r="K1698" t="str" cm="1">
        <f t="array" ref="K1698">sentimentCategory(J1698)</f>
        <v>Neutral</v>
      </c>
    </row>
    <row r="1699" spans="1:11" ht="17" x14ac:dyDescent="0.2">
      <c r="A1699" t="s">
        <v>5726</v>
      </c>
      <c r="B1699" s="1" t="s">
        <v>5727</v>
      </c>
      <c r="C1699" t="s">
        <v>4452</v>
      </c>
      <c r="D1699" s="1" t="s">
        <v>399</v>
      </c>
      <c r="E1699" t="b">
        <v>0</v>
      </c>
      <c r="F1699">
        <v>2878</v>
      </c>
      <c r="G1699">
        <v>4986</v>
      </c>
      <c r="H1699" t="s">
        <v>11</v>
      </c>
      <c r="I1699" t="b">
        <v>0</v>
      </c>
      <c r="J1699" cm="1">
        <f t="array" ref="J1699">sentimentCalc(B1699)</f>
        <v>0</v>
      </c>
      <c r="K1699" t="str" cm="1">
        <f t="array" ref="K1699">sentimentCategory(J1699)</f>
        <v>Neutral</v>
      </c>
    </row>
    <row r="1700" spans="1:11" ht="34" x14ac:dyDescent="0.2">
      <c r="A1700" t="s">
        <v>2793</v>
      </c>
      <c r="B1700" s="1" t="s">
        <v>2794</v>
      </c>
      <c r="C1700" t="s">
        <v>260</v>
      </c>
      <c r="D1700" s="1" t="s">
        <v>2</v>
      </c>
      <c r="E1700" t="b">
        <v>0</v>
      </c>
      <c r="F1700">
        <v>41</v>
      </c>
      <c r="G1700">
        <v>34</v>
      </c>
      <c r="H1700" t="s">
        <v>11</v>
      </c>
      <c r="I1700" t="b">
        <v>0</v>
      </c>
      <c r="J1700" cm="1">
        <f t="array" ref="J1700">sentimentCalc(B1700)</f>
        <v>1</v>
      </c>
      <c r="K1700" t="str" cm="1">
        <f t="array" ref="K1700">sentimentCategory(J1700)</f>
        <v>Positive</v>
      </c>
    </row>
    <row r="1701" spans="1:11" ht="34" x14ac:dyDescent="0.2">
      <c r="A1701" t="s">
        <v>115</v>
      </c>
      <c r="B1701" s="1" t="s">
        <v>116</v>
      </c>
      <c r="C1701" t="s">
        <v>117</v>
      </c>
      <c r="D1701" s="1" t="s">
        <v>118</v>
      </c>
      <c r="E1701" t="b">
        <v>0</v>
      </c>
      <c r="F1701">
        <v>1032</v>
      </c>
      <c r="G1701">
        <v>981</v>
      </c>
      <c r="H1701" t="s">
        <v>11</v>
      </c>
      <c r="I1701" t="b">
        <v>0</v>
      </c>
      <c r="J1701" cm="1">
        <f t="array" ref="J1701">sentimentCalc(B1701)</f>
        <v>-1</v>
      </c>
      <c r="K1701" t="str" cm="1">
        <f t="array" ref="K1701">sentimentCategory(J1701)</f>
        <v>Negative</v>
      </c>
    </row>
    <row r="1702" spans="1:11" ht="17" x14ac:dyDescent="0.2">
      <c r="A1702" t="s">
        <v>6858</v>
      </c>
      <c r="B1702" s="1" t="s">
        <v>6859</v>
      </c>
      <c r="C1702" t="s">
        <v>5926</v>
      </c>
      <c r="D1702" s="1" t="s">
        <v>6860</v>
      </c>
      <c r="E1702" t="b">
        <v>0</v>
      </c>
      <c r="F1702">
        <v>8594</v>
      </c>
      <c r="G1702">
        <v>5249</v>
      </c>
      <c r="H1702" t="s">
        <v>11</v>
      </c>
      <c r="I1702" t="b">
        <v>0</v>
      </c>
      <c r="J1702" cm="1">
        <f t="array" ref="J1702">sentimentCalc(B1702)</f>
        <v>1</v>
      </c>
      <c r="K1702" t="str" cm="1">
        <f t="array" ref="K1702">sentimentCategory(J1702)</f>
        <v>Positive</v>
      </c>
    </row>
    <row r="1703" spans="1:11" ht="17" x14ac:dyDescent="0.2">
      <c r="A1703" t="s">
        <v>5106</v>
      </c>
      <c r="B1703" s="1" t="s">
        <v>5107</v>
      </c>
      <c r="C1703" t="s">
        <v>557</v>
      </c>
      <c r="D1703" s="1" t="s">
        <v>2</v>
      </c>
      <c r="E1703" t="b">
        <v>0</v>
      </c>
      <c r="F1703">
        <v>4</v>
      </c>
      <c r="G1703">
        <v>37</v>
      </c>
      <c r="H1703" t="s">
        <v>11</v>
      </c>
      <c r="I1703" t="b">
        <v>0</v>
      </c>
      <c r="J1703" cm="1">
        <f t="array" ref="J1703">sentimentCalc(B1703)</f>
        <v>0</v>
      </c>
      <c r="K1703" t="str" cm="1">
        <f t="array" ref="K1703">sentimentCategory(J1703)</f>
        <v>Neutral</v>
      </c>
    </row>
    <row r="1704" spans="1:11" ht="34" x14ac:dyDescent="0.2">
      <c r="A1704" t="s">
        <v>6874</v>
      </c>
      <c r="B1704" s="1" t="s">
        <v>6875</v>
      </c>
      <c r="C1704" t="s">
        <v>3848</v>
      </c>
      <c r="D1704" s="1" t="s">
        <v>6876</v>
      </c>
      <c r="E1704" t="b">
        <v>0</v>
      </c>
      <c r="F1704">
        <v>26</v>
      </c>
      <c r="G1704">
        <v>36</v>
      </c>
      <c r="H1704" t="s">
        <v>11</v>
      </c>
      <c r="I1704" t="b">
        <v>0</v>
      </c>
      <c r="J1704" cm="1">
        <f t="array" ref="J1704">sentimentCalc(B1704)</f>
        <v>0</v>
      </c>
      <c r="K1704" t="str" cm="1">
        <f t="array" ref="K1704">sentimentCategory(J1704)</f>
        <v>Neutral</v>
      </c>
    </row>
    <row r="1705" spans="1:11" ht="17" x14ac:dyDescent="0.2">
      <c r="A1705" t="s">
        <v>6114</v>
      </c>
      <c r="B1705" s="1" t="s">
        <v>6115</v>
      </c>
      <c r="C1705" t="s">
        <v>5414</v>
      </c>
      <c r="D1705" s="1" t="s">
        <v>322</v>
      </c>
      <c r="E1705" t="b">
        <v>0</v>
      </c>
      <c r="F1705">
        <v>1123</v>
      </c>
      <c r="G1705">
        <v>902</v>
      </c>
      <c r="H1705" t="s">
        <v>11</v>
      </c>
      <c r="I1705" t="b">
        <v>0</v>
      </c>
      <c r="J1705" cm="1">
        <f t="array" ref="J1705">sentimentCalc(B1705)</f>
        <v>1</v>
      </c>
      <c r="K1705" t="str" cm="1">
        <f t="array" ref="K1705">sentimentCategory(J1705)</f>
        <v>Positive</v>
      </c>
    </row>
    <row r="1706" spans="1:11" ht="17" x14ac:dyDescent="0.2">
      <c r="A1706" t="s">
        <v>1168</v>
      </c>
      <c r="B1706" s="1" t="s">
        <v>1169</v>
      </c>
      <c r="C1706" t="s">
        <v>1170</v>
      </c>
      <c r="D1706" s="1" t="s">
        <v>87</v>
      </c>
      <c r="E1706" t="b">
        <v>0</v>
      </c>
      <c r="F1706">
        <v>1427</v>
      </c>
      <c r="G1706">
        <v>649</v>
      </c>
      <c r="H1706" t="s">
        <v>11</v>
      </c>
      <c r="I1706" t="b">
        <v>0</v>
      </c>
      <c r="J1706" cm="1">
        <f t="array" ref="J1706">sentimentCalc(B1706)</f>
        <v>0</v>
      </c>
      <c r="K1706" t="str" cm="1">
        <f t="array" ref="K1706">sentimentCategory(J1706)</f>
        <v>Neutral</v>
      </c>
    </row>
    <row r="1707" spans="1:11" ht="17" x14ac:dyDescent="0.2">
      <c r="A1707" t="s">
        <v>4470</v>
      </c>
      <c r="B1707" s="1" t="s">
        <v>4471</v>
      </c>
      <c r="C1707" t="s">
        <v>319</v>
      </c>
      <c r="D1707" s="1" t="s">
        <v>2</v>
      </c>
      <c r="E1707" t="b">
        <v>0</v>
      </c>
      <c r="F1707">
        <v>5</v>
      </c>
      <c r="G1707">
        <v>9</v>
      </c>
      <c r="H1707" t="s">
        <v>11</v>
      </c>
      <c r="I1707" t="b">
        <v>0</v>
      </c>
      <c r="J1707" cm="1">
        <f t="array" ref="J1707">sentimentCalc(B1707)</f>
        <v>0</v>
      </c>
      <c r="K1707" t="str" cm="1">
        <f t="array" ref="K1707">sentimentCategory(J1707)</f>
        <v>Neutral</v>
      </c>
    </row>
    <row r="1708" spans="1:11" ht="34" x14ac:dyDescent="0.2">
      <c r="A1708" t="s">
        <v>761</v>
      </c>
      <c r="B1708" s="1" t="s">
        <v>762</v>
      </c>
      <c r="C1708" t="s">
        <v>763</v>
      </c>
      <c r="D1708" s="1" t="s">
        <v>740</v>
      </c>
      <c r="E1708" t="b">
        <v>0</v>
      </c>
      <c r="F1708">
        <v>56</v>
      </c>
      <c r="G1708">
        <v>272</v>
      </c>
      <c r="H1708" t="s">
        <v>11</v>
      </c>
      <c r="I1708" t="b">
        <v>0</v>
      </c>
      <c r="J1708" cm="1">
        <f t="array" ref="J1708">sentimentCalc(B1708)</f>
        <v>0</v>
      </c>
      <c r="K1708" t="str" cm="1">
        <f t="array" ref="K1708">sentimentCategory(J1708)</f>
        <v>Neutral</v>
      </c>
    </row>
    <row r="1709" spans="1:11" ht="34" x14ac:dyDescent="0.2">
      <c r="A1709" t="s">
        <v>5806</v>
      </c>
      <c r="B1709" s="1" t="s">
        <v>5807</v>
      </c>
      <c r="C1709" t="s">
        <v>5808</v>
      </c>
      <c r="D1709" s="1" t="s">
        <v>2</v>
      </c>
      <c r="E1709" t="b">
        <v>0</v>
      </c>
      <c r="F1709">
        <v>208</v>
      </c>
      <c r="G1709">
        <v>166</v>
      </c>
      <c r="H1709" t="s">
        <v>11</v>
      </c>
      <c r="I1709" t="b">
        <v>0</v>
      </c>
      <c r="J1709" cm="1">
        <f t="array" ref="J1709">sentimentCalc(B1709)</f>
        <v>-1</v>
      </c>
      <c r="K1709" t="str" cm="1">
        <f t="array" ref="K1709">sentimentCategory(J1709)</f>
        <v>Negative</v>
      </c>
    </row>
    <row r="1710" spans="1:11" ht="34" x14ac:dyDescent="0.2">
      <c r="A1710" t="s">
        <v>5750</v>
      </c>
      <c r="B1710" s="1" t="s">
        <v>5751</v>
      </c>
      <c r="C1710" t="s">
        <v>3886</v>
      </c>
      <c r="D1710" s="1" t="s">
        <v>2</v>
      </c>
      <c r="E1710" t="b">
        <v>0</v>
      </c>
      <c r="F1710">
        <v>103</v>
      </c>
      <c r="G1710">
        <v>137</v>
      </c>
      <c r="H1710" t="s">
        <v>11</v>
      </c>
      <c r="I1710" t="b">
        <v>0</v>
      </c>
      <c r="J1710" cm="1">
        <f t="array" ref="J1710">sentimentCalc(B1710)</f>
        <v>0</v>
      </c>
      <c r="K1710" t="str" cm="1">
        <f t="array" ref="K1710">sentimentCategory(J1710)</f>
        <v>Neutral</v>
      </c>
    </row>
    <row r="1711" spans="1:11" ht="17" x14ac:dyDescent="0.2">
      <c r="A1711" t="s">
        <v>4733</v>
      </c>
      <c r="B1711" s="1" t="s">
        <v>4734</v>
      </c>
      <c r="C1711" t="s">
        <v>522</v>
      </c>
      <c r="D1711" s="1" t="s">
        <v>4735</v>
      </c>
      <c r="E1711" t="b">
        <v>0</v>
      </c>
      <c r="F1711">
        <v>2177</v>
      </c>
      <c r="G1711">
        <v>679</v>
      </c>
      <c r="H1711" t="s">
        <v>11</v>
      </c>
      <c r="I1711" t="b">
        <v>0</v>
      </c>
      <c r="J1711" cm="1">
        <f t="array" ref="J1711">sentimentCalc(B1711)</f>
        <v>0</v>
      </c>
      <c r="K1711" t="str" cm="1">
        <f t="array" ref="K1711">sentimentCategory(J1711)</f>
        <v>Neutral</v>
      </c>
    </row>
    <row r="1712" spans="1:11" ht="17" x14ac:dyDescent="0.2">
      <c r="A1712" t="s">
        <v>3978</v>
      </c>
      <c r="B1712" s="1" t="s">
        <v>3979</v>
      </c>
      <c r="C1712" t="s">
        <v>3980</v>
      </c>
      <c r="D1712" s="1" t="s">
        <v>2</v>
      </c>
      <c r="E1712" t="b">
        <v>0</v>
      </c>
      <c r="F1712">
        <v>160</v>
      </c>
      <c r="G1712">
        <v>540</v>
      </c>
      <c r="H1712" t="s">
        <v>11</v>
      </c>
      <c r="I1712" t="b">
        <v>0</v>
      </c>
      <c r="J1712" cm="1">
        <f t="array" ref="J1712">sentimentCalc(B1712)</f>
        <v>1</v>
      </c>
      <c r="K1712" t="str" cm="1">
        <f t="array" ref="K1712">sentimentCategory(J1712)</f>
        <v>Positive</v>
      </c>
    </row>
    <row r="1713" spans="1:11" ht="17" x14ac:dyDescent="0.2">
      <c r="A1713" t="s">
        <v>92</v>
      </c>
      <c r="B1713" s="1" t="s">
        <v>93</v>
      </c>
      <c r="C1713" t="s">
        <v>94</v>
      </c>
      <c r="D1713" s="1" t="s">
        <v>95</v>
      </c>
      <c r="E1713" t="b">
        <v>0</v>
      </c>
      <c r="F1713">
        <v>118</v>
      </c>
      <c r="G1713">
        <v>122</v>
      </c>
      <c r="H1713" t="s">
        <v>11</v>
      </c>
      <c r="I1713" t="b">
        <v>0</v>
      </c>
      <c r="J1713" cm="1">
        <f t="array" ref="J1713">sentimentCalc(B1713)</f>
        <v>0</v>
      </c>
      <c r="K1713" t="str" cm="1">
        <f t="array" ref="K1713">sentimentCategory(J1713)</f>
        <v>Neutral</v>
      </c>
    </row>
    <row r="1714" spans="1:11" ht="17" x14ac:dyDescent="0.2">
      <c r="A1714" t="s">
        <v>4170</v>
      </c>
      <c r="B1714" s="1" t="s">
        <v>4171</v>
      </c>
      <c r="C1714" t="s">
        <v>468</v>
      </c>
      <c r="D1714" s="1" t="s">
        <v>2923</v>
      </c>
      <c r="E1714" t="b">
        <v>0</v>
      </c>
      <c r="F1714">
        <v>9</v>
      </c>
      <c r="G1714">
        <v>27</v>
      </c>
      <c r="H1714" t="s">
        <v>47</v>
      </c>
      <c r="I1714" t="b">
        <v>0</v>
      </c>
      <c r="J1714" cm="1">
        <f t="array" ref="J1714">sentimentCalc(B1714)</f>
        <v>0</v>
      </c>
      <c r="K1714" t="str" cm="1">
        <f t="array" ref="K1714">sentimentCategory(J1714)</f>
        <v>Neutral</v>
      </c>
    </row>
    <row r="1715" spans="1:11" ht="34" x14ac:dyDescent="0.2">
      <c r="A1715" t="s">
        <v>1676</v>
      </c>
      <c r="B1715" s="1" t="s">
        <v>1677</v>
      </c>
      <c r="C1715" t="s">
        <v>1678</v>
      </c>
      <c r="D1715" s="1" t="s">
        <v>2</v>
      </c>
      <c r="E1715" t="b">
        <v>0</v>
      </c>
      <c r="F1715">
        <v>4</v>
      </c>
      <c r="G1715">
        <v>4</v>
      </c>
      <c r="H1715" t="s">
        <v>11</v>
      </c>
      <c r="I1715" t="b">
        <v>0</v>
      </c>
      <c r="J1715" cm="1">
        <f t="array" ref="J1715">sentimentCalc(B1715)</f>
        <v>1</v>
      </c>
      <c r="K1715" t="str" cm="1">
        <f t="array" ref="K1715">sentimentCategory(J1715)</f>
        <v>Positive</v>
      </c>
    </row>
    <row r="1716" spans="1:11" ht="34" x14ac:dyDescent="0.2">
      <c r="A1716" t="s">
        <v>303</v>
      </c>
      <c r="B1716" s="1" t="s">
        <v>304</v>
      </c>
      <c r="C1716" t="s">
        <v>305</v>
      </c>
      <c r="D1716" s="1" t="s">
        <v>2</v>
      </c>
      <c r="E1716" t="b">
        <v>0</v>
      </c>
      <c r="F1716">
        <v>29</v>
      </c>
      <c r="G1716">
        <v>152</v>
      </c>
      <c r="H1716" t="s">
        <v>11</v>
      </c>
      <c r="I1716" t="b">
        <v>0</v>
      </c>
      <c r="J1716" cm="1">
        <f t="array" ref="J1716">sentimentCalc(B1716)</f>
        <v>0</v>
      </c>
      <c r="K1716" t="str" cm="1">
        <f t="array" ref="K1716">sentimentCategory(J1716)</f>
        <v>Neutral</v>
      </c>
    </row>
    <row r="1717" spans="1:11" ht="17" x14ac:dyDescent="0.2">
      <c r="A1717" t="s">
        <v>5087</v>
      </c>
      <c r="B1717" s="1" t="s">
        <v>5088</v>
      </c>
      <c r="C1717" t="s">
        <v>189</v>
      </c>
      <c r="D1717" s="1" t="s">
        <v>1251</v>
      </c>
      <c r="E1717" t="b">
        <v>0</v>
      </c>
      <c r="F1717">
        <v>45</v>
      </c>
      <c r="G1717">
        <v>37</v>
      </c>
      <c r="H1717" t="s">
        <v>11</v>
      </c>
      <c r="I1717" t="b">
        <v>0</v>
      </c>
      <c r="J1717" cm="1">
        <f t="array" ref="J1717">sentimentCalc(B1717)</f>
        <v>0</v>
      </c>
      <c r="K1717" t="str" cm="1">
        <f t="array" ref="K1717">sentimentCategory(J1717)</f>
        <v>Neutral</v>
      </c>
    </row>
    <row r="1718" spans="1:11" ht="17" x14ac:dyDescent="0.2">
      <c r="A1718" t="s">
        <v>899</v>
      </c>
      <c r="B1718" s="1" t="s">
        <v>900</v>
      </c>
      <c r="C1718" t="s">
        <v>700</v>
      </c>
      <c r="D1718" s="1" t="s">
        <v>2</v>
      </c>
      <c r="E1718" t="b">
        <v>0</v>
      </c>
      <c r="F1718">
        <v>6</v>
      </c>
      <c r="G1718">
        <v>33</v>
      </c>
      <c r="H1718" t="s">
        <v>110</v>
      </c>
      <c r="I1718" t="b">
        <v>0</v>
      </c>
      <c r="J1718" cm="1">
        <f t="array" ref="J1718">sentimentCalc(B1718)</f>
        <v>0</v>
      </c>
      <c r="K1718" t="str" cm="1">
        <f t="array" ref="K1718">sentimentCategory(J1718)</f>
        <v>Neutral</v>
      </c>
    </row>
    <row r="1719" spans="1:11" ht="34" x14ac:dyDescent="0.2">
      <c r="A1719" t="s">
        <v>269</v>
      </c>
      <c r="B1719" s="1" t="s">
        <v>270</v>
      </c>
      <c r="C1719" t="s">
        <v>271</v>
      </c>
      <c r="D1719" s="1" t="s">
        <v>272</v>
      </c>
      <c r="E1719" t="b">
        <v>0</v>
      </c>
      <c r="F1719">
        <v>49</v>
      </c>
      <c r="G1719">
        <v>68</v>
      </c>
      <c r="H1719" t="s">
        <v>11</v>
      </c>
      <c r="I1719" t="b">
        <v>0</v>
      </c>
      <c r="J1719" cm="1">
        <f t="array" ref="J1719">sentimentCalc(B1719)</f>
        <v>0</v>
      </c>
      <c r="K1719" t="str" cm="1">
        <f t="array" ref="K1719">sentimentCategory(J1719)</f>
        <v>Neutral</v>
      </c>
    </row>
    <row r="1720" spans="1:11" ht="34" x14ac:dyDescent="0.2">
      <c r="A1720" t="s">
        <v>2613</v>
      </c>
      <c r="B1720" s="1" t="s">
        <v>2614</v>
      </c>
      <c r="C1720" t="s">
        <v>2600</v>
      </c>
      <c r="D1720" s="1" t="s">
        <v>2601</v>
      </c>
      <c r="E1720" t="b">
        <v>0</v>
      </c>
      <c r="F1720">
        <v>503</v>
      </c>
      <c r="G1720">
        <v>673</v>
      </c>
      <c r="H1720" t="s">
        <v>47</v>
      </c>
      <c r="I1720" t="b">
        <v>0</v>
      </c>
      <c r="J1720" cm="1">
        <f t="array" ref="J1720">sentimentCalc(B1720)</f>
        <v>0</v>
      </c>
      <c r="K1720" t="str" cm="1">
        <f t="array" ref="K1720">sentimentCategory(J1720)</f>
        <v>Neutral</v>
      </c>
    </row>
    <row r="1721" spans="1:11" ht="17" x14ac:dyDescent="0.2">
      <c r="A1721" t="s">
        <v>5189</v>
      </c>
      <c r="B1721" s="1" t="s">
        <v>5191</v>
      </c>
      <c r="C1721" t="s">
        <v>1287</v>
      </c>
      <c r="D1721" s="1" t="s">
        <v>2</v>
      </c>
      <c r="E1721" t="b">
        <v>0</v>
      </c>
      <c r="F1721">
        <v>204</v>
      </c>
      <c r="G1721">
        <v>196</v>
      </c>
      <c r="H1721" t="s">
        <v>11</v>
      </c>
      <c r="I1721" t="b">
        <v>0</v>
      </c>
      <c r="J1721" cm="1">
        <f t="array" ref="J1721">sentimentCalc(B1721)</f>
        <v>0</v>
      </c>
      <c r="K1721" t="str" cm="1">
        <f t="array" ref="K1721">sentimentCategory(J1721)</f>
        <v>Neutral</v>
      </c>
    </row>
    <row r="1722" spans="1:11" ht="17" x14ac:dyDescent="0.2">
      <c r="A1722" t="s">
        <v>4736</v>
      </c>
      <c r="B1722" s="1" t="s">
        <v>4737</v>
      </c>
      <c r="C1722" t="s">
        <v>446</v>
      </c>
      <c r="D1722" s="1" t="s">
        <v>2</v>
      </c>
      <c r="E1722" t="b">
        <v>0</v>
      </c>
      <c r="F1722">
        <v>451</v>
      </c>
      <c r="G1722">
        <v>260</v>
      </c>
      <c r="H1722" t="s">
        <v>11</v>
      </c>
      <c r="I1722" t="b">
        <v>0</v>
      </c>
      <c r="J1722" cm="1">
        <f t="array" ref="J1722">sentimentCalc(B1722)</f>
        <v>0</v>
      </c>
      <c r="K1722" t="str" cm="1">
        <f t="array" ref="K1722">sentimentCategory(J1722)</f>
        <v>Neutral</v>
      </c>
    </row>
    <row r="1723" spans="1:11" ht="17" x14ac:dyDescent="0.2">
      <c r="A1723" t="s">
        <v>4988</v>
      </c>
      <c r="B1723" s="1" t="s">
        <v>4989</v>
      </c>
      <c r="C1723" t="s">
        <v>4990</v>
      </c>
      <c r="D1723" s="1" t="s">
        <v>2</v>
      </c>
      <c r="E1723" t="b">
        <v>0</v>
      </c>
      <c r="F1723">
        <v>158</v>
      </c>
      <c r="G1723">
        <v>274</v>
      </c>
      <c r="H1723" t="s">
        <v>11</v>
      </c>
      <c r="I1723" t="b">
        <v>0</v>
      </c>
      <c r="J1723" cm="1">
        <f t="array" ref="J1723">sentimentCalc(B1723)</f>
        <v>0</v>
      </c>
      <c r="K1723" t="str" cm="1">
        <f t="array" ref="K1723">sentimentCategory(J1723)</f>
        <v>Neutral</v>
      </c>
    </row>
    <row r="1724" spans="1:11" ht="17" x14ac:dyDescent="0.2">
      <c r="A1724" t="s">
        <v>6411</v>
      </c>
      <c r="B1724" s="1" t="s">
        <v>6412</v>
      </c>
      <c r="C1724" t="s">
        <v>5220</v>
      </c>
      <c r="D1724" s="1" t="s">
        <v>2</v>
      </c>
      <c r="E1724" t="b">
        <v>0</v>
      </c>
      <c r="F1724">
        <v>49</v>
      </c>
      <c r="G1724">
        <v>610</v>
      </c>
      <c r="H1724" t="s">
        <v>11</v>
      </c>
      <c r="I1724" t="b">
        <v>0</v>
      </c>
      <c r="J1724" cm="1">
        <f t="array" ref="J1724">sentimentCalc(B1724)</f>
        <v>-1</v>
      </c>
      <c r="K1724" t="str" cm="1">
        <f t="array" ref="K1724">sentimentCategory(J1724)</f>
        <v>Negative</v>
      </c>
    </row>
    <row r="1725" spans="1:11" ht="17" x14ac:dyDescent="0.2">
      <c r="A1725" t="s">
        <v>2065</v>
      </c>
      <c r="B1725" s="1" t="s">
        <v>2066</v>
      </c>
      <c r="C1725" t="s">
        <v>2067</v>
      </c>
      <c r="D1725" s="1" t="s">
        <v>2</v>
      </c>
      <c r="E1725" t="b">
        <v>0</v>
      </c>
      <c r="F1725">
        <v>617</v>
      </c>
      <c r="G1725">
        <v>1754</v>
      </c>
      <c r="H1725" t="s">
        <v>11</v>
      </c>
      <c r="I1725" t="b">
        <v>0</v>
      </c>
      <c r="J1725" cm="1">
        <f t="array" ref="J1725">sentimentCalc(B1725)</f>
        <v>0</v>
      </c>
      <c r="K1725" t="str" cm="1">
        <f t="array" ref="K1725">sentimentCategory(J1725)</f>
        <v>Neutral</v>
      </c>
    </row>
    <row r="1726" spans="1:11" ht="17" x14ac:dyDescent="0.2">
      <c r="A1726" t="s">
        <v>5265</v>
      </c>
      <c r="B1726" s="1" t="s">
        <v>5266</v>
      </c>
      <c r="C1726" t="s">
        <v>2087</v>
      </c>
      <c r="D1726" s="1" t="s">
        <v>5267</v>
      </c>
      <c r="E1726" t="b">
        <v>0</v>
      </c>
      <c r="F1726">
        <v>63</v>
      </c>
      <c r="G1726">
        <v>242</v>
      </c>
      <c r="H1726" t="s">
        <v>11</v>
      </c>
      <c r="I1726" t="b">
        <v>0</v>
      </c>
      <c r="J1726" cm="1">
        <f t="array" ref="J1726">sentimentCalc(B1726)</f>
        <v>1</v>
      </c>
      <c r="K1726" t="str" cm="1">
        <f t="array" ref="K1726">sentimentCategory(J1726)</f>
        <v>Positive</v>
      </c>
    </row>
    <row r="1727" spans="1:11" ht="17" x14ac:dyDescent="0.2">
      <c r="A1727" t="s">
        <v>437</v>
      </c>
      <c r="B1727" s="1" t="s">
        <v>438</v>
      </c>
      <c r="C1727" t="s">
        <v>439</v>
      </c>
      <c r="D1727" s="1" t="s">
        <v>2</v>
      </c>
      <c r="E1727" t="b">
        <v>0</v>
      </c>
      <c r="F1727">
        <v>3</v>
      </c>
      <c r="G1727">
        <v>10</v>
      </c>
      <c r="H1727" t="s">
        <v>11</v>
      </c>
      <c r="I1727" t="b">
        <v>0</v>
      </c>
      <c r="J1727" cm="1">
        <f t="array" ref="J1727">sentimentCalc(B1727)</f>
        <v>0</v>
      </c>
      <c r="K1727" t="str" cm="1">
        <f t="array" ref="K1727">sentimentCategory(J1727)</f>
        <v>Neutral</v>
      </c>
    </row>
    <row r="1728" spans="1:11" ht="17" x14ac:dyDescent="0.2">
      <c r="A1728" t="s">
        <v>6930</v>
      </c>
      <c r="B1728" s="1" t="s">
        <v>6931</v>
      </c>
      <c r="C1728" t="s">
        <v>1226</v>
      </c>
      <c r="D1728" s="1" t="s">
        <v>6932</v>
      </c>
      <c r="E1728" t="b">
        <v>0</v>
      </c>
      <c r="F1728">
        <v>485</v>
      </c>
      <c r="G1728">
        <v>1409</v>
      </c>
      <c r="H1728" t="s">
        <v>11</v>
      </c>
      <c r="I1728" t="b">
        <v>0</v>
      </c>
      <c r="J1728" cm="1">
        <f t="array" ref="J1728">sentimentCalc(B1728)</f>
        <v>0</v>
      </c>
      <c r="K1728" t="str" cm="1">
        <f t="array" ref="K1728">sentimentCategory(J1728)</f>
        <v>Neutral</v>
      </c>
    </row>
    <row r="1729" spans="1:11" ht="17" x14ac:dyDescent="0.2">
      <c r="A1729" t="s">
        <v>1519</v>
      </c>
      <c r="B1729" s="1" t="s">
        <v>1520</v>
      </c>
      <c r="C1729" t="s">
        <v>1521</v>
      </c>
      <c r="D1729" s="1" t="s">
        <v>2</v>
      </c>
      <c r="E1729" t="b">
        <v>0</v>
      </c>
      <c r="F1729">
        <v>9642</v>
      </c>
      <c r="G1729">
        <v>27</v>
      </c>
      <c r="H1729" t="s">
        <v>11</v>
      </c>
      <c r="I1729" t="b">
        <v>0</v>
      </c>
      <c r="J1729" cm="1">
        <f t="array" ref="J1729">sentimentCalc(B1729)</f>
        <v>0</v>
      </c>
      <c r="K1729" t="str" cm="1">
        <f t="array" ref="K1729">sentimentCategory(J1729)</f>
        <v>Neutral</v>
      </c>
    </row>
    <row r="1730" spans="1:11" ht="34" x14ac:dyDescent="0.2">
      <c r="A1730" t="s">
        <v>2308</v>
      </c>
      <c r="B1730" s="1" t="s">
        <v>2309</v>
      </c>
      <c r="C1730" t="s">
        <v>2310</v>
      </c>
      <c r="D1730" s="1" t="s">
        <v>2311</v>
      </c>
      <c r="E1730" t="b">
        <v>0</v>
      </c>
      <c r="F1730">
        <v>157</v>
      </c>
      <c r="G1730">
        <v>83</v>
      </c>
      <c r="H1730" t="s">
        <v>11</v>
      </c>
      <c r="I1730" t="b">
        <v>0</v>
      </c>
      <c r="J1730" cm="1">
        <f t="array" ref="J1730">sentimentCalc(B1730)</f>
        <v>1</v>
      </c>
      <c r="K1730" t="str" cm="1">
        <f t="array" ref="K1730">sentimentCategory(J1730)</f>
        <v>Positive</v>
      </c>
    </row>
    <row r="1731" spans="1:11" ht="17" x14ac:dyDescent="0.2">
      <c r="A1731" t="s">
        <v>783</v>
      </c>
      <c r="B1731" s="1" t="s">
        <v>784</v>
      </c>
      <c r="C1731" t="s">
        <v>289</v>
      </c>
      <c r="D1731" s="1" t="s">
        <v>2</v>
      </c>
      <c r="E1731" t="b">
        <v>0</v>
      </c>
      <c r="F1731">
        <v>3632</v>
      </c>
      <c r="G1731">
        <v>3728</v>
      </c>
      <c r="H1731" t="s">
        <v>11</v>
      </c>
      <c r="I1731" t="b">
        <v>0</v>
      </c>
      <c r="J1731" cm="1">
        <f t="array" ref="J1731">sentimentCalc(B1731)</f>
        <v>1</v>
      </c>
      <c r="K1731" t="str" cm="1">
        <f t="array" ref="K1731">sentimentCategory(J1731)</f>
        <v>Positive</v>
      </c>
    </row>
    <row r="1732" spans="1:11" ht="34" x14ac:dyDescent="0.2">
      <c r="A1732" t="s">
        <v>3655</v>
      </c>
      <c r="B1732" s="1" t="s">
        <v>3656</v>
      </c>
      <c r="C1732" t="s">
        <v>3645</v>
      </c>
      <c r="D1732" s="1" t="s">
        <v>3646</v>
      </c>
      <c r="E1732" t="b">
        <v>0</v>
      </c>
      <c r="F1732">
        <v>472</v>
      </c>
      <c r="G1732">
        <v>366</v>
      </c>
      <c r="H1732" t="s">
        <v>11</v>
      </c>
      <c r="I1732" t="b">
        <v>0</v>
      </c>
      <c r="J1732" cm="1">
        <f t="array" ref="J1732">sentimentCalc(B1732)</f>
        <v>-1</v>
      </c>
      <c r="K1732" t="str" cm="1">
        <f t="array" ref="K1732">sentimentCategory(J1732)</f>
        <v>Negative</v>
      </c>
    </row>
    <row r="1733" spans="1:11" ht="34" x14ac:dyDescent="0.2">
      <c r="A1733" t="s">
        <v>6076</v>
      </c>
      <c r="B1733" s="1" t="s">
        <v>6077</v>
      </c>
      <c r="C1733" t="s">
        <v>6078</v>
      </c>
      <c r="D1733" s="1" t="s">
        <v>6079</v>
      </c>
      <c r="E1733" t="b">
        <v>0</v>
      </c>
      <c r="F1733">
        <v>6979</v>
      </c>
      <c r="G1733">
        <v>6186</v>
      </c>
      <c r="H1733" t="s">
        <v>11</v>
      </c>
      <c r="I1733" t="b">
        <v>0</v>
      </c>
      <c r="J1733" cm="1">
        <f t="array" ref="J1733">sentimentCalc(B1733)</f>
        <v>1</v>
      </c>
      <c r="K1733" t="str" cm="1">
        <f t="array" ref="K1733">sentimentCategory(J1733)</f>
        <v>Positive</v>
      </c>
    </row>
    <row r="1734" spans="1:11" ht="17" x14ac:dyDescent="0.2">
      <c r="A1734" t="s">
        <v>488</v>
      </c>
      <c r="B1734" s="1" t="s">
        <v>489</v>
      </c>
      <c r="C1734" t="s">
        <v>490</v>
      </c>
      <c r="D1734" s="1" t="s">
        <v>2</v>
      </c>
      <c r="E1734" t="b">
        <v>0</v>
      </c>
      <c r="F1734">
        <v>333</v>
      </c>
      <c r="G1734">
        <v>410</v>
      </c>
      <c r="H1734" t="s">
        <v>11</v>
      </c>
      <c r="I1734" t="b">
        <v>0</v>
      </c>
      <c r="J1734" cm="1">
        <f t="array" ref="J1734">sentimentCalc(B1734)</f>
        <v>0</v>
      </c>
      <c r="K1734" t="str" cm="1">
        <f t="array" ref="K1734">sentimentCategory(J1734)</f>
        <v>Neutral</v>
      </c>
    </row>
    <row r="1735" spans="1:11" ht="17" x14ac:dyDescent="0.2">
      <c r="A1735" t="s">
        <v>4053</v>
      </c>
      <c r="B1735" s="1" t="s">
        <v>4054</v>
      </c>
      <c r="C1735" t="s">
        <v>173</v>
      </c>
      <c r="D1735" s="1" t="s">
        <v>2</v>
      </c>
      <c r="E1735" t="b">
        <v>0</v>
      </c>
      <c r="F1735">
        <v>61</v>
      </c>
      <c r="G1735">
        <v>225</v>
      </c>
      <c r="H1735" t="s">
        <v>11</v>
      </c>
      <c r="I1735" t="b">
        <v>0</v>
      </c>
      <c r="J1735" cm="1">
        <f t="array" ref="J1735">sentimentCalc(B1735)</f>
        <v>0</v>
      </c>
      <c r="K1735" t="str" cm="1">
        <f t="array" ref="K1735">sentimentCategory(J1735)</f>
        <v>Neutral</v>
      </c>
    </row>
    <row r="1736" spans="1:11" ht="34" x14ac:dyDescent="0.2">
      <c r="A1736" t="s">
        <v>5307</v>
      </c>
      <c r="B1736" s="1" t="s">
        <v>5308</v>
      </c>
      <c r="C1736" t="s">
        <v>4872</v>
      </c>
      <c r="D1736" s="1" t="s">
        <v>4873</v>
      </c>
      <c r="E1736" t="b">
        <v>0</v>
      </c>
      <c r="F1736">
        <v>90</v>
      </c>
      <c r="G1736">
        <v>446</v>
      </c>
      <c r="H1736" t="s">
        <v>11</v>
      </c>
      <c r="I1736" t="b">
        <v>0</v>
      </c>
      <c r="J1736" cm="1">
        <f t="array" ref="J1736">sentimentCalc(B1736)</f>
        <v>0</v>
      </c>
      <c r="K1736" t="str" cm="1">
        <f t="array" ref="K1736">sentimentCategory(J1736)</f>
        <v>Neutral</v>
      </c>
    </row>
    <row r="1737" spans="1:11" ht="17" x14ac:dyDescent="0.2">
      <c r="A1737" t="s">
        <v>280</v>
      </c>
      <c r="B1737" s="1" t="s">
        <v>281</v>
      </c>
      <c r="C1737" t="s">
        <v>282</v>
      </c>
      <c r="D1737" s="1" t="s">
        <v>2</v>
      </c>
      <c r="E1737" t="b">
        <v>0</v>
      </c>
      <c r="F1737">
        <v>413</v>
      </c>
      <c r="G1737">
        <v>557</v>
      </c>
      <c r="H1737" t="s">
        <v>11</v>
      </c>
      <c r="I1737" t="b">
        <v>0</v>
      </c>
      <c r="J1737" cm="1">
        <f t="array" ref="J1737">sentimentCalc(B1737)</f>
        <v>0</v>
      </c>
      <c r="K1737" t="str" cm="1">
        <f t="array" ref="K1737">sentimentCategory(J1737)</f>
        <v>Neutral</v>
      </c>
    </row>
    <row r="1738" spans="1:11" ht="34" x14ac:dyDescent="0.2">
      <c r="A1738" t="s">
        <v>3063</v>
      </c>
      <c r="B1738" s="1" t="s">
        <v>3064</v>
      </c>
      <c r="C1738" t="s">
        <v>3065</v>
      </c>
      <c r="D1738" s="1" t="s">
        <v>3066</v>
      </c>
      <c r="E1738" t="b">
        <v>0</v>
      </c>
      <c r="F1738">
        <v>245</v>
      </c>
      <c r="G1738">
        <v>494</v>
      </c>
      <c r="H1738" t="s">
        <v>11</v>
      </c>
      <c r="I1738" t="b">
        <v>0</v>
      </c>
      <c r="J1738" cm="1">
        <f t="array" ref="J1738">sentimentCalc(B1738)</f>
        <v>0</v>
      </c>
      <c r="K1738" t="str" cm="1">
        <f t="array" ref="K1738">sentimentCategory(J1738)</f>
        <v>Neutral</v>
      </c>
    </row>
    <row r="1739" spans="1:11" ht="17" x14ac:dyDescent="0.2">
      <c r="A1739" t="s">
        <v>6167</v>
      </c>
      <c r="B1739" s="1" t="s">
        <v>6168</v>
      </c>
      <c r="C1739" t="s">
        <v>1287</v>
      </c>
      <c r="D1739" s="1" t="s">
        <v>4659</v>
      </c>
      <c r="E1739" t="b">
        <v>0</v>
      </c>
      <c r="F1739">
        <v>24</v>
      </c>
      <c r="G1739">
        <v>164</v>
      </c>
      <c r="H1739" t="s">
        <v>11</v>
      </c>
      <c r="I1739" t="b">
        <v>0</v>
      </c>
      <c r="J1739" cm="1">
        <f t="array" ref="J1739">sentimentCalc(B1739)</f>
        <v>0</v>
      </c>
      <c r="K1739" t="str" cm="1">
        <f t="array" ref="K1739">sentimentCategory(J1739)</f>
        <v>Neutral</v>
      </c>
    </row>
    <row r="1740" spans="1:11" ht="17" x14ac:dyDescent="0.2">
      <c r="A1740" t="s">
        <v>3280</v>
      </c>
      <c r="B1740" s="1" t="s">
        <v>3281</v>
      </c>
      <c r="C1740" t="s">
        <v>3282</v>
      </c>
      <c r="D1740" s="1" t="s">
        <v>3283</v>
      </c>
      <c r="E1740" t="b">
        <v>0</v>
      </c>
      <c r="F1740">
        <v>1977</v>
      </c>
      <c r="G1740">
        <v>964</v>
      </c>
      <c r="H1740" t="s">
        <v>11</v>
      </c>
      <c r="I1740" t="b">
        <v>0</v>
      </c>
      <c r="J1740" cm="1">
        <f t="array" ref="J1740">sentimentCalc(B1740)</f>
        <v>0</v>
      </c>
      <c r="K1740" t="str" cm="1">
        <f t="array" ref="K1740">sentimentCategory(J1740)</f>
        <v>Neutral</v>
      </c>
    </row>
    <row r="1741" spans="1:11" ht="17" x14ac:dyDescent="0.2">
      <c r="A1741" t="s">
        <v>6406</v>
      </c>
      <c r="B1741" s="1" t="s">
        <v>6407</v>
      </c>
      <c r="C1741" t="s">
        <v>1082</v>
      </c>
      <c r="D1741" s="1" t="s">
        <v>1251</v>
      </c>
      <c r="E1741" t="b">
        <v>0</v>
      </c>
      <c r="F1741">
        <v>195</v>
      </c>
      <c r="G1741">
        <v>173</v>
      </c>
      <c r="H1741" t="s">
        <v>11</v>
      </c>
      <c r="I1741" t="b">
        <v>0</v>
      </c>
      <c r="J1741" cm="1">
        <f t="array" ref="J1741">sentimentCalc(B1741)</f>
        <v>0</v>
      </c>
      <c r="K1741" t="str" cm="1">
        <f t="array" ref="K1741">sentimentCategory(J1741)</f>
        <v>Neutral</v>
      </c>
    </row>
    <row r="1742" spans="1:11" ht="34" x14ac:dyDescent="0.2">
      <c r="A1742" t="s">
        <v>1646</v>
      </c>
      <c r="B1742" s="1" t="s">
        <v>1647</v>
      </c>
      <c r="C1742" t="s">
        <v>1648</v>
      </c>
      <c r="D1742" s="1" t="s">
        <v>1649</v>
      </c>
      <c r="E1742" t="b">
        <v>0</v>
      </c>
      <c r="F1742">
        <v>2697</v>
      </c>
      <c r="G1742">
        <v>1249</v>
      </c>
      <c r="H1742" t="s">
        <v>11</v>
      </c>
      <c r="I1742" t="b">
        <v>0</v>
      </c>
      <c r="J1742" cm="1">
        <f t="array" ref="J1742">sentimentCalc(B1742)</f>
        <v>0</v>
      </c>
      <c r="K1742" t="str" cm="1">
        <f t="array" ref="K1742">sentimentCategory(J1742)</f>
        <v>Neutral</v>
      </c>
    </row>
    <row r="1743" spans="1:11" ht="17" x14ac:dyDescent="0.2">
      <c r="A1743" t="s">
        <v>2791</v>
      </c>
      <c r="B1743" s="1" t="s">
        <v>2792</v>
      </c>
      <c r="C1743" t="s">
        <v>1099</v>
      </c>
      <c r="D1743" s="1" t="s">
        <v>2</v>
      </c>
      <c r="E1743" t="b">
        <v>0</v>
      </c>
      <c r="F1743">
        <v>1</v>
      </c>
      <c r="G1743">
        <v>0</v>
      </c>
      <c r="H1743" t="s">
        <v>11</v>
      </c>
      <c r="I1743" t="b">
        <v>0</v>
      </c>
      <c r="J1743" cm="1">
        <f t="array" ref="J1743">sentimentCalc(B1743)</f>
        <v>0</v>
      </c>
      <c r="K1743" t="str" cm="1">
        <f t="array" ref="K1743">sentimentCategory(J1743)</f>
        <v>Neutral</v>
      </c>
    </row>
    <row r="1744" spans="1:11" ht="17" x14ac:dyDescent="0.2">
      <c r="A1744" t="s">
        <v>3682</v>
      </c>
      <c r="B1744" s="1" t="s">
        <v>3683</v>
      </c>
      <c r="C1744" t="s">
        <v>1838</v>
      </c>
      <c r="D1744" s="1" t="s">
        <v>2167</v>
      </c>
      <c r="E1744" t="b">
        <v>0</v>
      </c>
      <c r="F1744">
        <v>36</v>
      </c>
      <c r="G1744">
        <v>175</v>
      </c>
      <c r="H1744" t="s">
        <v>11</v>
      </c>
      <c r="I1744" t="b">
        <v>0</v>
      </c>
      <c r="J1744" cm="1">
        <f t="array" ref="J1744">sentimentCalc(B1744)</f>
        <v>0</v>
      </c>
      <c r="K1744" t="str" cm="1">
        <f t="array" ref="K1744">sentimentCategory(J1744)</f>
        <v>Neutral</v>
      </c>
    </row>
    <row r="1745" spans="1:11" ht="17" x14ac:dyDescent="0.2">
      <c r="A1745" t="s">
        <v>933</v>
      </c>
      <c r="B1745" s="1" t="s">
        <v>934</v>
      </c>
      <c r="C1745" t="s">
        <v>935</v>
      </c>
      <c r="D1745" s="1" t="s">
        <v>487</v>
      </c>
      <c r="E1745" t="b">
        <v>0</v>
      </c>
      <c r="F1745">
        <v>150</v>
      </c>
      <c r="G1745">
        <v>367</v>
      </c>
      <c r="H1745" t="s">
        <v>11</v>
      </c>
      <c r="I1745" t="b">
        <v>0</v>
      </c>
      <c r="J1745" cm="1">
        <f t="array" ref="J1745">sentimentCalc(B1745)</f>
        <v>0</v>
      </c>
      <c r="K1745" t="str" cm="1">
        <f t="array" ref="K1745">sentimentCategory(J1745)</f>
        <v>Neutral</v>
      </c>
    </row>
    <row r="1746" spans="1:11" ht="17" x14ac:dyDescent="0.2">
      <c r="A1746" t="s">
        <v>6672</v>
      </c>
      <c r="B1746" s="1" t="s">
        <v>6673</v>
      </c>
      <c r="C1746" t="s">
        <v>6674</v>
      </c>
      <c r="D1746" s="1" t="s">
        <v>6675</v>
      </c>
      <c r="E1746" t="b">
        <v>0</v>
      </c>
      <c r="F1746">
        <v>22</v>
      </c>
      <c r="G1746">
        <v>109</v>
      </c>
      <c r="H1746" t="s">
        <v>83</v>
      </c>
      <c r="I1746" t="b">
        <v>0</v>
      </c>
      <c r="J1746" cm="1">
        <f t="array" ref="J1746">sentimentCalc(B1746)</f>
        <v>1</v>
      </c>
      <c r="K1746" t="str" cm="1">
        <f t="array" ref="K1746">sentimentCategory(J1746)</f>
        <v>Positive</v>
      </c>
    </row>
    <row r="1747" spans="1:11" ht="17" x14ac:dyDescent="0.2">
      <c r="A1747" t="s">
        <v>1878</v>
      </c>
      <c r="B1747" s="1" t="s">
        <v>1879</v>
      </c>
      <c r="C1747" t="s">
        <v>1880</v>
      </c>
      <c r="D1747" s="1" t="s">
        <v>924</v>
      </c>
      <c r="E1747" t="b">
        <v>0</v>
      </c>
      <c r="F1747">
        <v>511</v>
      </c>
      <c r="G1747">
        <v>1334</v>
      </c>
      <c r="H1747" t="s">
        <v>83</v>
      </c>
      <c r="I1747" t="b">
        <v>0</v>
      </c>
      <c r="J1747" cm="1">
        <f t="array" ref="J1747">sentimentCalc(B1747)</f>
        <v>0</v>
      </c>
      <c r="K1747" t="str" cm="1">
        <f t="array" ref="K1747">sentimentCategory(J1747)</f>
        <v>Neutral</v>
      </c>
    </row>
    <row r="1748" spans="1:11" ht="34" x14ac:dyDescent="0.2">
      <c r="A1748" t="s">
        <v>2891</v>
      </c>
      <c r="B1748" s="1" t="s">
        <v>2892</v>
      </c>
      <c r="C1748" t="s">
        <v>2893</v>
      </c>
      <c r="D1748" s="1" t="s">
        <v>2</v>
      </c>
      <c r="E1748" t="b">
        <v>0</v>
      </c>
      <c r="F1748">
        <v>180</v>
      </c>
      <c r="G1748">
        <v>844</v>
      </c>
      <c r="H1748" t="s">
        <v>11</v>
      </c>
      <c r="I1748" t="b">
        <v>0</v>
      </c>
      <c r="J1748" cm="1">
        <f t="array" ref="J1748">sentimentCalc(B1748)</f>
        <v>0</v>
      </c>
      <c r="K1748" t="str" cm="1">
        <f t="array" ref="K1748">sentimentCategory(J1748)</f>
        <v>Neutral</v>
      </c>
    </row>
    <row r="1749" spans="1:11" ht="17" x14ac:dyDescent="0.2">
      <c r="A1749" t="s">
        <v>1039</v>
      </c>
      <c r="B1749" s="1" t="s">
        <v>1040</v>
      </c>
      <c r="C1749" t="s">
        <v>319</v>
      </c>
      <c r="D1749" s="1" t="s">
        <v>1041</v>
      </c>
      <c r="E1749" t="b">
        <v>0</v>
      </c>
      <c r="F1749">
        <v>2638</v>
      </c>
      <c r="G1749">
        <v>428</v>
      </c>
      <c r="H1749" t="s">
        <v>11</v>
      </c>
      <c r="I1749" t="b">
        <v>0</v>
      </c>
      <c r="J1749" cm="1">
        <f t="array" ref="J1749">sentimentCalc(B1749)</f>
        <v>0</v>
      </c>
      <c r="K1749" t="str" cm="1">
        <f t="array" ref="K1749">sentimentCategory(J1749)</f>
        <v>Neutral</v>
      </c>
    </row>
    <row r="1750" spans="1:11" ht="34" x14ac:dyDescent="0.2">
      <c r="A1750" t="s">
        <v>6752</v>
      </c>
      <c r="B1750" s="1" t="s">
        <v>6753</v>
      </c>
      <c r="C1750" t="s">
        <v>1398</v>
      </c>
      <c r="D1750" s="1" t="s">
        <v>61</v>
      </c>
      <c r="E1750" t="b">
        <v>0</v>
      </c>
      <c r="F1750">
        <v>1078</v>
      </c>
      <c r="G1750">
        <v>93</v>
      </c>
      <c r="H1750" t="s">
        <v>11</v>
      </c>
      <c r="I1750" t="b">
        <v>0</v>
      </c>
      <c r="J1750" cm="1">
        <f t="array" ref="J1750">sentimentCalc(B1750)</f>
        <v>0</v>
      </c>
      <c r="K1750" t="str" cm="1">
        <f t="array" ref="K1750">sentimentCategory(J1750)</f>
        <v>Neutral</v>
      </c>
    </row>
    <row r="1751" spans="1:11" ht="17" x14ac:dyDescent="0.2">
      <c r="A1751" t="s">
        <v>5643</v>
      </c>
      <c r="B1751" s="1" t="s">
        <v>5644</v>
      </c>
      <c r="C1751" t="s">
        <v>5645</v>
      </c>
      <c r="D1751" s="1" t="s">
        <v>2</v>
      </c>
      <c r="E1751" t="b">
        <v>0</v>
      </c>
      <c r="F1751">
        <v>281</v>
      </c>
      <c r="G1751">
        <v>414</v>
      </c>
      <c r="H1751" t="s">
        <v>11</v>
      </c>
      <c r="I1751" t="b">
        <v>0</v>
      </c>
      <c r="J1751" cm="1">
        <f t="array" ref="J1751">sentimentCalc(B1751)</f>
        <v>-1</v>
      </c>
      <c r="K1751" t="str" cm="1">
        <f t="array" ref="K1751">sentimentCategory(J1751)</f>
        <v>Negative</v>
      </c>
    </row>
    <row r="1752" spans="1:11" ht="17" x14ac:dyDescent="0.2">
      <c r="A1752" t="s">
        <v>6543</v>
      </c>
      <c r="B1752" s="1" t="s">
        <v>6544</v>
      </c>
      <c r="C1752" t="s">
        <v>782</v>
      </c>
      <c r="D1752" s="1" t="s">
        <v>2</v>
      </c>
      <c r="E1752" t="b">
        <v>0</v>
      </c>
      <c r="F1752">
        <v>298</v>
      </c>
      <c r="G1752">
        <v>262</v>
      </c>
      <c r="H1752" t="s">
        <v>11</v>
      </c>
      <c r="I1752" t="b">
        <v>0</v>
      </c>
      <c r="J1752" cm="1">
        <f t="array" ref="J1752">sentimentCalc(B1752)</f>
        <v>0</v>
      </c>
      <c r="K1752" t="str" cm="1">
        <f t="array" ref="K1752">sentimentCategory(J1752)</f>
        <v>Neutral</v>
      </c>
    </row>
    <row r="1753" spans="1:11" ht="34" x14ac:dyDescent="0.2">
      <c r="A1753" t="s">
        <v>5540</v>
      </c>
      <c r="B1753" s="1" t="s">
        <v>5541</v>
      </c>
      <c r="C1753" t="s">
        <v>94</v>
      </c>
      <c r="D1753" s="1" t="s">
        <v>2</v>
      </c>
      <c r="E1753" t="b">
        <v>0</v>
      </c>
      <c r="F1753">
        <v>12423</v>
      </c>
      <c r="G1753">
        <v>537</v>
      </c>
      <c r="H1753" t="s">
        <v>11</v>
      </c>
      <c r="I1753" t="b">
        <v>0</v>
      </c>
      <c r="J1753" cm="1">
        <f t="array" ref="J1753">sentimentCalc(B1753)</f>
        <v>1</v>
      </c>
      <c r="K1753" t="str" cm="1">
        <f t="array" ref="K1753">sentimentCategory(J1753)</f>
        <v>Positive</v>
      </c>
    </row>
    <row r="1754" spans="1:11" ht="34" x14ac:dyDescent="0.2">
      <c r="A1754" t="s">
        <v>2524</v>
      </c>
      <c r="B1754" s="1" t="s">
        <v>2525</v>
      </c>
      <c r="C1754" t="s">
        <v>2526</v>
      </c>
      <c r="D1754" s="1" t="s">
        <v>2527</v>
      </c>
      <c r="E1754" t="b">
        <v>0</v>
      </c>
      <c r="F1754">
        <v>10</v>
      </c>
      <c r="G1754">
        <v>57</v>
      </c>
      <c r="H1754" t="s">
        <v>262</v>
      </c>
      <c r="I1754" t="b">
        <v>0</v>
      </c>
      <c r="J1754" cm="1">
        <f t="array" ref="J1754">sentimentCalc(B1754)</f>
        <v>0</v>
      </c>
      <c r="K1754" t="str" cm="1">
        <f t="array" ref="K1754">sentimentCategory(J1754)</f>
        <v>Neutral</v>
      </c>
    </row>
    <row r="1755" spans="1:11" ht="34" x14ac:dyDescent="0.2">
      <c r="A1755" t="s">
        <v>3375</v>
      </c>
      <c r="B1755" s="1" t="s">
        <v>3376</v>
      </c>
      <c r="C1755" t="s">
        <v>3377</v>
      </c>
      <c r="D1755" s="1" t="s">
        <v>2</v>
      </c>
      <c r="E1755" t="b">
        <v>0</v>
      </c>
      <c r="F1755">
        <v>138</v>
      </c>
      <c r="G1755">
        <v>150</v>
      </c>
      <c r="H1755" t="s">
        <v>11</v>
      </c>
      <c r="I1755" t="b">
        <v>0</v>
      </c>
      <c r="J1755" cm="1">
        <f t="array" ref="J1755">sentimentCalc(B1755)</f>
        <v>1</v>
      </c>
      <c r="K1755" t="str" cm="1">
        <f t="array" ref="K1755">sentimentCategory(J1755)</f>
        <v>Positive</v>
      </c>
    </row>
    <row r="1756" spans="1:11" ht="17" x14ac:dyDescent="0.2">
      <c r="A1756" t="s">
        <v>1839</v>
      </c>
      <c r="B1756" s="1" t="s">
        <v>1840</v>
      </c>
      <c r="C1756" t="s">
        <v>1170</v>
      </c>
      <c r="D1756" s="1" t="s">
        <v>1841</v>
      </c>
      <c r="E1756" t="b">
        <v>0</v>
      </c>
      <c r="F1756">
        <v>7630</v>
      </c>
      <c r="G1756">
        <v>933</v>
      </c>
      <c r="H1756" t="s">
        <v>11</v>
      </c>
      <c r="I1756" t="b">
        <v>0</v>
      </c>
      <c r="J1756" cm="1">
        <f t="array" ref="J1756">sentimentCalc(B1756)</f>
        <v>1</v>
      </c>
      <c r="K1756" t="str" cm="1">
        <f t="array" ref="K1756">sentimentCategory(J1756)</f>
        <v>Positive</v>
      </c>
    </row>
    <row r="1757" spans="1:11" ht="17" x14ac:dyDescent="0.2">
      <c r="A1757" t="s">
        <v>5903</v>
      </c>
      <c r="B1757" s="1" t="s">
        <v>5904</v>
      </c>
      <c r="C1757" t="s">
        <v>4359</v>
      </c>
      <c r="D1757" s="1" t="s">
        <v>5905</v>
      </c>
      <c r="E1757" t="b">
        <v>0</v>
      </c>
      <c r="F1757">
        <v>416</v>
      </c>
      <c r="G1757">
        <v>778</v>
      </c>
      <c r="H1757" t="s">
        <v>11</v>
      </c>
      <c r="I1757" t="b">
        <v>0</v>
      </c>
      <c r="J1757" cm="1">
        <f t="array" ref="J1757">sentimentCalc(B1757)</f>
        <v>0</v>
      </c>
      <c r="K1757" t="str" cm="1">
        <f t="array" ref="K1757">sentimentCategory(J1757)</f>
        <v>Neutral</v>
      </c>
    </row>
    <row r="1758" spans="1:11" ht="34" x14ac:dyDescent="0.2">
      <c r="A1758" t="s">
        <v>330</v>
      </c>
      <c r="B1758" s="1" t="s">
        <v>331</v>
      </c>
      <c r="C1758" t="s">
        <v>332</v>
      </c>
      <c r="D1758" s="1" t="s">
        <v>333</v>
      </c>
      <c r="E1758" t="b">
        <v>0</v>
      </c>
      <c r="F1758">
        <v>824</v>
      </c>
      <c r="G1758">
        <v>660</v>
      </c>
      <c r="H1758" t="s">
        <v>11</v>
      </c>
      <c r="I1758" t="b">
        <v>0</v>
      </c>
      <c r="J1758" cm="1">
        <f t="array" ref="J1758">sentimentCalc(B1758)</f>
        <v>1</v>
      </c>
      <c r="K1758" t="str" cm="1">
        <f t="array" ref="K1758">sentimentCategory(J1758)</f>
        <v>Positive</v>
      </c>
    </row>
    <row r="1759" spans="1:11" ht="34" x14ac:dyDescent="0.2">
      <c r="A1759" t="s">
        <v>2316</v>
      </c>
      <c r="B1759" s="1" t="s">
        <v>2317</v>
      </c>
      <c r="C1759" t="s">
        <v>2318</v>
      </c>
      <c r="D1759" s="1" t="s">
        <v>2</v>
      </c>
      <c r="E1759" t="b">
        <v>0</v>
      </c>
      <c r="F1759">
        <v>392</v>
      </c>
      <c r="G1759">
        <v>494</v>
      </c>
      <c r="H1759" t="s">
        <v>11</v>
      </c>
      <c r="I1759" t="b">
        <v>0</v>
      </c>
      <c r="J1759" cm="1">
        <f t="array" ref="J1759">sentimentCalc(B1759)</f>
        <v>0</v>
      </c>
      <c r="K1759" t="str" cm="1">
        <f t="array" ref="K1759">sentimentCategory(J1759)</f>
        <v>Neutral</v>
      </c>
    </row>
    <row r="1760" spans="1:11" ht="17" x14ac:dyDescent="0.2">
      <c r="A1760" t="s">
        <v>2334</v>
      </c>
      <c r="B1760" s="1" t="s">
        <v>2335</v>
      </c>
      <c r="C1760" t="s">
        <v>2336</v>
      </c>
      <c r="D1760" s="1" t="s">
        <v>562</v>
      </c>
      <c r="E1760" t="b">
        <v>0</v>
      </c>
      <c r="F1760">
        <v>1883</v>
      </c>
      <c r="G1760">
        <v>4861</v>
      </c>
      <c r="H1760" t="s">
        <v>11</v>
      </c>
      <c r="I1760" t="b">
        <v>0</v>
      </c>
      <c r="J1760" cm="1">
        <f t="array" ref="J1760">sentimentCalc(B1760)</f>
        <v>1</v>
      </c>
      <c r="K1760" t="str" cm="1">
        <f t="array" ref="K1760">sentimentCategory(J1760)</f>
        <v>Positive</v>
      </c>
    </row>
    <row r="1761" spans="1:11" ht="34" x14ac:dyDescent="0.2">
      <c r="A1761" t="s">
        <v>1180</v>
      </c>
      <c r="B1761" s="1" t="s">
        <v>1181</v>
      </c>
      <c r="C1761" t="s">
        <v>1158</v>
      </c>
      <c r="D1761" s="1" t="s">
        <v>1159</v>
      </c>
      <c r="E1761" t="b">
        <v>0</v>
      </c>
      <c r="F1761">
        <v>142</v>
      </c>
      <c r="G1761">
        <v>137</v>
      </c>
      <c r="H1761" t="s">
        <v>11</v>
      </c>
      <c r="I1761" t="b">
        <v>0</v>
      </c>
      <c r="J1761" cm="1">
        <f t="array" ref="J1761">sentimentCalc(B1761)</f>
        <v>-1</v>
      </c>
      <c r="K1761" t="str" cm="1">
        <f t="array" ref="K1761">sentimentCategory(J1761)</f>
        <v>Negative</v>
      </c>
    </row>
    <row r="1762" spans="1:11" ht="34" x14ac:dyDescent="0.2">
      <c r="A1762" t="s">
        <v>1599</v>
      </c>
      <c r="B1762" s="1" t="s">
        <v>1600</v>
      </c>
      <c r="C1762" t="s">
        <v>564</v>
      </c>
      <c r="D1762" s="1" t="s">
        <v>109</v>
      </c>
      <c r="E1762" t="b">
        <v>0</v>
      </c>
      <c r="F1762">
        <v>361</v>
      </c>
      <c r="G1762">
        <v>1799</v>
      </c>
      <c r="H1762" t="s">
        <v>11</v>
      </c>
      <c r="I1762" t="b">
        <v>0</v>
      </c>
      <c r="J1762" cm="1">
        <f t="array" ref="J1762">sentimentCalc(B1762)</f>
        <v>4</v>
      </c>
      <c r="K1762" t="str" cm="1">
        <f t="array" ref="K1762">sentimentCategory(J1762)</f>
        <v>Positive</v>
      </c>
    </row>
    <row r="1763" spans="1:11" ht="34" x14ac:dyDescent="0.2">
      <c r="A1763" t="s">
        <v>127</v>
      </c>
      <c r="B1763" s="1" t="s">
        <v>128</v>
      </c>
      <c r="C1763" t="s">
        <v>129</v>
      </c>
      <c r="D1763" s="1" t="s">
        <v>130</v>
      </c>
      <c r="E1763" t="b">
        <v>0</v>
      </c>
      <c r="F1763">
        <v>1230</v>
      </c>
      <c r="G1763">
        <v>140</v>
      </c>
      <c r="H1763" t="s">
        <v>11</v>
      </c>
      <c r="I1763" t="b">
        <v>0</v>
      </c>
      <c r="J1763" cm="1">
        <f t="array" ref="J1763">sentimentCalc(B1763)</f>
        <v>0</v>
      </c>
      <c r="K1763" t="str" cm="1">
        <f t="array" ref="K1763">sentimentCategory(J1763)</f>
        <v>Neutral</v>
      </c>
    </row>
    <row r="1764" spans="1:11" ht="17" x14ac:dyDescent="0.2">
      <c r="A1764" t="s">
        <v>925</v>
      </c>
      <c r="B1764" s="1" t="s">
        <v>926</v>
      </c>
      <c r="C1764" t="s">
        <v>927</v>
      </c>
      <c r="D1764" s="1" t="s">
        <v>928</v>
      </c>
      <c r="E1764" t="b">
        <v>0</v>
      </c>
      <c r="F1764">
        <v>101</v>
      </c>
      <c r="G1764">
        <v>295</v>
      </c>
      <c r="H1764" t="s">
        <v>11</v>
      </c>
      <c r="I1764" t="b">
        <v>0</v>
      </c>
      <c r="J1764" cm="1">
        <f t="array" ref="J1764">sentimentCalc(B1764)</f>
        <v>0</v>
      </c>
      <c r="K1764" t="str" cm="1">
        <f t="array" ref="K1764">sentimentCategory(J1764)</f>
        <v>Neutral</v>
      </c>
    </row>
    <row r="1765" spans="1:11" ht="34" x14ac:dyDescent="0.2">
      <c r="A1765" t="s">
        <v>5568</v>
      </c>
      <c r="B1765" s="1" t="s">
        <v>5569</v>
      </c>
      <c r="C1765" t="s">
        <v>3999</v>
      </c>
      <c r="D1765" s="1" t="s">
        <v>1768</v>
      </c>
      <c r="E1765" t="b">
        <v>0</v>
      </c>
      <c r="F1765">
        <v>97</v>
      </c>
      <c r="G1765">
        <v>183</v>
      </c>
      <c r="H1765" t="s">
        <v>11</v>
      </c>
      <c r="I1765" t="b">
        <v>0</v>
      </c>
      <c r="J1765" cm="1">
        <f t="array" ref="J1765">sentimentCalc(B1765)</f>
        <v>0</v>
      </c>
      <c r="K1765" t="str" cm="1">
        <f t="array" ref="K1765">sentimentCategory(J1765)</f>
        <v>Neutral</v>
      </c>
    </row>
    <row r="1766" spans="1:11" ht="17" x14ac:dyDescent="0.2">
      <c r="A1766" t="s">
        <v>1160</v>
      </c>
      <c r="B1766" s="1" t="s">
        <v>1161</v>
      </c>
      <c r="C1766" t="s">
        <v>1162</v>
      </c>
      <c r="D1766" s="1" t="s">
        <v>1163</v>
      </c>
      <c r="E1766" t="b">
        <v>0</v>
      </c>
      <c r="F1766">
        <v>187</v>
      </c>
      <c r="G1766">
        <v>98</v>
      </c>
      <c r="H1766" t="s">
        <v>83</v>
      </c>
      <c r="I1766" t="b">
        <v>0</v>
      </c>
      <c r="J1766" cm="1">
        <f t="array" ref="J1766">sentimentCalc(B1766)</f>
        <v>-1</v>
      </c>
      <c r="K1766" t="str" cm="1">
        <f t="array" ref="K1766">sentimentCategory(J1766)</f>
        <v>Negative</v>
      </c>
    </row>
    <row r="1767" spans="1:11" ht="17" x14ac:dyDescent="0.2">
      <c r="A1767" t="s">
        <v>6821</v>
      </c>
      <c r="B1767" s="1" t="s">
        <v>6822</v>
      </c>
      <c r="C1767" t="s">
        <v>2151</v>
      </c>
      <c r="D1767" s="1" t="s">
        <v>118</v>
      </c>
      <c r="E1767" t="b">
        <v>0</v>
      </c>
      <c r="F1767">
        <v>4696</v>
      </c>
      <c r="G1767">
        <v>2751</v>
      </c>
      <c r="H1767" t="s">
        <v>11</v>
      </c>
      <c r="I1767" t="b">
        <v>0</v>
      </c>
      <c r="J1767" cm="1">
        <f t="array" ref="J1767">sentimentCalc(B1767)</f>
        <v>1</v>
      </c>
      <c r="K1767" t="str" cm="1">
        <f t="array" ref="K1767">sentimentCategory(J1767)</f>
        <v>Positive</v>
      </c>
    </row>
    <row r="1768" spans="1:11" ht="17" x14ac:dyDescent="0.2">
      <c r="A1768" t="s">
        <v>2132</v>
      </c>
      <c r="B1768" s="1" t="s">
        <v>2133</v>
      </c>
      <c r="C1768" t="s">
        <v>2134</v>
      </c>
      <c r="D1768" s="1" t="s">
        <v>2135</v>
      </c>
      <c r="E1768" t="b">
        <v>0</v>
      </c>
      <c r="F1768">
        <v>19</v>
      </c>
      <c r="G1768">
        <v>70</v>
      </c>
      <c r="H1768" t="s">
        <v>11</v>
      </c>
      <c r="I1768" t="b">
        <v>0</v>
      </c>
      <c r="J1768" cm="1">
        <f t="array" ref="J1768">sentimentCalc(B1768)</f>
        <v>0</v>
      </c>
      <c r="K1768" t="str" cm="1">
        <f t="array" ref="K1768">sentimentCategory(J1768)</f>
        <v>Neutral</v>
      </c>
    </row>
    <row r="1769" spans="1:11" ht="34" x14ac:dyDescent="0.2">
      <c r="A1769" t="s">
        <v>3263</v>
      </c>
      <c r="B1769" s="1" t="s">
        <v>3264</v>
      </c>
      <c r="C1769" t="s">
        <v>468</v>
      </c>
      <c r="D1769" s="1" t="s">
        <v>469</v>
      </c>
      <c r="E1769" t="b">
        <v>0</v>
      </c>
      <c r="F1769">
        <v>366</v>
      </c>
      <c r="G1769">
        <v>225</v>
      </c>
      <c r="H1769" t="s">
        <v>11</v>
      </c>
      <c r="I1769" t="b">
        <v>0</v>
      </c>
      <c r="J1769" cm="1">
        <f t="array" ref="J1769">sentimentCalc(B1769)</f>
        <v>0</v>
      </c>
      <c r="K1769" t="str" cm="1">
        <f t="array" ref="K1769">sentimentCategory(J1769)</f>
        <v>Neutral</v>
      </c>
    </row>
    <row r="1770" spans="1:11" ht="17" x14ac:dyDescent="0.2">
      <c r="A1770" t="s">
        <v>5239</v>
      </c>
      <c r="B1770" s="1" t="s">
        <v>5240</v>
      </c>
      <c r="C1770" t="s">
        <v>5241</v>
      </c>
      <c r="D1770" s="1" t="s">
        <v>2</v>
      </c>
      <c r="E1770" t="b">
        <v>0</v>
      </c>
      <c r="F1770">
        <v>101</v>
      </c>
      <c r="G1770">
        <v>367</v>
      </c>
      <c r="H1770" t="s">
        <v>11</v>
      </c>
      <c r="I1770" t="b">
        <v>0</v>
      </c>
      <c r="J1770" cm="1">
        <f t="array" ref="J1770">sentimentCalc(B1770)</f>
        <v>-1</v>
      </c>
      <c r="K1770" t="str" cm="1">
        <f t="array" ref="K1770">sentimentCategory(J1770)</f>
        <v>Negative</v>
      </c>
    </row>
    <row r="1771" spans="1:11" ht="17" x14ac:dyDescent="0.2">
      <c r="A1771" t="s">
        <v>1673</v>
      </c>
      <c r="B1771" s="1" t="s">
        <v>1674</v>
      </c>
      <c r="C1771" t="s">
        <v>1675</v>
      </c>
      <c r="D1771" s="1" t="s">
        <v>2</v>
      </c>
      <c r="E1771" t="b">
        <v>0</v>
      </c>
      <c r="F1771">
        <v>231</v>
      </c>
      <c r="G1771">
        <v>453</v>
      </c>
      <c r="H1771" t="s">
        <v>11</v>
      </c>
      <c r="I1771" t="b">
        <v>0</v>
      </c>
      <c r="J1771" cm="1">
        <f t="array" ref="J1771">sentimentCalc(B1771)</f>
        <v>0</v>
      </c>
      <c r="K1771" t="str" cm="1">
        <f t="array" ref="K1771">sentimentCategory(J1771)</f>
        <v>Neutral</v>
      </c>
    </row>
    <row r="1772" spans="1:11" ht="34" x14ac:dyDescent="0.2">
      <c r="A1772" t="s">
        <v>7234</v>
      </c>
      <c r="B1772" s="1" t="s">
        <v>7235</v>
      </c>
      <c r="C1772" t="s">
        <v>7236</v>
      </c>
      <c r="D1772" s="1" t="s">
        <v>5915</v>
      </c>
      <c r="E1772" t="b">
        <v>0</v>
      </c>
      <c r="F1772">
        <v>567</v>
      </c>
      <c r="G1772">
        <v>746</v>
      </c>
      <c r="H1772" t="s">
        <v>11</v>
      </c>
      <c r="I1772" t="b">
        <v>0</v>
      </c>
      <c r="J1772" cm="1">
        <f t="array" ref="J1772">sentimentCalc(B1772)</f>
        <v>0</v>
      </c>
      <c r="K1772" t="str" cm="1">
        <f t="array" ref="K1772">sentimentCategory(J1772)</f>
        <v>Neutral</v>
      </c>
    </row>
    <row r="1773" spans="1:11" ht="17" x14ac:dyDescent="0.2">
      <c r="A1773" t="s">
        <v>4204</v>
      </c>
      <c r="B1773" s="1" t="s">
        <v>4205</v>
      </c>
      <c r="C1773" t="s">
        <v>2607</v>
      </c>
      <c r="D1773" s="1" t="s">
        <v>2</v>
      </c>
      <c r="E1773" t="b">
        <v>0</v>
      </c>
      <c r="F1773">
        <v>9721</v>
      </c>
      <c r="G1773">
        <v>45</v>
      </c>
      <c r="H1773" t="s">
        <v>11</v>
      </c>
      <c r="I1773" t="b">
        <v>0</v>
      </c>
      <c r="J1773" cm="1">
        <f t="array" ref="J1773">sentimentCalc(B1773)</f>
        <v>0</v>
      </c>
      <c r="K1773" t="str" cm="1">
        <f t="array" ref="K1773">sentimentCategory(J1773)</f>
        <v>Neutral</v>
      </c>
    </row>
    <row r="1774" spans="1:11" ht="34" x14ac:dyDescent="0.2">
      <c r="A1774" t="s">
        <v>433</v>
      </c>
      <c r="B1774" s="1" t="s">
        <v>434</v>
      </c>
      <c r="C1774" t="s">
        <v>435</v>
      </c>
      <c r="D1774" s="1" t="s">
        <v>436</v>
      </c>
      <c r="E1774" t="b">
        <v>0</v>
      </c>
      <c r="F1774">
        <v>1268</v>
      </c>
      <c r="G1774">
        <v>375</v>
      </c>
      <c r="H1774" t="s">
        <v>11</v>
      </c>
      <c r="I1774" t="b">
        <v>0</v>
      </c>
      <c r="J1774" cm="1">
        <f t="array" ref="J1774">sentimentCalc(B1774)</f>
        <v>0</v>
      </c>
      <c r="K1774" t="str" cm="1">
        <f t="array" ref="K1774">sentimentCategory(J1774)</f>
        <v>Neutral</v>
      </c>
    </row>
    <row r="1775" spans="1:11" ht="34" x14ac:dyDescent="0.2">
      <c r="A1775" t="s">
        <v>2484</v>
      </c>
      <c r="B1775" s="1" t="s">
        <v>2485</v>
      </c>
      <c r="C1775" t="s">
        <v>2486</v>
      </c>
      <c r="D1775" s="1" t="s">
        <v>2487</v>
      </c>
      <c r="E1775" t="b">
        <v>0</v>
      </c>
      <c r="F1775">
        <v>162</v>
      </c>
      <c r="G1775">
        <v>418</v>
      </c>
      <c r="H1775" t="s">
        <v>11</v>
      </c>
      <c r="I1775" t="b">
        <v>0</v>
      </c>
      <c r="J1775" cm="1">
        <f t="array" ref="J1775">sentimentCalc(B1775)</f>
        <v>0</v>
      </c>
      <c r="K1775" t="str" cm="1">
        <f t="array" ref="K1775">sentimentCategory(J1775)</f>
        <v>Neutral</v>
      </c>
    </row>
    <row r="1776" spans="1:11" ht="17" x14ac:dyDescent="0.2">
      <c r="A1776" t="s">
        <v>4874</v>
      </c>
      <c r="B1776" s="1" t="s">
        <v>4875</v>
      </c>
      <c r="C1776" t="s">
        <v>4876</v>
      </c>
      <c r="D1776" s="1" t="s">
        <v>4877</v>
      </c>
      <c r="E1776" t="b">
        <v>0</v>
      </c>
      <c r="F1776">
        <v>928</v>
      </c>
      <c r="G1776">
        <v>437</v>
      </c>
      <c r="H1776" t="s">
        <v>11</v>
      </c>
      <c r="I1776" t="b">
        <v>0</v>
      </c>
      <c r="J1776" cm="1">
        <f t="array" ref="J1776">sentimentCalc(B1776)</f>
        <v>1</v>
      </c>
      <c r="K1776" t="str" cm="1">
        <f t="array" ref="K1776">sentimentCategory(J1776)</f>
        <v>Positive</v>
      </c>
    </row>
    <row r="1777" spans="1:11" ht="17" x14ac:dyDescent="0.2">
      <c r="A1777" t="s">
        <v>6729</v>
      </c>
      <c r="B1777" s="1" t="s">
        <v>6730</v>
      </c>
      <c r="C1777" t="s">
        <v>581</v>
      </c>
      <c r="D1777" s="1" t="s">
        <v>2</v>
      </c>
      <c r="E1777" t="b">
        <v>0</v>
      </c>
      <c r="F1777">
        <v>2545</v>
      </c>
      <c r="G1777">
        <v>984</v>
      </c>
      <c r="H1777" t="s">
        <v>11</v>
      </c>
      <c r="I1777" t="b">
        <v>0</v>
      </c>
      <c r="J1777" cm="1">
        <f t="array" ref="J1777">sentimentCalc(B1777)</f>
        <v>1</v>
      </c>
      <c r="K1777" t="str" cm="1">
        <f t="array" ref="K1777">sentimentCategory(J1777)</f>
        <v>Positive</v>
      </c>
    </row>
    <row r="1778" spans="1:11" ht="17" x14ac:dyDescent="0.2">
      <c r="A1778" t="s">
        <v>4216</v>
      </c>
      <c r="B1778" s="1" t="s">
        <v>4217</v>
      </c>
      <c r="C1778" t="s">
        <v>4218</v>
      </c>
      <c r="D1778" s="1" t="s">
        <v>2</v>
      </c>
      <c r="E1778" t="b">
        <v>0</v>
      </c>
      <c r="F1778">
        <v>263</v>
      </c>
      <c r="G1778">
        <v>731</v>
      </c>
      <c r="H1778" t="s">
        <v>11</v>
      </c>
      <c r="I1778" t="b">
        <v>0</v>
      </c>
      <c r="J1778" cm="1">
        <f t="array" ref="J1778">sentimentCalc(B1778)</f>
        <v>2</v>
      </c>
      <c r="K1778" t="str" cm="1">
        <f t="array" ref="K1778">sentimentCategory(J1778)</f>
        <v>Positive</v>
      </c>
    </row>
    <row r="1779" spans="1:11" ht="34" x14ac:dyDescent="0.2">
      <c r="A1779" t="s">
        <v>5666</v>
      </c>
      <c r="B1779" s="1" t="s">
        <v>5667</v>
      </c>
      <c r="C1779" t="s">
        <v>644</v>
      </c>
      <c r="D1779" s="1" t="s">
        <v>5668</v>
      </c>
      <c r="E1779" t="b">
        <v>1</v>
      </c>
      <c r="F1779">
        <v>7388</v>
      </c>
      <c r="G1779">
        <v>1325</v>
      </c>
      <c r="H1779" t="s">
        <v>11</v>
      </c>
      <c r="I1779" t="b">
        <v>0</v>
      </c>
      <c r="J1779" cm="1">
        <f t="array" ref="J1779">sentimentCalc(B1779)</f>
        <v>1</v>
      </c>
      <c r="K1779" t="str" cm="1">
        <f t="array" ref="K1779">sentimentCategory(J1779)</f>
        <v>Positive</v>
      </c>
    </row>
    <row r="1780" spans="1:11" ht="17" x14ac:dyDescent="0.2">
      <c r="A1780" t="s">
        <v>5222</v>
      </c>
      <c r="B1780" s="1" t="s">
        <v>5223</v>
      </c>
      <c r="C1780" t="s">
        <v>974</v>
      </c>
      <c r="D1780" s="1" t="s">
        <v>3133</v>
      </c>
      <c r="E1780" t="b">
        <v>0</v>
      </c>
      <c r="F1780">
        <v>353</v>
      </c>
      <c r="G1780">
        <v>189</v>
      </c>
      <c r="H1780" t="s">
        <v>11</v>
      </c>
      <c r="I1780" t="b">
        <v>0</v>
      </c>
      <c r="J1780" cm="1">
        <f t="array" ref="J1780">sentimentCalc(B1780)</f>
        <v>0</v>
      </c>
      <c r="K1780" t="str" cm="1">
        <f t="array" ref="K1780">sentimentCategory(J1780)</f>
        <v>Neutral</v>
      </c>
    </row>
    <row r="1781" spans="1:11" ht="34" x14ac:dyDescent="0.2">
      <c r="A1781" t="s">
        <v>6758</v>
      </c>
      <c r="B1781" s="1" t="s">
        <v>6759</v>
      </c>
      <c r="C1781" t="s">
        <v>6760</v>
      </c>
      <c r="D1781" s="1" t="s">
        <v>322</v>
      </c>
      <c r="E1781" t="b">
        <v>0</v>
      </c>
      <c r="F1781">
        <v>227</v>
      </c>
      <c r="G1781">
        <v>1740</v>
      </c>
      <c r="H1781" t="s">
        <v>11</v>
      </c>
      <c r="I1781" t="b">
        <v>0</v>
      </c>
      <c r="J1781" cm="1">
        <f t="array" ref="J1781">sentimentCalc(B1781)</f>
        <v>0</v>
      </c>
      <c r="K1781" t="str" cm="1">
        <f t="array" ref="K1781">sentimentCategory(J1781)</f>
        <v>Neutral</v>
      </c>
    </row>
    <row r="1782" spans="1:11" ht="17" x14ac:dyDescent="0.2">
      <c r="A1782" t="s">
        <v>5563</v>
      </c>
      <c r="B1782" s="1" t="s">
        <v>5564</v>
      </c>
      <c r="C1782" t="s">
        <v>464</v>
      </c>
      <c r="D1782" s="1" t="s">
        <v>465</v>
      </c>
      <c r="E1782" t="b">
        <v>0</v>
      </c>
      <c r="F1782">
        <v>5</v>
      </c>
      <c r="G1782">
        <v>13</v>
      </c>
      <c r="H1782" t="s">
        <v>11</v>
      </c>
      <c r="I1782" t="b">
        <v>0</v>
      </c>
      <c r="J1782" cm="1">
        <f t="array" ref="J1782">sentimentCalc(B1782)</f>
        <v>0</v>
      </c>
      <c r="K1782" t="str" cm="1">
        <f t="array" ref="K1782">sentimentCategory(J1782)</f>
        <v>Neutral</v>
      </c>
    </row>
    <row r="1783" spans="1:11" ht="34" x14ac:dyDescent="0.2">
      <c r="A1783" t="s">
        <v>5194</v>
      </c>
      <c r="B1783" s="1" t="s">
        <v>5195</v>
      </c>
      <c r="C1783" t="s">
        <v>4516</v>
      </c>
      <c r="D1783" s="1" t="s">
        <v>5196</v>
      </c>
      <c r="E1783" t="b">
        <v>0</v>
      </c>
      <c r="F1783">
        <v>147</v>
      </c>
      <c r="G1783">
        <v>293</v>
      </c>
      <c r="H1783" t="s">
        <v>370</v>
      </c>
      <c r="I1783" t="b">
        <v>0</v>
      </c>
      <c r="J1783" cm="1">
        <f t="array" ref="J1783">sentimentCalc(B1783)</f>
        <v>0</v>
      </c>
      <c r="K1783" t="str" cm="1">
        <f t="array" ref="K1783">sentimentCategory(J1783)</f>
        <v>Neutral</v>
      </c>
    </row>
    <row r="1784" spans="1:11" ht="34" x14ac:dyDescent="0.2">
      <c r="A1784" t="s">
        <v>1988</v>
      </c>
      <c r="B1784" s="1" t="s">
        <v>1989</v>
      </c>
      <c r="C1784" t="s">
        <v>1990</v>
      </c>
      <c r="D1784" s="1" t="s">
        <v>2</v>
      </c>
      <c r="E1784" t="b">
        <v>0</v>
      </c>
      <c r="F1784">
        <v>357</v>
      </c>
      <c r="G1784">
        <v>494</v>
      </c>
      <c r="H1784" t="s">
        <v>11</v>
      </c>
      <c r="I1784" t="b">
        <v>0</v>
      </c>
      <c r="J1784" cm="1">
        <f t="array" ref="J1784">sentimentCalc(B1784)</f>
        <v>1</v>
      </c>
      <c r="K1784" t="str" cm="1">
        <f t="array" ref="K1784">sentimentCategory(J1784)</f>
        <v>Positive</v>
      </c>
    </row>
    <row r="1785" spans="1:11" ht="17" x14ac:dyDescent="0.2">
      <c r="A1785" t="s">
        <v>6042</v>
      </c>
      <c r="B1785" s="1" t="s">
        <v>6043</v>
      </c>
      <c r="C1785" t="s">
        <v>1568</v>
      </c>
      <c r="D1785" s="1" t="s">
        <v>6044</v>
      </c>
      <c r="E1785" t="b">
        <v>0</v>
      </c>
      <c r="F1785">
        <v>1105</v>
      </c>
      <c r="G1785">
        <v>510</v>
      </c>
      <c r="H1785" t="s">
        <v>11</v>
      </c>
      <c r="I1785" t="b">
        <v>0</v>
      </c>
      <c r="J1785" cm="1">
        <f t="array" ref="J1785">sentimentCalc(B1785)</f>
        <v>0</v>
      </c>
      <c r="K1785" t="str" cm="1">
        <f t="array" ref="K1785">sentimentCategory(J1785)</f>
        <v>Neutral</v>
      </c>
    </row>
    <row r="1786" spans="1:11" ht="34" x14ac:dyDescent="0.2">
      <c r="A1786" t="s">
        <v>4126</v>
      </c>
      <c r="B1786" s="1" t="s">
        <v>4127</v>
      </c>
      <c r="C1786" t="s">
        <v>4128</v>
      </c>
      <c r="D1786" s="1" t="s">
        <v>4129</v>
      </c>
      <c r="E1786" t="b">
        <v>0</v>
      </c>
      <c r="F1786">
        <v>9385</v>
      </c>
      <c r="G1786">
        <v>118</v>
      </c>
      <c r="H1786" t="s">
        <v>11</v>
      </c>
      <c r="I1786" t="b">
        <v>0</v>
      </c>
      <c r="J1786" cm="1">
        <f t="array" ref="J1786">sentimentCalc(B1786)</f>
        <v>1</v>
      </c>
      <c r="K1786" t="str" cm="1">
        <f t="array" ref="K1786">sentimentCategory(J1786)</f>
        <v>Positive</v>
      </c>
    </row>
    <row r="1787" spans="1:11" ht="34" x14ac:dyDescent="0.2">
      <c r="A1787" t="s">
        <v>4548</v>
      </c>
      <c r="B1787" s="1" t="s">
        <v>4549</v>
      </c>
      <c r="C1787" t="s">
        <v>2516</v>
      </c>
      <c r="D1787" s="1" t="s">
        <v>2</v>
      </c>
      <c r="E1787" t="b">
        <v>0</v>
      </c>
      <c r="F1787">
        <v>143</v>
      </c>
      <c r="G1787">
        <v>166</v>
      </c>
      <c r="H1787" t="s">
        <v>641</v>
      </c>
      <c r="I1787" t="b">
        <v>0</v>
      </c>
      <c r="J1787" cm="1">
        <f t="array" ref="J1787">sentimentCalc(B1787)</f>
        <v>0</v>
      </c>
      <c r="K1787" t="str" cm="1">
        <f t="array" ref="K1787">sentimentCategory(J1787)</f>
        <v>Neutral</v>
      </c>
    </row>
    <row r="1788" spans="1:11" ht="17" x14ac:dyDescent="0.2">
      <c r="A1788" t="s">
        <v>5201</v>
      </c>
      <c r="B1788" s="1" t="s">
        <v>5202</v>
      </c>
      <c r="C1788" t="s">
        <v>1086</v>
      </c>
      <c r="D1788" s="1" t="s">
        <v>701</v>
      </c>
      <c r="E1788" t="b">
        <v>0</v>
      </c>
      <c r="F1788">
        <v>16</v>
      </c>
      <c r="G1788">
        <v>37</v>
      </c>
      <c r="H1788" t="s">
        <v>11</v>
      </c>
      <c r="I1788" t="b">
        <v>0</v>
      </c>
      <c r="J1788" cm="1">
        <f t="array" ref="J1788">sentimentCalc(B1788)</f>
        <v>2</v>
      </c>
      <c r="K1788" t="str" cm="1">
        <f t="array" ref="K1788">sentimentCategory(J1788)</f>
        <v>Positive</v>
      </c>
    </row>
    <row r="1789" spans="1:11" ht="34" x14ac:dyDescent="0.2">
      <c r="A1789" t="s">
        <v>3475</v>
      </c>
      <c r="B1789" s="1" t="s">
        <v>3476</v>
      </c>
      <c r="C1789" t="s">
        <v>3059</v>
      </c>
      <c r="D1789" s="1" t="s">
        <v>3477</v>
      </c>
      <c r="E1789" t="b">
        <v>0</v>
      </c>
      <c r="F1789">
        <v>5038</v>
      </c>
      <c r="G1789">
        <v>289</v>
      </c>
      <c r="H1789" t="s">
        <v>11</v>
      </c>
      <c r="I1789" t="b">
        <v>0</v>
      </c>
      <c r="J1789" cm="1">
        <f t="array" ref="J1789">sentimentCalc(B1789)</f>
        <v>0</v>
      </c>
      <c r="K1789" t="str" cm="1">
        <f t="array" ref="K1789">sentimentCategory(J1789)</f>
        <v>Neutral</v>
      </c>
    </row>
    <row r="1790" spans="1:11" ht="34" x14ac:dyDescent="0.2">
      <c r="A1790" t="s">
        <v>4608</v>
      </c>
      <c r="B1790" s="1" t="s">
        <v>4609</v>
      </c>
      <c r="C1790" t="s">
        <v>193</v>
      </c>
      <c r="D1790" s="1" t="s">
        <v>4610</v>
      </c>
      <c r="E1790" t="b">
        <v>0</v>
      </c>
      <c r="F1790">
        <v>88</v>
      </c>
      <c r="G1790">
        <v>160</v>
      </c>
      <c r="H1790" t="s">
        <v>11</v>
      </c>
      <c r="I1790" t="b">
        <v>0</v>
      </c>
      <c r="J1790" cm="1">
        <f t="array" ref="J1790">sentimentCalc(B1790)</f>
        <v>1</v>
      </c>
      <c r="K1790" t="str" cm="1">
        <f t="array" ref="K1790">sentimentCategory(J1790)</f>
        <v>Positive</v>
      </c>
    </row>
    <row r="1791" spans="1:11" ht="34" x14ac:dyDescent="0.2">
      <c r="A1791" t="s">
        <v>7083</v>
      </c>
      <c r="B1791" s="1" t="s">
        <v>7084</v>
      </c>
      <c r="C1791" t="s">
        <v>2729</v>
      </c>
      <c r="D1791" s="1" t="s">
        <v>7085</v>
      </c>
      <c r="E1791" t="b">
        <v>0</v>
      </c>
      <c r="F1791">
        <v>46</v>
      </c>
      <c r="G1791">
        <v>338</v>
      </c>
      <c r="H1791" t="s">
        <v>11</v>
      </c>
      <c r="I1791" t="b">
        <v>0</v>
      </c>
      <c r="J1791" cm="1">
        <f t="array" ref="J1791">sentimentCalc(B1791)</f>
        <v>0</v>
      </c>
      <c r="K1791" t="str" cm="1">
        <f t="array" ref="K1791">sentimentCategory(J1791)</f>
        <v>Neutral</v>
      </c>
    </row>
    <row r="1792" spans="1:11" ht="17" x14ac:dyDescent="0.2">
      <c r="A1792" t="s">
        <v>1475</v>
      </c>
      <c r="B1792" s="1" t="s">
        <v>1476</v>
      </c>
      <c r="C1792" t="s">
        <v>1477</v>
      </c>
      <c r="D1792" s="1" t="s">
        <v>1478</v>
      </c>
      <c r="E1792" t="b">
        <v>0</v>
      </c>
      <c r="F1792">
        <v>4162</v>
      </c>
      <c r="G1792">
        <v>4148</v>
      </c>
      <c r="H1792" t="s">
        <v>11</v>
      </c>
      <c r="I1792" t="b">
        <v>0</v>
      </c>
      <c r="J1792" cm="1">
        <f t="array" ref="J1792">sentimentCalc(B1792)</f>
        <v>0</v>
      </c>
      <c r="K1792" t="str" cm="1">
        <f t="array" ref="K1792">sentimentCategory(J1792)</f>
        <v>Neutral</v>
      </c>
    </row>
    <row r="1793" spans="1:11" ht="17" x14ac:dyDescent="0.2">
      <c r="A1793" t="s">
        <v>2091</v>
      </c>
      <c r="B1793" s="1" t="s">
        <v>2092</v>
      </c>
      <c r="C1793" t="s">
        <v>1902</v>
      </c>
      <c r="D1793" s="1" t="s">
        <v>1809</v>
      </c>
      <c r="E1793" t="b">
        <v>0</v>
      </c>
      <c r="F1793">
        <v>184</v>
      </c>
      <c r="G1793">
        <v>300</v>
      </c>
      <c r="H1793" t="s">
        <v>11</v>
      </c>
      <c r="I1793" t="b">
        <v>0</v>
      </c>
      <c r="J1793" cm="1">
        <f t="array" ref="J1793">sentimentCalc(B1793)</f>
        <v>0</v>
      </c>
      <c r="K1793" t="str" cm="1">
        <f t="array" ref="K1793">sentimentCategory(J1793)</f>
        <v>Neutral</v>
      </c>
    </row>
    <row r="1794" spans="1:11" ht="17" x14ac:dyDescent="0.2">
      <c r="A1794" t="s">
        <v>3537</v>
      </c>
      <c r="B1794" s="1" t="s">
        <v>3538</v>
      </c>
      <c r="C1794" t="s">
        <v>38</v>
      </c>
      <c r="D1794" s="1" t="s">
        <v>3539</v>
      </c>
      <c r="E1794" t="b">
        <v>0</v>
      </c>
      <c r="F1794">
        <v>58</v>
      </c>
      <c r="G1794">
        <v>142</v>
      </c>
      <c r="H1794" t="s">
        <v>11</v>
      </c>
      <c r="I1794" t="b">
        <v>0</v>
      </c>
      <c r="J1794" cm="1">
        <f t="array" ref="J1794">sentimentCalc(B1794)</f>
        <v>1</v>
      </c>
      <c r="K1794" t="str" cm="1">
        <f t="array" ref="K1794">sentimentCategory(J1794)</f>
        <v>Positive</v>
      </c>
    </row>
    <row r="1795" spans="1:11" ht="17" x14ac:dyDescent="0.2">
      <c r="A1795" t="s">
        <v>2279</v>
      </c>
      <c r="B1795" s="1" t="s">
        <v>2280</v>
      </c>
      <c r="C1795" t="s">
        <v>836</v>
      </c>
      <c r="D1795" s="1" t="s">
        <v>2</v>
      </c>
      <c r="E1795" t="b">
        <v>0</v>
      </c>
      <c r="F1795">
        <v>9</v>
      </c>
      <c r="G1795">
        <v>113</v>
      </c>
      <c r="H1795" t="s">
        <v>11</v>
      </c>
      <c r="I1795" t="b">
        <v>0</v>
      </c>
      <c r="J1795" cm="1">
        <f t="array" ref="J1795">sentimentCalc(B1795)</f>
        <v>1</v>
      </c>
      <c r="K1795" t="str" cm="1">
        <f t="array" ref="K1795">sentimentCategory(J1795)</f>
        <v>Positive</v>
      </c>
    </row>
    <row r="1796" spans="1:11" ht="17" x14ac:dyDescent="0.2">
      <c r="A1796" t="s">
        <v>3238</v>
      </c>
      <c r="B1796" s="1" t="s">
        <v>3239</v>
      </c>
      <c r="C1796" t="s">
        <v>1998</v>
      </c>
      <c r="D1796" s="1" t="s">
        <v>2</v>
      </c>
      <c r="E1796" t="b">
        <v>0</v>
      </c>
      <c r="F1796">
        <v>30</v>
      </c>
      <c r="G1796">
        <v>33</v>
      </c>
      <c r="H1796" t="s">
        <v>11</v>
      </c>
      <c r="I1796" t="b">
        <v>0</v>
      </c>
      <c r="J1796" cm="1">
        <f t="array" ref="J1796">sentimentCalc(B1796)</f>
        <v>0</v>
      </c>
      <c r="K1796" t="str" cm="1">
        <f t="array" ref="K1796">sentimentCategory(J1796)</f>
        <v>Neutral</v>
      </c>
    </row>
    <row r="1797" spans="1:11" ht="34" x14ac:dyDescent="0.2">
      <c r="A1797" t="s">
        <v>2503</v>
      </c>
      <c r="B1797" s="1" t="s">
        <v>2504</v>
      </c>
      <c r="C1797" t="s">
        <v>623</v>
      </c>
      <c r="D1797" s="1" t="s">
        <v>624</v>
      </c>
      <c r="E1797" t="b">
        <v>0</v>
      </c>
      <c r="F1797">
        <v>3565</v>
      </c>
      <c r="G1797">
        <v>88</v>
      </c>
      <c r="H1797" t="s">
        <v>11</v>
      </c>
      <c r="I1797" t="b">
        <v>0</v>
      </c>
      <c r="J1797" cm="1">
        <f t="array" ref="J1797">sentimentCalc(B1797)</f>
        <v>0</v>
      </c>
      <c r="K1797" t="str" cm="1">
        <f t="array" ref="K1797">sentimentCategory(J1797)</f>
        <v>Neutral</v>
      </c>
    </row>
    <row r="1798" spans="1:11" ht="17" x14ac:dyDescent="0.2">
      <c r="A1798" t="s">
        <v>7071</v>
      </c>
      <c r="B1798" s="1" t="s">
        <v>7072</v>
      </c>
      <c r="C1798" t="s">
        <v>581</v>
      </c>
      <c r="D1798" s="1" t="s">
        <v>2</v>
      </c>
      <c r="E1798" t="b">
        <v>0</v>
      </c>
      <c r="F1798">
        <v>1930</v>
      </c>
      <c r="G1798">
        <v>186</v>
      </c>
      <c r="H1798" t="s">
        <v>370</v>
      </c>
      <c r="I1798" t="b">
        <v>0</v>
      </c>
      <c r="J1798" cm="1">
        <f t="array" ref="J1798">sentimentCalc(B1798)</f>
        <v>0</v>
      </c>
      <c r="K1798" t="str" cm="1">
        <f t="array" ref="K1798">sentimentCategory(J1798)</f>
        <v>Neutral</v>
      </c>
    </row>
    <row r="1799" spans="1:11" ht="17" x14ac:dyDescent="0.2">
      <c r="A1799" t="s">
        <v>1446</v>
      </c>
      <c r="B1799" s="1" t="s">
        <v>1447</v>
      </c>
      <c r="C1799" t="s">
        <v>1448</v>
      </c>
      <c r="D1799" s="1" t="s">
        <v>1449</v>
      </c>
      <c r="E1799" t="b">
        <v>0</v>
      </c>
      <c r="F1799">
        <v>1100</v>
      </c>
      <c r="G1799">
        <v>512</v>
      </c>
      <c r="H1799" t="s">
        <v>11</v>
      </c>
      <c r="I1799" t="b">
        <v>0</v>
      </c>
      <c r="J1799" cm="1">
        <f t="array" ref="J1799">sentimentCalc(B1799)</f>
        <v>0</v>
      </c>
      <c r="K1799" t="str" cm="1">
        <f t="array" ref="K1799">sentimentCategory(J1799)</f>
        <v>Neutral</v>
      </c>
    </row>
    <row r="1800" spans="1:11" ht="17" x14ac:dyDescent="0.2">
      <c r="A1800" t="s">
        <v>40</v>
      </c>
      <c r="B1800" s="1" t="s">
        <v>41</v>
      </c>
      <c r="C1800" t="s">
        <v>42</v>
      </c>
      <c r="D1800" s="1" t="s">
        <v>2</v>
      </c>
      <c r="E1800" t="b">
        <v>0</v>
      </c>
      <c r="F1800">
        <v>1134</v>
      </c>
      <c r="G1800">
        <v>821</v>
      </c>
      <c r="H1800" t="s">
        <v>11</v>
      </c>
      <c r="I1800" t="b">
        <v>0</v>
      </c>
      <c r="J1800" cm="1">
        <f t="array" ref="J1800">sentimentCalc(B1800)</f>
        <v>0</v>
      </c>
      <c r="K1800" t="str" cm="1">
        <f t="array" ref="K1800">sentimentCategory(J1800)</f>
        <v>Neutral</v>
      </c>
    </row>
    <row r="1801" spans="1:11" ht="17" x14ac:dyDescent="0.2">
      <c r="A1801" t="s">
        <v>1825</v>
      </c>
      <c r="B1801" s="1" t="s">
        <v>1826</v>
      </c>
      <c r="C1801" t="s">
        <v>373</v>
      </c>
      <c r="D1801" s="1" t="s">
        <v>1827</v>
      </c>
      <c r="E1801" t="b">
        <v>0</v>
      </c>
      <c r="F1801">
        <v>111</v>
      </c>
      <c r="G1801">
        <v>294</v>
      </c>
      <c r="H1801" t="s">
        <v>11</v>
      </c>
      <c r="I1801" t="b">
        <v>0</v>
      </c>
      <c r="J1801" cm="1">
        <f t="array" ref="J1801">sentimentCalc(B1801)</f>
        <v>0</v>
      </c>
      <c r="K1801" t="str" cm="1">
        <f t="array" ref="K1801">sentimentCategory(J1801)</f>
        <v>Neutral</v>
      </c>
    </row>
    <row r="1802" spans="1:11" ht="34" x14ac:dyDescent="0.2">
      <c r="A1802" t="s">
        <v>1042</v>
      </c>
      <c r="B1802" s="1" t="s">
        <v>1043</v>
      </c>
      <c r="C1802" t="s">
        <v>1044</v>
      </c>
      <c r="D1802" s="1" t="s">
        <v>1045</v>
      </c>
      <c r="E1802" t="b">
        <v>0</v>
      </c>
      <c r="F1802">
        <v>389</v>
      </c>
      <c r="G1802">
        <v>3145</v>
      </c>
      <c r="H1802" t="s">
        <v>11</v>
      </c>
      <c r="I1802" t="b">
        <v>0</v>
      </c>
      <c r="J1802" cm="1">
        <f t="array" ref="J1802">sentimentCalc(B1802)</f>
        <v>0</v>
      </c>
      <c r="K1802" t="str" cm="1">
        <f t="array" ref="K1802">sentimentCategory(J1802)</f>
        <v>Neutral</v>
      </c>
    </row>
    <row r="1803" spans="1:11" ht="34" x14ac:dyDescent="0.2">
      <c r="A1803" t="s">
        <v>2262</v>
      </c>
      <c r="B1803" s="1" t="s">
        <v>2263</v>
      </c>
      <c r="C1803" t="s">
        <v>2169</v>
      </c>
      <c r="D1803" s="1" t="s">
        <v>2170</v>
      </c>
      <c r="E1803" t="b">
        <v>0</v>
      </c>
      <c r="F1803">
        <v>62084</v>
      </c>
      <c r="G1803">
        <v>346</v>
      </c>
      <c r="H1803" t="s">
        <v>83</v>
      </c>
      <c r="I1803" t="b">
        <v>0</v>
      </c>
      <c r="J1803" cm="1">
        <f t="array" ref="J1803">sentimentCalc(B1803)</f>
        <v>0</v>
      </c>
      <c r="K1803" t="str" cm="1">
        <f t="array" ref="K1803">sentimentCategory(J1803)</f>
        <v>Neutral</v>
      </c>
    </row>
    <row r="1804" spans="1:11" ht="17" x14ac:dyDescent="0.2">
      <c r="A1804" t="s">
        <v>2149</v>
      </c>
      <c r="B1804" s="1" t="s">
        <v>2150</v>
      </c>
      <c r="C1804" t="s">
        <v>2151</v>
      </c>
      <c r="D1804" s="1" t="s">
        <v>2</v>
      </c>
      <c r="E1804" t="b">
        <v>0</v>
      </c>
      <c r="F1804">
        <v>10</v>
      </c>
      <c r="G1804">
        <v>1</v>
      </c>
      <c r="H1804" t="s">
        <v>11</v>
      </c>
      <c r="I1804" t="b">
        <v>0</v>
      </c>
      <c r="J1804" cm="1">
        <f t="array" ref="J1804">sentimentCalc(B1804)</f>
        <v>3</v>
      </c>
      <c r="K1804" t="str" cm="1">
        <f t="array" ref="K1804">sentimentCategory(J1804)</f>
        <v>Positive</v>
      </c>
    </row>
    <row r="1805" spans="1:11" ht="17" x14ac:dyDescent="0.2">
      <c r="A1805" t="s">
        <v>1606</v>
      </c>
      <c r="B1805" s="1" t="s">
        <v>1607</v>
      </c>
      <c r="C1805" t="s">
        <v>305</v>
      </c>
      <c r="D1805" s="1" t="s">
        <v>1608</v>
      </c>
      <c r="E1805" t="b">
        <v>0</v>
      </c>
      <c r="F1805">
        <v>53</v>
      </c>
      <c r="G1805">
        <v>210</v>
      </c>
      <c r="H1805" t="s">
        <v>11</v>
      </c>
      <c r="I1805" t="b">
        <v>0</v>
      </c>
      <c r="J1805" cm="1">
        <f t="array" ref="J1805">sentimentCalc(B1805)</f>
        <v>0</v>
      </c>
      <c r="K1805" t="str" cm="1">
        <f t="array" ref="K1805">sentimentCategory(J1805)</f>
        <v>Neutral</v>
      </c>
    </row>
    <row r="1806" spans="1:11" ht="34" x14ac:dyDescent="0.2">
      <c r="A1806" t="s">
        <v>444</v>
      </c>
      <c r="B1806" s="1" t="s">
        <v>445</v>
      </c>
      <c r="C1806" t="s">
        <v>446</v>
      </c>
      <c r="D1806" s="1" t="s">
        <v>2</v>
      </c>
      <c r="E1806" t="b">
        <v>0</v>
      </c>
      <c r="F1806">
        <v>98</v>
      </c>
      <c r="G1806">
        <v>564</v>
      </c>
      <c r="H1806" t="s">
        <v>83</v>
      </c>
      <c r="I1806" t="b">
        <v>0</v>
      </c>
      <c r="J1806" cm="1">
        <f t="array" ref="J1806">sentimentCalc(B1806)</f>
        <v>1</v>
      </c>
      <c r="K1806" t="str" cm="1">
        <f t="array" ref="K1806">sentimentCategory(J1806)</f>
        <v>Positive</v>
      </c>
    </row>
    <row r="1807" spans="1:11" ht="17" x14ac:dyDescent="0.2">
      <c r="A1807" t="s">
        <v>5410</v>
      </c>
      <c r="B1807" s="1" t="s">
        <v>5411</v>
      </c>
      <c r="C1807" t="s">
        <v>584</v>
      </c>
      <c r="D1807" s="1" t="s">
        <v>4541</v>
      </c>
      <c r="E1807" t="b">
        <v>0</v>
      </c>
      <c r="F1807">
        <v>13</v>
      </c>
      <c r="G1807">
        <v>58</v>
      </c>
      <c r="H1807" t="s">
        <v>11</v>
      </c>
      <c r="I1807" t="b">
        <v>0</v>
      </c>
      <c r="J1807" cm="1">
        <f t="array" ref="J1807">sentimentCalc(B1807)</f>
        <v>-1</v>
      </c>
      <c r="K1807" t="str" cm="1">
        <f t="array" ref="K1807">sentimentCategory(J1807)</f>
        <v>Negative</v>
      </c>
    </row>
    <row r="1808" spans="1:11" ht="34" x14ac:dyDescent="0.2">
      <c r="A1808" t="s">
        <v>2646</v>
      </c>
      <c r="B1808" s="1" t="s">
        <v>2647</v>
      </c>
      <c r="C1808" t="s">
        <v>76</v>
      </c>
      <c r="D1808" s="1" t="s">
        <v>2648</v>
      </c>
      <c r="E1808" t="b">
        <v>0</v>
      </c>
      <c r="F1808">
        <v>8737</v>
      </c>
      <c r="G1808">
        <v>784</v>
      </c>
      <c r="H1808" t="s">
        <v>11</v>
      </c>
      <c r="I1808" t="b">
        <v>0</v>
      </c>
      <c r="J1808" cm="1">
        <f t="array" ref="J1808">sentimentCalc(B1808)</f>
        <v>0</v>
      </c>
      <c r="K1808" t="str" cm="1">
        <f t="array" ref="K1808">sentimentCategory(J1808)</f>
        <v>Neutral</v>
      </c>
    </row>
    <row r="1809" spans="1:11" ht="17" x14ac:dyDescent="0.2">
      <c r="A1809" t="s">
        <v>677</v>
      </c>
      <c r="B1809" s="1" t="s">
        <v>678</v>
      </c>
      <c r="C1809" t="s">
        <v>679</v>
      </c>
      <c r="D1809" s="1" t="s">
        <v>487</v>
      </c>
      <c r="E1809" t="b">
        <v>0</v>
      </c>
      <c r="F1809">
        <v>1784</v>
      </c>
      <c r="G1809">
        <v>914</v>
      </c>
      <c r="H1809" t="s">
        <v>11</v>
      </c>
      <c r="I1809" t="b">
        <v>0</v>
      </c>
      <c r="J1809" cm="1">
        <f t="array" ref="J1809">sentimentCalc(B1809)</f>
        <v>0</v>
      </c>
      <c r="K1809" t="str" cm="1">
        <f t="array" ref="K1809">sentimentCategory(J1809)</f>
        <v>Neutral</v>
      </c>
    </row>
    <row r="1810" spans="1:11" ht="17" x14ac:dyDescent="0.2">
      <c r="A1810" t="s">
        <v>5229</v>
      </c>
      <c r="B1810" s="1" t="s">
        <v>5230</v>
      </c>
      <c r="C1810" t="s">
        <v>410</v>
      </c>
      <c r="D1810" s="1" t="s">
        <v>2</v>
      </c>
      <c r="E1810" t="b">
        <v>0</v>
      </c>
      <c r="F1810">
        <v>637</v>
      </c>
      <c r="G1810">
        <v>862</v>
      </c>
      <c r="H1810" t="s">
        <v>11</v>
      </c>
      <c r="I1810" t="b">
        <v>0</v>
      </c>
      <c r="J1810" cm="1">
        <f t="array" ref="J1810">sentimentCalc(B1810)</f>
        <v>0</v>
      </c>
      <c r="K1810" t="str" cm="1">
        <f t="array" ref="K1810">sentimentCategory(J1810)</f>
        <v>Neutral</v>
      </c>
    </row>
    <row r="1811" spans="1:11" ht="17" x14ac:dyDescent="0.2">
      <c r="A1811" t="s">
        <v>2427</v>
      </c>
      <c r="B1811" s="1" t="s">
        <v>2428</v>
      </c>
      <c r="C1811" t="s">
        <v>2429</v>
      </c>
      <c r="D1811" s="1" t="s">
        <v>2430</v>
      </c>
      <c r="E1811" t="b">
        <v>0</v>
      </c>
      <c r="F1811">
        <v>776</v>
      </c>
      <c r="G1811">
        <v>517</v>
      </c>
      <c r="H1811" t="s">
        <v>11</v>
      </c>
      <c r="I1811" t="b">
        <v>0</v>
      </c>
      <c r="J1811" cm="1">
        <f t="array" ref="J1811">sentimentCalc(B1811)</f>
        <v>0</v>
      </c>
      <c r="K1811" t="str" cm="1">
        <f t="array" ref="K1811">sentimentCategory(J1811)</f>
        <v>Neutral</v>
      </c>
    </row>
    <row r="1812" spans="1:11" ht="34" x14ac:dyDescent="0.2">
      <c r="A1812" t="s">
        <v>6578</v>
      </c>
      <c r="B1812" s="1" t="s">
        <v>6579</v>
      </c>
      <c r="C1812" t="s">
        <v>513</v>
      </c>
      <c r="D1812" s="1" t="s">
        <v>2</v>
      </c>
      <c r="E1812" t="b">
        <v>0</v>
      </c>
      <c r="F1812">
        <v>13</v>
      </c>
      <c r="G1812">
        <v>15</v>
      </c>
      <c r="H1812" t="s">
        <v>11</v>
      </c>
      <c r="I1812" t="b">
        <v>0</v>
      </c>
      <c r="J1812" cm="1">
        <f t="array" ref="J1812">sentimentCalc(B1812)</f>
        <v>0</v>
      </c>
      <c r="K1812" t="str" cm="1">
        <f t="array" ref="K1812">sentimentCategory(J1812)</f>
        <v>Neutral</v>
      </c>
    </row>
    <row r="1813" spans="1:11" ht="34" x14ac:dyDescent="0.2">
      <c r="A1813" t="s">
        <v>6122</v>
      </c>
      <c r="B1813" s="1" t="s">
        <v>6123</v>
      </c>
      <c r="C1813" t="s">
        <v>6078</v>
      </c>
      <c r="D1813" s="1" t="s">
        <v>6079</v>
      </c>
      <c r="E1813" t="b">
        <v>0</v>
      </c>
      <c r="F1813">
        <v>6979</v>
      </c>
      <c r="G1813">
        <v>6188</v>
      </c>
      <c r="H1813" t="s">
        <v>11</v>
      </c>
      <c r="I1813" t="b">
        <v>0</v>
      </c>
      <c r="J1813" cm="1">
        <f t="array" ref="J1813">sentimentCalc(B1813)</f>
        <v>0</v>
      </c>
      <c r="K1813" t="str" cm="1">
        <f t="array" ref="K1813">sentimentCategory(J1813)</f>
        <v>Neutral</v>
      </c>
    </row>
    <row r="1814" spans="1:11" ht="34" x14ac:dyDescent="0.2">
      <c r="A1814" t="s">
        <v>287</v>
      </c>
      <c r="B1814" s="1" t="s">
        <v>288</v>
      </c>
      <c r="C1814" t="s">
        <v>289</v>
      </c>
      <c r="D1814" s="1" t="s">
        <v>2</v>
      </c>
      <c r="E1814" t="b">
        <v>0</v>
      </c>
      <c r="F1814">
        <v>3633</v>
      </c>
      <c r="G1814">
        <v>3728</v>
      </c>
      <c r="H1814" t="s">
        <v>11</v>
      </c>
      <c r="I1814" t="b">
        <v>0</v>
      </c>
      <c r="J1814" cm="1">
        <f t="array" ref="J1814">sentimentCalc(B1814)</f>
        <v>0</v>
      </c>
      <c r="K1814" t="str" cm="1">
        <f t="array" ref="K1814">sentimentCategory(J1814)</f>
        <v>Neutral</v>
      </c>
    </row>
    <row r="1815" spans="1:11" ht="34" x14ac:dyDescent="0.2">
      <c r="A1815" t="s">
        <v>6909</v>
      </c>
      <c r="B1815" s="1" t="s">
        <v>6910</v>
      </c>
      <c r="C1815" t="s">
        <v>6911</v>
      </c>
      <c r="D1815" s="1" t="s">
        <v>2</v>
      </c>
      <c r="E1815" t="b">
        <v>0</v>
      </c>
      <c r="F1815">
        <v>2374</v>
      </c>
      <c r="G1815">
        <v>75</v>
      </c>
      <c r="H1815" t="s">
        <v>11</v>
      </c>
      <c r="I1815" t="b">
        <v>0</v>
      </c>
      <c r="J1815" cm="1">
        <f t="array" ref="J1815">sentimentCalc(B1815)</f>
        <v>1</v>
      </c>
      <c r="K1815" t="str" cm="1">
        <f t="array" ref="K1815">sentimentCategory(J1815)</f>
        <v>Positive</v>
      </c>
    </row>
    <row r="1816" spans="1:11" ht="17" x14ac:dyDescent="0.2">
      <c r="A1816" t="s">
        <v>6516</v>
      </c>
      <c r="B1816" s="1" t="s">
        <v>6517</v>
      </c>
      <c r="C1816" t="s">
        <v>1568</v>
      </c>
      <c r="D1816" s="1" t="s">
        <v>2</v>
      </c>
      <c r="E1816" t="b">
        <v>0</v>
      </c>
      <c r="F1816">
        <v>162</v>
      </c>
      <c r="G1816">
        <v>58</v>
      </c>
      <c r="H1816" t="s">
        <v>47</v>
      </c>
      <c r="I1816" t="b">
        <v>0</v>
      </c>
      <c r="J1816" cm="1">
        <f t="array" ref="J1816">sentimentCalc(B1816)</f>
        <v>-1</v>
      </c>
      <c r="K1816" t="str" cm="1">
        <f t="array" ref="K1816">sentimentCategory(J1816)</f>
        <v>Negative</v>
      </c>
    </row>
    <row r="1817" spans="1:11" ht="34" x14ac:dyDescent="0.2">
      <c r="A1817" t="s">
        <v>1282</v>
      </c>
      <c r="B1817" s="1" t="s">
        <v>1283</v>
      </c>
      <c r="C1817" t="s">
        <v>167</v>
      </c>
      <c r="D1817" s="1" t="s">
        <v>1284</v>
      </c>
      <c r="E1817" t="b">
        <v>0</v>
      </c>
      <c r="F1817">
        <v>3794</v>
      </c>
      <c r="G1817">
        <v>186</v>
      </c>
      <c r="H1817" t="s">
        <v>11</v>
      </c>
      <c r="I1817" t="b">
        <v>0</v>
      </c>
      <c r="J1817" cm="1">
        <f t="array" ref="J1817">sentimentCalc(B1817)</f>
        <v>0</v>
      </c>
      <c r="K1817" t="str" cm="1">
        <f t="array" ref="K1817">sentimentCategory(J1817)</f>
        <v>Neutral</v>
      </c>
    </row>
    <row r="1818" spans="1:11" ht="34" x14ac:dyDescent="0.2">
      <c r="A1818" t="s">
        <v>377</v>
      </c>
      <c r="B1818" s="1" t="s">
        <v>378</v>
      </c>
      <c r="C1818" t="s">
        <v>379</v>
      </c>
      <c r="D1818" s="1" t="s">
        <v>380</v>
      </c>
      <c r="E1818" t="b">
        <v>0</v>
      </c>
      <c r="F1818">
        <v>1060</v>
      </c>
      <c r="G1818">
        <v>362</v>
      </c>
      <c r="H1818" t="s">
        <v>11</v>
      </c>
      <c r="I1818" t="b">
        <v>0</v>
      </c>
      <c r="J1818" cm="1">
        <f t="array" ref="J1818">sentimentCalc(B1818)</f>
        <v>0</v>
      </c>
      <c r="K1818" t="str" cm="1">
        <f t="array" ref="K1818">sentimentCategory(J1818)</f>
        <v>Neutral</v>
      </c>
    </row>
    <row r="1819" spans="1:11" ht="34" x14ac:dyDescent="0.2">
      <c r="A1819" t="s">
        <v>5184</v>
      </c>
      <c r="B1819" s="1" t="s">
        <v>5185</v>
      </c>
      <c r="C1819" t="s">
        <v>526</v>
      </c>
      <c r="D1819" s="1" t="s">
        <v>2</v>
      </c>
      <c r="E1819" t="b">
        <v>0</v>
      </c>
      <c r="F1819">
        <v>184</v>
      </c>
      <c r="G1819">
        <v>210</v>
      </c>
      <c r="H1819" t="s">
        <v>11</v>
      </c>
      <c r="I1819" t="b">
        <v>0</v>
      </c>
      <c r="J1819" cm="1">
        <f t="array" ref="J1819">sentimentCalc(B1819)</f>
        <v>0</v>
      </c>
      <c r="K1819" t="str" cm="1">
        <f t="array" ref="K1819">sentimentCategory(J1819)</f>
        <v>Neutral</v>
      </c>
    </row>
    <row r="1820" spans="1:11" ht="34" x14ac:dyDescent="0.2">
      <c r="A1820" t="s">
        <v>6379</v>
      </c>
      <c r="B1820" s="1" t="s">
        <v>6380</v>
      </c>
      <c r="C1820" t="s">
        <v>2255</v>
      </c>
      <c r="D1820" s="1" t="s">
        <v>6381</v>
      </c>
      <c r="E1820" t="b">
        <v>0</v>
      </c>
      <c r="F1820">
        <v>4291</v>
      </c>
      <c r="G1820">
        <v>39</v>
      </c>
      <c r="H1820" t="s">
        <v>11</v>
      </c>
      <c r="I1820" t="b">
        <v>0</v>
      </c>
      <c r="J1820" cm="1">
        <f t="array" ref="J1820">sentimentCalc(B1820)</f>
        <v>0</v>
      </c>
      <c r="K1820" t="str" cm="1">
        <f t="array" ref="K1820">sentimentCategory(J1820)</f>
        <v>Neutral</v>
      </c>
    </row>
    <row r="1821" spans="1:11" ht="34" x14ac:dyDescent="0.2">
      <c r="A1821" t="s">
        <v>1340</v>
      </c>
      <c r="B1821" s="1" t="s">
        <v>1341</v>
      </c>
      <c r="C1821" t="s">
        <v>1342</v>
      </c>
      <c r="D1821" s="1" t="s">
        <v>1343</v>
      </c>
      <c r="E1821" t="b">
        <v>0</v>
      </c>
      <c r="F1821">
        <v>4352</v>
      </c>
      <c r="G1821">
        <v>349</v>
      </c>
      <c r="H1821" t="s">
        <v>11</v>
      </c>
      <c r="I1821" t="b">
        <v>0</v>
      </c>
      <c r="J1821" cm="1">
        <f t="array" ref="J1821">sentimentCalc(B1821)</f>
        <v>0</v>
      </c>
      <c r="K1821" t="str" cm="1">
        <f t="array" ref="K1821">sentimentCategory(J1821)</f>
        <v>Neutral</v>
      </c>
    </row>
    <row r="1822" spans="1:11" ht="17" x14ac:dyDescent="0.2">
      <c r="A1822" t="s">
        <v>3452</v>
      </c>
      <c r="B1822" s="1" t="s">
        <v>3453</v>
      </c>
      <c r="C1822" t="s">
        <v>410</v>
      </c>
      <c r="D1822" s="1" t="s">
        <v>3454</v>
      </c>
      <c r="E1822" t="b">
        <v>0</v>
      </c>
      <c r="F1822">
        <v>813</v>
      </c>
      <c r="G1822">
        <v>789</v>
      </c>
      <c r="H1822" t="s">
        <v>11</v>
      </c>
      <c r="I1822" t="b">
        <v>0</v>
      </c>
      <c r="J1822" cm="1">
        <f t="array" ref="J1822">sentimentCalc(B1822)</f>
        <v>1</v>
      </c>
      <c r="K1822" t="str" cm="1">
        <f t="array" ref="K1822">sentimentCategory(J1822)</f>
        <v>Positive</v>
      </c>
    </row>
    <row r="1823" spans="1:11" ht="17" x14ac:dyDescent="0.2">
      <c r="A1823" t="s">
        <v>2285</v>
      </c>
      <c r="B1823" s="1" t="s">
        <v>2286</v>
      </c>
      <c r="C1823" t="s">
        <v>2287</v>
      </c>
      <c r="D1823" s="1" t="s">
        <v>2</v>
      </c>
      <c r="E1823" t="b">
        <v>0</v>
      </c>
      <c r="F1823">
        <v>1014</v>
      </c>
      <c r="G1823">
        <v>1404</v>
      </c>
      <c r="H1823" t="s">
        <v>11</v>
      </c>
      <c r="I1823" t="b">
        <v>0</v>
      </c>
      <c r="J1823" cm="1">
        <f t="array" ref="J1823">sentimentCalc(B1823)</f>
        <v>0</v>
      </c>
      <c r="K1823" t="str" cm="1">
        <f t="array" ref="K1823">sentimentCategory(J1823)</f>
        <v>Neutral</v>
      </c>
    </row>
    <row r="1824" spans="1:11" ht="34" x14ac:dyDescent="0.2">
      <c r="A1824" t="s">
        <v>4746</v>
      </c>
      <c r="B1824" s="1" t="s">
        <v>4747</v>
      </c>
      <c r="C1824" t="s">
        <v>289</v>
      </c>
      <c r="D1824" s="1" t="s">
        <v>2</v>
      </c>
      <c r="E1824" t="b">
        <v>0</v>
      </c>
      <c r="F1824">
        <v>3634</v>
      </c>
      <c r="G1824">
        <v>3732</v>
      </c>
      <c r="H1824" t="s">
        <v>11</v>
      </c>
      <c r="I1824" t="b">
        <v>0</v>
      </c>
      <c r="J1824" cm="1">
        <f t="array" ref="J1824">sentimentCalc(B1824)</f>
        <v>0</v>
      </c>
      <c r="K1824" t="str" cm="1">
        <f t="array" ref="K1824">sentimentCategory(J1824)</f>
        <v>Neutral</v>
      </c>
    </row>
    <row r="1825" spans="1:11" ht="17" x14ac:dyDescent="0.2">
      <c r="A1825" t="s">
        <v>1504</v>
      </c>
      <c r="B1825" s="1" t="s">
        <v>1505</v>
      </c>
      <c r="C1825" t="s">
        <v>1506</v>
      </c>
      <c r="D1825" s="1" t="s">
        <v>1507</v>
      </c>
      <c r="E1825" t="b">
        <v>0</v>
      </c>
      <c r="F1825">
        <v>682</v>
      </c>
      <c r="G1825">
        <v>1430</v>
      </c>
      <c r="H1825" t="s">
        <v>11</v>
      </c>
      <c r="I1825" t="b">
        <v>0</v>
      </c>
      <c r="J1825" cm="1">
        <f t="array" ref="J1825">sentimentCalc(B1825)</f>
        <v>0</v>
      </c>
      <c r="K1825" t="str" cm="1">
        <f t="array" ref="K1825">sentimentCategory(J1825)</f>
        <v>Neutral</v>
      </c>
    </row>
    <row r="1826" spans="1:11" ht="17" x14ac:dyDescent="0.2">
      <c r="A1826" t="s">
        <v>1235</v>
      </c>
      <c r="B1826" s="1" t="s">
        <v>1236</v>
      </c>
      <c r="C1826" t="s">
        <v>1237</v>
      </c>
      <c r="D1826" s="1" t="s">
        <v>1238</v>
      </c>
      <c r="E1826" t="b">
        <v>0</v>
      </c>
      <c r="F1826">
        <v>17</v>
      </c>
      <c r="G1826">
        <v>439</v>
      </c>
      <c r="H1826" t="s">
        <v>11</v>
      </c>
      <c r="I1826" t="b">
        <v>0</v>
      </c>
      <c r="J1826" cm="1">
        <f t="array" ref="J1826">sentimentCalc(B1826)</f>
        <v>0</v>
      </c>
      <c r="K1826" t="str" cm="1">
        <f t="array" ref="K1826">sentimentCategory(J1826)</f>
        <v>Neutral</v>
      </c>
    </row>
    <row r="1827" spans="1:11" ht="17" x14ac:dyDescent="0.2">
      <c r="A1827" t="s">
        <v>1231</v>
      </c>
      <c r="B1827" s="1" t="s">
        <v>1232</v>
      </c>
      <c r="C1827" t="s">
        <v>1226</v>
      </c>
      <c r="D1827" s="1" t="s">
        <v>1227</v>
      </c>
      <c r="E1827" t="b">
        <v>0</v>
      </c>
      <c r="F1827">
        <v>425</v>
      </c>
      <c r="G1827">
        <v>768</v>
      </c>
      <c r="H1827" t="s">
        <v>11</v>
      </c>
      <c r="I1827" t="b">
        <v>0</v>
      </c>
      <c r="J1827" cm="1">
        <f t="array" ref="J1827">sentimentCalc(B1827)</f>
        <v>0</v>
      </c>
      <c r="K1827" t="str" cm="1">
        <f t="array" ref="K1827">sentimentCategory(J1827)</f>
        <v>Neutral</v>
      </c>
    </row>
    <row r="1828" spans="1:11" ht="34" x14ac:dyDescent="0.2">
      <c r="A1828" t="s">
        <v>2631</v>
      </c>
      <c r="B1828" s="1" t="s">
        <v>2632</v>
      </c>
      <c r="C1828" t="s">
        <v>2633</v>
      </c>
      <c r="D1828" s="1" t="s">
        <v>2634</v>
      </c>
      <c r="E1828" t="b">
        <v>0</v>
      </c>
      <c r="F1828">
        <v>1118</v>
      </c>
      <c r="G1828">
        <v>1528</v>
      </c>
      <c r="H1828" t="s">
        <v>3</v>
      </c>
      <c r="I1828" t="b">
        <v>0</v>
      </c>
      <c r="J1828" cm="1">
        <f t="array" ref="J1828">sentimentCalc(B1828)</f>
        <v>0</v>
      </c>
      <c r="K1828" t="str" cm="1">
        <f t="array" ref="K1828">sentimentCategory(J1828)</f>
        <v>Neutral</v>
      </c>
    </row>
    <row r="1829" spans="1:11" ht="17" x14ac:dyDescent="0.2">
      <c r="A1829" t="s">
        <v>609</v>
      </c>
      <c r="B1829" s="1" t="s">
        <v>610</v>
      </c>
      <c r="C1829" t="s">
        <v>611</v>
      </c>
      <c r="D1829" s="1" t="s">
        <v>612</v>
      </c>
      <c r="E1829" t="b">
        <v>0</v>
      </c>
      <c r="F1829">
        <v>14</v>
      </c>
      <c r="G1829">
        <v>27</v>
      </c>
      <c r="H1829" t="s">
        <v>47</v>
      </c>
      <c r="I1829" t="b">
        <v>0</v>
      </c>
      <c r="J1829" cm="1">
        <f t="array" ref="J1829">sentimentCalc(B1829)</f>
        <v>1</v>
      </c>
      <c r="K1829" t="str" cm="1">
        <f t="array" ref="K1829">sentimentCategory(J1829)</f>
        <v>Positive</v>
      </c>
    </row>
    <row r="1830" spans="1:11" ht="34" x14ac:dyDescent="0.2">
      <c r="A1830" t="s">
        <v>6922</v>
      </c>
      <c r="B1830" s="1" t="s">
        <v>6923</v>
      </c>
      <c r="C1830" t="s">
        <v>6924</v>
      </c>
      <c r="D1830" s="1" t="s">
        <v>2</v>
      </c>
      <c r="E1830" t="b">
        <v>0</v>
      </c>
      <c r="F1830">
        <v>242</v>
      </c>
      <c r="G1830">
        <v>102</v>
      </c>
      <c r="H1830" t="s">
        <v>11</v>
      </c>
      <c r="I1830" t="b">
        <v>0</v>
      </c>
      <c r="J1830" cm="1">
        <f t="array" ref="J1830">sentimentCalc(B1830)</f>
        <v>0</v>
      </c>
      <c r="K1830" t="str" cm="1">
        <f t="array" ref="K1830">sentimentCategory(J1830)</f>
        <v>Neutral</v>
      </c>
    </row>
    <row r="1831" spans="1:11" ht="17" x14ac:dyDescent="0.2">
      <c r="A1831" t="s">
        <v>6139</v>
      </c>
      <c r="B1831" s="1" t="s">
        <v>6140</v>
      </c>
      <c r="C1831" t="s">
        <v>2425</v>
      </c>
      <c r="D1831" s="1" t="s">
        <v>6141</v>
      </c>
      <c r="E1831" t="b">
        <v>0</v>
      </c>
      <c r="F1831">
        <v>21</v>
      </c>
      <c r="G1831">
        <v>171</v>
      </c>
      <c r="H1831" t="s">
        <v>11</v>
      </c>
      <c r="I1831" t="b">
        <v>0</v>
      </c>
      <c r="J1831" cm="1">
        <f t="array" ref="J1831">sentimentCalc(B1831)</f>
        <v>0</v>
      </c>
      <c r="K1831" t="str" cm="1">
        <f t="array" ref="K1831">sentimentCategory(J1831)</f>
        <v>Neutral</v>
      </c>
    </row>
    <row r="1832" spans="1:11" ht="34" x14ac:dyDescent="0.2">
      <c r="A1832" t="s">
        <v>1722</v>
      </c>
      <c r="B1832" s="1" t="s">
        <v>1723</v>
      </c>
      <c r="C1832" t="s">
        <v>1724</v>
      </c>
      <c r="D1832" s="1" t="s">
        <v>1725</v>
      </c>
      <c r="E1832" t="b">
        <v>0</v>
      </c>
      <c r="F1832">
        <v>169</v>
      </c>
      <c r="G1832">
        <v>280</v>
      </c>
      <c r="H1832" t="s">
        <v>11</v>
      </c>
      <c r="I1832" t="b">
        <v>0</v>
      </c>
      <c r="J1832" cm="1">
        <f t="array" ref="J1832">sentimentCalc(B1832)</f>
        <v>-1</v>
      </c>
      <c r="K1832" t="str" cm="1">
        <f t="array" ref="K1832">sentimentCategory(J1832)</f>
        <v>Negative</v>
      </c>
    </row>
    <row r="1833" spans="1:11" ht="17" x14ac:dyDescent="0.2">
      <c r="A1833" t="s">
        <v>3224</v>
      </c>
      <c r="B1833" s="1" t="s">
        <v>3225</v>
      </c>
      <c r="C1833" t="s">
        <v>3226</v>
      </c>
      <c r="D1833" s="1" t="s">
        <v>2</v>
      </c>
      <c r="E1833" t="b">
        <v>0</v>
      </c>
      <c r="F1833">
        <v>30001</v>
      </c>
      <c r="G1833">
        <v>629</v>
      </c>
      <c r="H1833" t="s">
        <v>11</v>
      </c>
      <c r="I1833" t="b">
        <v>0</v>
      </c>
      <c r="J1833" cm="1">
        <f t="array" ref="J1833">sentimentCalc(B1833)</f>
        <v>0</v>
      </c>
      <c r="K1833" t="str" cm="1">
        <f t="array" ref="K1833">sentimentCategory(J1833)</f>
        <v>Neutral</v>
      </c>
    </row>
    <row r="1834" spans="1:11" ht="17" x14ac:dyDescent="0.2">
      <c r="A1834" t="s">
        <v>6981</v>
      </c>
      <c r="B1834" s="1" t="s">
        <v>6982</v>
      </c>
      <c r="C1834" t="s">
        <v>6239</v>
      </c>
      <c r="D1834" s="1" t="s">
        <v>6983</v>
      </c>
      <c r="E1834" t="b">
        <v>0</v>
      </c>
      <c r="F1834">
        <v>89</v>
      </c>
      <c r="G1834">
        <v>166</v>
      </c>
      <c r="H1834" t="s">
        <v>11</v>
      </c>
      <c r="I1834" t="b">
        <v>0</v>
      </c>
      <c r="J1834" cm="1">
        <f t="array" ref="J1834">sentimentCalc(B1834)</f>
        <v>2</v>
      </c>
      <c r="K1834" t="str" cm="1">
        <f t="array" ref="K1834">sentimentCategory(J1834)</f>
        <v>Positive</v>
      </c>
    </row>
    <row r="1835" spans="1:11" ht="17" x14ac:dyDescent="0.2">
      <c r="A1835" t="s">
        <v>5147</v>
      </c>
      <c r="B1835" s="1" t="s">
        <v>5148</v>
      </c>
      <c r="C1835" t="s">
        <v>5137</v>
      </c>
      <c r="D1835" s="1" t="s">
        <v>2</v>
      </c>
      <c r="E1835" t="b">
        <v>0</v>
      </c>
      <c r="F1835">
        <v>27</v>
      </c>
      <c r="G1835">
        <v>28</v>
      </c>
      <c r="H1835" t="s">
        <v>11</v>
      </c>
      <c r="I1835" t="b">
        <v>0</v>
      </c>
      <c r="J1835" cm="1">
        <f t="array" ref="J1835">sentimentCalc(B1835)</f>
        <v>0</v>
      </c>
      <c r="K1835" t="str" cm="1">
        <f t="array" ref="K1835">sentimentCategory(J1835)</f>
        <v>Neutral</v>
      </c>
    </row>
    <row r="1836" spans="1:11" ht="34" x14ac:dyDescent="0.2">
      <c r="A1836" t="s">
        <v>4381</v>
      </c>
      <c r="B1836" s="1" t="s">
        <v>4382</v>
      </c>
      <c r="C1836" t="s">
        <v>3261</v>
      </c>
      <c r="D1836" s="1" t="s">
        <v>4383</v>
      </c>
      <c r="E1836" t="b">
        <v>0</v>
      </c>
      <c r="F1836">
        <v>532</v>
      </c>
      <c r="G1836">
        <v>371</v>
      </c>
      <c r="H1836" t="s">
        <v>11</v>
      </c>
      <c r="I1836" t="b">
        <v>0</v>
      </c>
      <c r="J1836" cm="1">
        <f t="array" ref="J1836">sentimentCalc(B1836)</f>
        <v>0</v>
      </c>
      <c r="K1836" t="str" cm="1">
        <f t="array" ref="K1836">sentimentCategory(J1836)</f>
        <v>Neutral</v>
      </c>
    </row>
    <row r="1837" spans="1:11" ht="34" x14ac:dyDescent="0.2">
      <c r="A1837" t="s">
        <v>7024</v>
      </c>
      <c r="B1837" s="1" t="s">
        <v>7025</v>
      </c>
      <c r="C1837" t="s">
        <v>2421</v>
      </c>
      <c r="D1837" s="1" t="s">
        <v>6051</v>
      </c>
      <c r="E1837" t="b">
        <v>0</v>
      </c>
      <c r="F1837">
        <v>1055</v>
      </c>
      <c r="G1837">
        <v>1475</v>
      </c>
      <c r="H1837" t="s">
        <v>11</v>
      </c>
      <c r="I1837" t="b">
        <v>0</v>
      </c>
      <c r="J1837" cm="1">
        <f t="array" ref="J1837">sentimentCalc(B1837)</f>
        <v>0</v>
      </c>
      <c r="K1837" t="str" cm="1">
        <f t="array" ref="K1837">sentimentCategory(J1837)</f>
        <v>Neutral</v>
      </c>
    </row>
    <row r="1838" spans="1:11" ht="34" x14ac:dyDescent="0.2">
      <c r="A1838" t="s">
        <v>4287</v>
      </c>
      <c r="B1838" s="1" t="s">
        <v>4288</v>
      </c>
      <c r="C1838" t="s">
        <v>193</v>
      </c>
      <c r="D1838" s="1" t="s">
        <v>322</v>
      </c>
      <c r="E1838" t="b">
        <v>0</v>
      </c>
      <c r="F1838">
        <v>15</v>
      </c>
      <c r="G1838">
        <v>59</v>
      </c>
      <c r="H1838" t="s">
        <v>11</v>
      </c>
      <c r="I1838" t="b">
        <v>0</v>
      </c>
      <c r="J1838" cm="1">
        <f t="array" ref="J1838">sentimentCalc(B1838)</f>
        <v>0</v>
      </c>
      <c r="K1838" t="str" cm="1">
        <f t="array" ref="K1838">sentimentCategory(J1838)</f>
        <v>Neutral</v>
      </c>
    </row>
    <row r="1839" spans="1:11" ht="17" x14ac:dyDescent="0.2">
      <c r="A1839" t="s">
        <v>7022</v>
      </c>
      <c r="B1839" s="1" t="s">
        <v>7023</v>
      </c>
      <c r="C1839" t="s">
        <v>157</v>
      </c>
      <c r="D1839" s="1" t="s">
        <v>158</v>
      </c>
      <c r="E1839" t="b">
        <v>0</v>
      </c>
      <c r="F1839">
        <v>132</v>
      </c>
      <c r="G1839">
        <v>57</v>
      </c>
      <c r="H1839" t="s">
        <v>11</v>
      </c>
      <c r="I1839" t="b">
        <v>0</v>
      </c>
      <c r="J1839" cm="1">
        <f t="array" ref="J1839">sentimentCalc(B1839)</f>
        <v>0</v>
      </c>
      <c r="K1839" t="str" cm="1">
        <f t="array" ref="K1839">sentimentCategory(J1839)</f>
        <v>Neutral</v>
      </c>
    </row>
    <row r="1840" spans="1:11" ht="17" x14ac:dyDescent="0.2">
      <c r="A1840" t="s">
        <v>1103</v>
      </c>
      <c r="B1840" s="1" t="s">
        <v>1104</v>
      </c>
      <c r="C1840" t="s">
        <v>345</v>
      </c>
      <c r="D1840" s="1" t="s">
        <v>1105</v>
      </c>
      <c r="E1840" t="b">
        <v>0</v>
      </c>
      <c r="F1840">
        <v>414</v>
      </c>
      <c r="G1840">
        <v>206</v>
      </c>
      <c r="H1840" t="s">
        <v>11</v>
      </c>
      <c r="I1840" t="b">
        <v>0</v>
      </c>
      <c r="J1840" cm="1">
        <f t="array" ref="J1840">sentimentCalc(B1840)</f>
        <v>0</v>
      </c>
      <c r="K1840" t="str" cm="1">
        <f t="array" ref="K1840">sentimentCategory(J1840)</f>
        <v>Neutral</v>
      </c>
    </row>
    <row r="1841" spans="1:11" ht="34" x14ac:dyDescent="0.2">
      <c r="A1841" t="s">
        <v>6210</v>
      </c>
      <c r="B1841" s="1" t="s">
        <v>6211</v>
      </c>
      <c r="C1841" t="s">
        <v>6212</v>
      </c>
      <c r="D1841" s="1" t="s">
        <v>6213</v>
      </c>
      <c r="E1841" t="b">
        <v>0</v>
      </c>
      <c r="F1841">
        <v>5123</v>
      </c>
      <c r="G1841">
        <v>5586</v>
      </c>
      <c r="H1841" t="s">
        <v>11</v>
      </c>
      <c r="I1841" t="b">
        <v>0</v>
      </c>
      <c r="J1841" cm="1">
        <f t="array" ref="J1841">sentimentCalc(B1841)</f>
        <v>0</v>
      </c>
      <c r="K1841" t="str" cm="1">
        <f t="array" ref="K1841">sentimentCategory(J1841)</f>
        <v>Neutral</v>
      </c>
    </row>
    <row r="1842" spans="1:11" ht="17" x14ac:dyDescent="0.2">
      <c r="A1842" t="s">
        <v>5094</v>
      </c>
      <c r="B1842" s="1" t="s">
        <v>5096</v>
      </c>
      <c r="C1842" t="s">
        <v>5097</v>
      </c>
      <c r="D1842" s="1" t="s">
        <v>5098</v>
      </c>
      <c r="E1842" t="b">
        <v>0</v>
      </c>
      <c r="F1842">
        <v>488</v>
      </c>
      <c r="G1842">
        <v>540</v>
      </c>
      <c r="H1842" t="s">
        <v>11</v>
      </c>
      <c r="I1842" t="b">
        <v>0</v>
      </c>
      <c r="J1842" cm="1">
        <f t="array" ref="J1842">sentimentCalc(B1842)</f>
        <v>0</v>
      </c>
      <c r="K1842" t="str" cm="1">
        <f t="array" ref="K1842">sentimentCategory(J1842)</f>
        <v>Neutral</v>
      </c>
    </row>
    <row r="1843" spans="1:11" ht="17" x14ac:dyDescent="0.2">
      <c r="A1843" t="s">
        <v>4067</v>
      </c>
      <c r="B1843" s="1" t="s">
        <v>4068</v>
      </c>
      <c r="C1843" t="s">
        <v>472</v>
      </c>
      <c r="D1843" s="1" t="s">
        <v>2</v>
      </c>
      <c r="E1843" t="b">
        <v>0</v>
      </c>
      <c r="F1843">
        <v>190</v>
      </c>
      <c r="G1843">
        <v>92</v>
      </c>
      <c r="H1843" t="s">
        <v>11</v>
      </c>
      <c r="I1843" t="b">
        <v>0</v>
      </c>
      <c r="J1843" cm="1">
        <f t="array" ref="J1843">sentimentCalc(B1843)</f>
        <v>1</v>
      </c>
      <c r="K1843" t="str" cm="1">
        <f t="array" ref="K1843">sentimentCategory(J1843)</f>
        <v>Positive</v>
      </c>
    </row>
    <row r="1844" spans="1:11" ht="17" x14ac:dyDescent="0.2">
      <c r="A1844" t="s">
        <v>6339</v>
      </c>
      <c r="B1844" s="1" t="s">
        <v>6340</v>
      </c>
      <c r="C1844" t="s">
        <v>1237</v>
      </c>
      <c r="D1844" s="1" t="s">
        <v>6341</v>
      </c>
      <c r="E1844" t="b">
        <v>0</v>
      </c>
      <c r="F1844">
        <v>8301</v>
      </c>
      <c r="G1844">
        <v>510</v>
      </c>
      <c r="H1844" t="s">
        <v>370</v>
      </c>
      <c r="I1844" t="b">
        <v>0</v>
      </c>
      <c r="J1844" cm="1">
        <f t="array" ref="J1844">sentimentCalc(B1844)</f>
        <v>0</v>
      </c>
      <c r="K1844" t="str" cm="1">
        <f t="array" ref="K1844">sentimentCategory(J1844)</f>
        <v>Neutral</v>
      </c>
    </row>
    <row r="1845" spans="1:11" ht="17" x14ac:dyDescent="0.2">
      <c r="A1845" t="s">
        <v>1532</v>
      </c>
      <c r="B1845" s="1" t="s">
        <v>1533</v>
      </c>
      <c r="C1845" t="s">
        <v>222</v>
      </c>
      <c r="D1845" s="1" t="s">
        <v>223</v>
      </c>
      <c r="E1845" t="b">
        <v>0</v>
      </c>
      <c r="F1845">
        <v>9227</v>
      </c>
      <c r="G1845">
        <v>7170</v>
      </c>
      <c r="H1845" t="s">
        <v>11</v>
      </c>
      <c r="I1845" t="b">
        <v>0</v>
      </c>
      <c r="J1845" cm="1">
        <f t="array" ref="J1845">sentimentCalc(B1845)</f>
        <v>0</v>
      </c>
      <c r="K1845" t="str" cm="1">
        <f t="array" ref="K1845">sentimentCategory(J1845)</f>
        <v>Neutral</v>
      </c>
    </row>
    <row r="1846" spans="1:11" ht="17" x14ac:dyDescent="0.2">
      <c r="A1846" t="s">
        <v>652</v>
      </c>
      <c r="B1846" s="1" t="s">
        <v>653</v>
      </c>
      <c r="C1846" t="s">
        <v>654</v>
      </c>
      <c r="D1846" s="1" t="s">
        <v>655</v>
      </c>
      <c r="E1846" t="b">
        <v>0</v>
      </c>
      <c r="F1846">
        <v>6</v>
      </c>
      <c r="G1846">
        <v>62</v>
      </c>
      <c r="H1846" t="s">
        <v>641</v>
      </c>
      <c r="I1846" t="b">
        <v>0</v>
      </c>
      <c r="J1846" cm="1">
        <f t="array" ref="J1846">sentimentCalc(B1846)</f>
        <v>0</v>
      </c>
      <c r="K1846" t="str" cm="1">
        <f t="array" ref="K1846">sentimentCategory(J1846)</f>
        <v>Neutral</v>
      </c>
    </row>
    <row r="1847" spans="1:11" ht="34" x14ac:dyDescent="0.2">
      <c r="A1847" t="s">
        <v>4309</v>
      </c>
      <c r="B1847" s="1" t="s">
        <v>4310</v>
      </c>
      <c r="C1847" t="s">
        <v>2973</v>
      </c>
      <c r="D1847" s="1" t="s">
        <v>4311</v>
      </c>
      <c r="E1847" t="b">
        <v>0</v>
      </c>
      <c r="F1847">
        <v>5593</v>
      </c>
      <c r="G1847">
        <v>203</v>
      </c>
      <c r="H1847" t="s">
        <v>11</v>
      </c>
      <c r="I1847" t="b">
        <v>0</v>
      </c>
      <c r="J1847" cm="1">
        <f t="array" ref="J1847">sentimentCalc(B1847)</f>
        <v>0</v>
      </c>
      <c r="K1847" t="str" cm="1">
        <f t="array" ref="K1847">sentimentCategory(J1847)</f>
        <v>Neutral</v>
      </c>
    </row>
    <row r="1848" spans="1:11" ht="34" x14ac:dyDescent="0.2">
      <c r="A1848" t="s">
        <v>4063</v>
      </c>
      <c r="B1848" s="1" t="s">
        <v>4064</v>
      </c>
      <c r="C1848" t="s">
        <v>1419</v>
      </c>
      <c r="D1848" s="1" t="s">
        <v>2873</v>
      </c>
      <c r="E1848" t="b">
        <v>0</v>
      </c>
      <c r="F1848">
        <v>2264</v>
      </c>
      <c r="G1848">
        <v>2352</v>
      </c>
      <c r="H1848" t="s">
        <v>11</v>
      </c>
      <c r="I1848" t="b">
        <v>0</v>
      </c>
      <c r="J1848" cm="1">
        <f t="array" ref="J1848">sentimentCalc(B1848)</f>
        <v>0</v>
      </c>
      <c r="K1848" t="str" cm="1">
        <f t="array" ref="K1848">sentimentCategory(J1848)</f>
        <v>Neutral</v>
      </c>
    </row>
    <row r="1849" spans="1:11" ht="17" x14ac:dyDescent="0.2">
      <c r="A1849" t="s">
        <v>5685</v>
      </c>
      <c r="B1849" s="1" t="s">
        <v>5686</v>
      </c>
      <c r="C1849" t="s">
        <v>230</v>
      </c>
      <c r="D1849" s="1" t="s">
        <v>2</v>
      </c>
      <c r="E1849" t="b">
        <v>0</v>
      </c>
      <c r="F1849">
        <v>10</v>
      </c>
      <c r="G1849">
        <v>125</v>
      </c>
      <c r="H1849" t="s">
        <v>11</v>
      </c>
      <c r="I1849" t="b">
        <v>0</v>
      </c>
      <c r="J1849" cm="1">
        <f t="array" ref="J1849">sentimentCalc(B1849)</f>
        <v>0</v>
      </c>
      <c r="K1849" t="str" cm="1">
        <f t="array" ref="K1849">sentimentCategory(J1849)</f>
        <v>Neutral</v>
      </c>
    </row>
    <row r="1850" spans="1:11" ht="17" x14ac:dyDescent="0.2">
      <c r="A1850" t="s">
        <v>2879</v>
      </c>
      <c r="B1850" s="1" t="s">
        <v>2880</v>
      </c>
      <c r="C1850" t="s">
        <v>2881</v>
      </c>
      <c r="D1850" s="1" t="s">
        <v>2882</v>
      </c>
      <c r="E1850" t="b">
        <v>0</v>
      </c>
      <c r="F1850">
        <v>107</v>
      </c>
      <c r="G1850">
        <v>127</v>
      </c>
      <c r="H1850" t="s">
        <v>11</v>
      </c>
      <c r="I1850" t="b">
        <v>0</v>
      </c>
      <c r="J1850" cm="1">
        <f t="array" ref="J1850">sentimentCalc(B1850)</f>
        <v>0</v>
      </c>
      <c r="K1850" t="str" cm="1">
        <f t="array" ref="K1850">sentimentCategory(J1850)</f>
        <v>Neutral</v>
      </c>
    </row>
    <row r="1851" spans="1:11" ht="17" x14ac:dyDescent="0.2">
      <c r="A1851" t="s">
        <v>6042</v>
      </c>
      <c r="B1851" s="1" t="s">
        <v>6045</v>
      </c>
      <c r="C1851" t="s">
        <v>6046</v>
      </c>
      <c r="D1851" s="1" t="s">
        <v>2</v>
      </c>
      <c r="E1851" t="b">
        <v>0</v>
      </c>
      <c r="F1851">
        <v>15</v>
      </c>
      <c r="G1851">
        <v>24</v>
      </c>
      <c r="H1851" t="s">
        <v>11</v>
      </c>
      <c r="I1851" t="b">
        <v>0</v>
      </c>
      <c r="J1851" cm="1">
        <f t="array" ref="J1851">sentimentCalc(B1851)</f>
        <v>1</v>
      </c>
      <c r="K1851" t="str" cm="1">
        <f t="array" ref="K1851">sentimentCategory(J1851)</f>
        <v>Positive</v>
      </c>
    </row>
    <row r="1852" spans="1:11" ht="34" x14ac:dyDescent="0.2">
      <c r="A1852" t="s">
        <v>3519</v>
      </c>
      <c r="B1852" s="1" t="s">
        <v>3520</v>
      </c>
      <c r="C1852" t="s">
        <v>3521</v>
      </c>
      <c r="D1852" s="1" t="s">
        <v>2</v>
      </c>
      <c r="E1852" t="b">
        <v>0</v>
      </c>
      <c r="F1852">
        <v>0</v>
      </c>
      <c r="G1852">
        <v>17</v>
      </c>
      <c r="H1852" t="s">
        <v>11</v>
      </c>
      <c r="I1852" t="b">
        <v>0</v>
      </c>
      <c r="J1852" cm="1">
        <f t="array" ref="J1852">sentimentCalc(B1852)</f>
        <v>0</v>
      </c>
      <c r="K1852" t="str" cm="1">
        <f t="array" ref="K1852">sentimentCategory(J1852)</f>
        <v>Neutral</v>
      </c>
    </row>
    <row r="1853" spans="1:11" ht="17" x14ac:dyDescent="0.2">
      <c r="A1853" t="s">
        <v>4817</v>
      </c>
      <c r="B1853" s="1" t="s">
        <v>4818</v>
      </c>
      <c r="C1853" t="s">
        <v>564</v>
      </c>
      <c r="D1853" s="1" t="s">
        <v>4665</v>
      </c>
      <c r="E1853" t="b">
        <v>0</v>
      </c>
      <c r="F1853">
        <v>174</v>
      </c>
      <c r="G1853">
        <v>240</v>
      </c>
      <c r="H1853" t="s">
        <v>11</v>
      </c>
      <c r="I1853" t="b">
        <v>0</v>
      </c>
      <c r="J1853" cm="1">
        <f t="array" ref="J1853">sentimentCalc(B1853)</f>
        <v>0</v>
      </c>
      <c r="K1853" t="str" cm="1">
        <f t="array" ref="K1853">sentimentCategory(J1853)</f>
        <v>Neutral</v>
      </c>
    </row>
    <row r="1854" spans="1:11" ht="17" x14ac:dyDescent="0.2">
      <c r="A1854" t="s">
        <v>3391</v>
      </c>
      <c r="B1854" s="1" t="s">
        <v>3392</v>
      </c>
      <c r="C1854" t="s">
        <v>1419</v>
      </c>
      <c r="D1854" s="1" t="s">
        <v>2</v>
      </c>
      <c r="E1854" t="b">
        <v>0</v>
      </c>
      <c r="F1854">
        <v>38</v>
      </c>
      <c r="G1854">
        <v>116</v>
      </c>
      <c r="H1854" t="s">
        <v>11</v>
      </c>
      <c r="I1854" t="b">
        <v>0</v>
      </c>
      <c r="J1854" cm="1">
        <f t="array" ref="J1854">sentimentCalc(B1854)</f>
        <v>1</v>
      </c>
      <c r="K1854" t="str" cm="1">
        <f t="array" ref="K1854">sentimentCategory(J1854)</f>
        <v>Positive</v>
      </c>
    </row>
    <row r="1855" spans="1:11" ht="17" x14ac:dyDescent="0.2">
      <c r="A1855" t="s">
        <v>5482</v>
      </c>
      <c r="B1855" s="1" t="s">
        <v>5483</v>
      </c>
      <c r="C1855" t="s">
        <v>5484</v>
      </c>
      <c r="D1855" s="1" t="s">
        <v>2</v>
      </c>
      <c r="E1855" t="b">
        <v>0</v>
      </c>
      <c r="F1855">
        <v>25</v>
      </c>
      <c r="G1855">
        <v>115</v>
      </c>
      <c r="H1855" t="s">
        <v>11</v>
      </c>
      <c r="I1855" t="b">
        <v>0</v>
      </c>
      <c r="J1855" cm="1">
        <f t="array" ref="J1855">sentimentCalc(B1855)</f>
        <v>0</v>
      </c>
      <c r="K1855" t="str" cm="1">
        <f t="array" ref="K1855">sentimentCategory(J1855)</f>
        <v>Neutral</v>
      </c>
    </row>
    <row r="1856" spans="1:11" ht="17" x14ac:dyDescent="0.2">
      <c r="A1856" t="s">
        <v>3191</v>
      </c>
      <c r="B1856" s="1" t="s">
        <v>3192</v>
      </c>
      <c r="C1856" t="s">
        <v>3193</v>
      </c>
      <c r="D1856" s="1" t="s">
        <v>2</v>
      </c>
      <c r="E1856" t="b">
        <v>0</v>
      </c>
      <c r="F1856">
        <v>360</v>
      </c>
      <c r="G1856">
        <v>27</v>
      </c>
      <c r="H1856" t="s">
        <v>11</v>
      </c>
      <c r="I1856" t="b">
        <v>0</v>
      </c>
      <c r="J1856" cm="1">
        <f t="array" ref="J1856">sentimentCalc(B1856)</f>
        <v>0</v>
      </c>
      <c r="K1856" t="str" cm="1">
        <f t="array" ref="K1856">sentimentCategory(J1856)</f>
        <v>Neutral</v>
      </c>
    </row>
    <row r="1857" spans="1:11" ht="17" x14ac:dyDescent="0.2">
      <c r="A1857" t="s">
        <v>2531</v>
      </c>
      <c r="B1857" s="1" t="s">
        <v>2532</v>
      </c>
      <c r="C1857" t="s">
        <v>2533</v>
      </c>
      <c r="D1857" s="1" t="s">
        <v>1343</v>
      </c>
      <c r="E1857" t="b">
        <v>0</v>
      </c>
      <c r="F1857">
        <v>9</v>
      </c>
      <c r="G1857">
        <v>30</v>
      </c>
      <c r="H1857" t="s">
        <v>11</v>
      </c>
      <c r="I1857" t="b">
        <v>0</v>
      </c>
      <c r="J1857" cm="1">
        <f t="array" ref="J1857">sentimentCalc(B1857)</f>
        <v>0</v>
      </c>
      <c r="K1857" t="str" cm="1">
        <f t="array" ref="K1857">sentimentCategory(J1857)</f>
        <v>Neutral</v>
      </c>
    </row>
    <row r="1858" spans="1:11" ht="34" x14ac:dyDescent="0.2">
      <c r="A1858" t="s">
        <v>4239</v>
      </c>
      <c r="B1858" s="1" t="s">
        <v>4240</v>
      </c>
      <c r="C1858" t="s">
        <v>1263</v>
      </c>
      <c r="D1858" s="1" t="s">
        <v>4241</v>
      </c>
      <c r="E1858" t="b">
        <v>0</v>
      </c>
      <c r="F1858">
        <v>899</v>
      </c>
      <c r="G1858">
        <v>382</v>
      </c>
      <c r="H1858" t="s">
        <v>11</v>
      </c>
      <c r="I1858" t="b">
        <v>0</v>
      </c>
      <c r="J1858" cm="1">
        <f t="array" ref="J1858">sentimentCalc(B1858)</f>
        <v>0</v>
      </c>
      <c r="K1858" t="str" cm="1">
        <f t="array" ref="K1858">sentimentCategory(J1858)</f>
        <v>Neutral</v>
      </c>
    </row>
    <row r="1859" spans="1:11" ht="34" x14ac:dyDescent="0.2">
      <c r="A1859" t="s">
        <v>5870</v>
      </c>
      <c r="B1859" s="1" t="s">
        <v>5871</v>
      </c>
      <c r="C1859" t="s">
        <v>564</v>
      </c>
      <c r="D1859" s="1" t="s">
        <v>5872</v>
      </c>
      <c r="E1859" t="b">
        <v>0</v>
      </c>
      <c r="F1859">
        <v>1037</v>
      </c>
      <c r="G1859">
        <v>381</v>
      </c>
      <c r="H1859" t="s">
        <v>11</v>
      </c>
      <c r="I1859" t="b">
        <v>0</v>
      </c>
      <c r="J1859" cm="1">
        <f t="array" ref="J1859">sentimentCalc(B1859)</f>
        <v>0</v>
      </c>
      <c r="K1859" t="str" cm="1">
        <f t="array" ref="K1859">sentimentCategory(J1859)</f>
        <v>Neutral</v>
      </c>
    </row>
    <row r="1860" spans="1:11" ht="17" x14ac:dyDescent="0.2">
      <c r="A1860" t="s">
        <v>6791</v>
      </c>
      <c r="B1860" s="1" t="s">
        <v>6792</v>
      </c>
      <c r="C1860" t="s">
        <v>476</v>
      </c>
      <c r="D1860" s="1" t="s">
        <v>6793</v>
      </c>
      <c r="E1860" t="b">
        <v>0</v>
      </c>
      <c r="F1860">
        <v>112</v>
      </c>
      <c r="G1860">
        <v>162</v>
      </c>
      <c r="H1860" t="s">
        <v>11</v>
      </c>
      <c r="I1860" t="b">
        <v>0</v>
      </c>
      <c r="J1860" cm="1">
        <f t="array" ref="J1860">sentimentCalc(B1860)</f>
        <v>0</v>
      </c>
      <c r="K1860" t="str" cm="1">
        <f t="array" ref="K1860">sentimentCategory(J1860)</f>
        <v>Neutral</v>
      </c>
    </row>
    <row r="1861" spans="1:11" ht="34" x14ac:dyDescent="0.2">
      <c r="A1861" t="s">
        <v>323</v>
      </c>
      <c r="B1861" s="1" t="s">
        <v>324</v>
      </c>
      <c r="C1861" t="s">
        <v>325</v>
      </c>
      <c r="D1861" s="1" t="s">
        <v>2</v>
      </c>
      <c r="E1861" t="b">
        <v>0</v>
      </c>
      <c r="F1861">
        <v>156</v>
      </c>
      <c r="G1861">
        <v>960</v>
      </c>
      <c r="H1861" t="s">
        <v>11</v>
      </c>
      <c r="I1861" t="b">
        <v>0</v>
      </c>
      <c r="J1861" cm="1">
        <f t="array" ref="J1861">sentimentCalc(B1861)</f>
        <v>0</v>
      </c>
      <c r="K1861" t="str" cm="1">
        <f t="array" ref="K1861">sentimentCategory(J1861)</f>
        <v>Neutral</v>
      </c>
    </row>
    <row r="1862" spans="1:11" ht="17" x14ac:dyDescent="0.2">
      <c r="A1862" t="s">
        <v>5109</v>
      </c>
      <c r="B1862" s="1" t="s">
        <v>5110</v>
      </c>
      <c r="C1862" t="s">
        <v>1342</v>
      </c>
      <c r="D1862" s="1" t="s">
        <v>1264</v>
      </c>
      <c r="E1862" t="b">
        <v>0</v>
      </c>
      <c r="F1862">
        <v>10594</v>
      </c>
      <c r="G1862">
        <v>158</v>
      </c>
      <c r="H1862" t="s">
        <v>359</v>
      </c>
      <c r="I1862" t="b">
        <v>0</v>
      </c>
      <c r="J1862" cm="1">
        <f t="array" ref="J1862">sentimentCalc(B1862)</f>
        <v>-1</v>
      </c>
      <c r="K1862" t="str" cm="1">
        <f t="array" ref="K1862">sentimentCategory(J1862)</f>
        <v>Negative</v>
      </c>
    </row>
    <row r="1863" spans="1:11" ht="17" x14ac:dyDescent="0.2">
      <c r="A1863" t="s">
        <v>3091</v>
      </c>
      <c r="B1863" s="1" t="s">
        <v>3092</v>
      </c>
      <c r="C1863" t="s">
        <v>1099</v>
      </c>
      <c r="D1863" s="1" t="s">
        <v>2</v>
      </c>
      <c r="E1863" t="b">
        <v>0</v>
      </c>
      <c r="F1863">
        <v>1</v>
      </c>
      <c r="G1863">
        <v>0</v>
      </c>
      <c r="H1863" t="s">
        <v>11</v>
      </c>
      <c r="I1863" t="b">
        <v>0</v>
      </c>
      <c r="J1863" cm="1">
        <f t="array" ref="J1863">sentimentCalc(B1863)</f>
        <v>0</v>
      </c>
      <c r="K1863" t="str" cm="1">
        <f t="array" ref="K1863">sentimentCategory(J1863)</f>
        <v>Neutral</v>
      </c>
    </row>
    <row r="1864" spans="1:11" ht="34" x14ac:dyDescent="0.2">
      <c r="A1864" t="s">
        <v>6788</v>
      </c>
      <c r="B1864" s="1" t="s">
        <v>6789</v>
      </c>
      <c r="C1864" t="s">
        <v>802</v>
      </c>
      <c r="D1864" s="1" t="s">
        <v>6790</v>
      </c>
      <c r="E1864" t="b">
        <v>0</v>
      </c>
      <c r="F1864">
        <v>452</v>
      </c>
      <c r="G1864">
        <v>694</v>
      </c>
      <c r="H1864" t="s">
        <v>11</v>
      </c>
      <c r="I1864" t="b">
        <v>0</v>
      </c>
      <c r="J1864" cm="1">
        <f t="array" ref="J1864">sentimentCalc(B1864)</f>
        <v>0</v>
      </c>
      <c r="K1864" t="str" cm="1">
        <f t="array" ref="K1864">sentimentCategory(J1864)</f>
        <v>Neutral</v>
      </c>
    </row>
    <row r="1865" spans="1:11" ht="17" x14ac:dyDescent="0.2">
      <c r="A1865" t="s">
        <v>4651</v>
      </c>
      <c r="B1865" s="1" t="s">
        <v>4652</v>
      </c>
      <c r="C1865" t="s">
        <v>4589</v>
      </c>
      <c r="D1865" s="1" t="s">
        <v>4590</v>
      </c>
      <c r="E1865" t="b">
        <v>0</v>
      </c>
      <c r="F1865">
        <v>94</v>
      </c>
      <c r="G1865">
        <v>54</v>
      </c>
      <c r="H1865" t="s">
        <v>11</v>
      </c>
      <c r="I1865" t="b">
        <v>0</v>
      </c>
      <c r="J1865" cm="1">
        <f t="array" ref="J1865">sentimentCalc(B1865)</f>
        <v>0</v>
      </c>
      <c r="K1865" t="str" cm="1">
        <f t="array" ref="K1865">sentimentCategory(J1865)</f>
        <v>Neutral</v>
      </c>
    </row>
    <row r="1866" spans="1:11" ht="17" x14ac:dyDescent="0.2">
      <c r="A1866" t="s">
        <v>5551</v>
      </c>
      <c r="B1866" s="1" t="s">
        <v>5552</v>
      </c>
      <c r="C1866" t="s">
        <v>769</v>
      </c>
      <c r="D1866" s="1" t="s">
        <v>2</v>
      </c>
      <c r="E1866" t="b">
        <v>0</v>
      </c>
      <c r="F1866">
        <v>4</v>
      </c>
      <c r="G1866">
        <v>0</v>
      </c>
      <c r="H1866" t="s">
        <v>11</v>
      </c>
      <c r="I1866" t="b">
        <v>0</v>
      </c>
      <c r="J1866" cm="1">
        <f t="array" ref="J1866">sentimentCalc(B1866)</f>
        <v>-3</v>
      </c>
      <c r="K1866" t="str" cm="1">
        <f t="array" ref="K1866">sentimentCategory(J1866)</f>
        <v>Negative</v>
      </c>
    </row>
    <row r="1867" spans="1:11" ht="34" x14ac:dyDescent="0.2">
      <c r="A1867" t="s">
        <v>6756</v>
      </c>
      <c r="B1867" s="1" t="s">
        <v>6757</v>
      </c>
      <c r="C1867" t="s">
        <v>275</v>
      </c>
      <c r="D1867" s="1" t="s">
        <v>565</v>
      </c>
      <c r="E1867" t="b">
        <v>0</v>
      </c>
      <c r="F1867">
        <v>299</v>
      </c>
      <c r="G1867">
        <v>310</v>
      </c>
      <c r="H1867" t="s">
        <v>11</v>
      </c>
      <c r="I1867" t="b">
        <v>0</v>
      </c>
      <c r="J1867" cm="1">
        <f t="array" ref="J1867">sentimentCalc(B1867)</f>
        <v>0</v>
      </c>
      <c r="K1867" t="str" cm="1">
        <f t="array" ref="K1867">sentimentCategory(J1867)</f>
        <v>Neutral</v>
      </c>
    </row>
    <row r="1868" spans="1:11" ht="17" x14ac:dyDescent="0.2">
      <c r="A1868" t="s">
        <v>1539</v>
      </c>
      <c r="B1868" s="1" t="s">
        <v>1540</v>
      </c>
      <c r="C1868" t="s">
        <v>1541</v>
      </c>
      <c r="D1868" s="1" t="s">
        <v>2</v>
      </c>
      <c r="E1868" t="b">
        <v>0</v>
      </c>
      <c r="F1868">
        <v>15</v>
      </c>
      <c r="G1868">
        <v>196</v>
      </c>
      <c r="H1868" t="s">
        <v>11</v>
      </c>
      <c r="I1868" t="b">
        <v>0</v>
      </c>
      <c r="J1868" cm="1">
        <f t="array" ref="J1868">sentimentCalc(B1868)</f>
        <v>0</v>
      </c>
      <c r="K1868" t="str" cm="1">
        <f t="array" ref="K1868">sentimentCategory(J1868)</f>
        <v>Neutral</v>
      </c>
    </row>
    <row r="1869" spans="1:11" ht="17" x14ac:dyDescent="0.2">
      <c r="A1869" t="s">
        <v>3165</v>
      </c>
      <c r="B1869" s="1" t="s">
        <v>3166</v>
      </c>
      <c r="C1869" t="s">
        <v>3167</v>
      </c>
      <c r="D1869" s="1" t="s">
        <v>2</v>
      </c>
      <c r="E1869" t="b">
        <v>0</v>
      </c>
      <c r="F1869">
        <v>88</v>
      </c>
      <c r="G1869">
        <v>72</v>
      </c>
      <c r="H1869" t="s">
        <v>11</v>
      </c>
      <c r="I1869" t="b">
        <v>0</v>
      </c>
      <c r="J1869" cm="1">
        <f t="array" ref="J1869">sentimentCalc(B1869)</f>
        <v>0</v>
      </c>
      <c r="K1869" t="str" cm="1">
        <f t="array" ref="K1869">sentimentCategory(J1869)</f>
        <v>Neutral</v>
      </c>
    </row>
    <row r="1870" spans="1:11" ht="17" x14ac:dyDescent="0.2">
      <c r="A1870" t="s">
        <v>3138</v>
      </c>
      <c r="B1870" s="1" t="s">
        <v>3139</v>
      </c>
      <c r="C1870" t="s">
        <v>3140</v>
      </c>
      <c r="D1870" s="1" t="s">
        <v>2</v>
      </c>
      <c r="E1870" t="b">
        <v>0</v>
      </c>
      <c r="F1870">
        <v>38</v>
      </c>
      <c r="G1870">
        <v>196</v>
      </c>
      <c r="H1870" t="s">
        <v>11</v>
      </c>
      <c r="I1870" t="b">
        <v>0</v>
      </c>
      <c r="J1870" cm="1">
        <f t="array" ref="J1870">sentimentCalc(B1870)</f>
        <v>-1</v>
      </c>
      <c r="K1870" t="str" cm="1">
        <f t="array" ref="K1870">sentimentCategory(J1870)</f>
        <v>Negative</v>
      </c>
    </row>
    <row r="1871" spans="1:11" ht="17" x14ac:dyDescent="0.2">
      <c r="A1871" t="s">
        <v>1658</v>
      </c>
      <c r="B1871" s="1" t="s">
        <v>1659</v>
      </c>
      <c r="C1871" t="s">
        <v>541</v>
      </c>
      <c r="D1871" s="1" t="s">
        <v>542</v>
      </c>
      <c r="E1871" t="b">
        <v>0</v>
      </c>
      <c r="F1871">
        <v>213</v>
      </c>
      <c r="G1871">
        <v>343</v>
      </c>
      <c r="H1871" t="s">
        <v>122</v>
      </c>
      <c r="I1871" t="b">
        <v>0</v>
      </c>
      <c r="J1871" cm="1">
        <f t="array" ref="J1871">sentimentCalc(B1871)</f>
        <v>-1</v>
      </c>
      <c r="K1871" t="str" cm="1">
        <f t="array" ref="K1871">sentimentCategory(J1871)</f>
        <v>Negative</v>
      </c>
    </row>
    <row r="1872" spans="1:11" ht="34" x14ac:dyDescent="0.2">
      <c r="A1872" t="s">
        <v>3343</v>
      </c>
      <c r="B1872" s="1" t="s">
        <v>3344</v>
      </c>
      <c r="C1872" t="s">
        <v>3345</v>
      </c>
      <c r="D1872" s="1" t="s">
        <v>825</v>
      </c>
      <c r="E1872" t="b">
        <v>0</v>
      </c>
      <c r="F1872">
        <v>15</v>
      </c>
      <c r="G1872">
        <v>40</v>
      </c>
      <c r="H1872" t="s">
        <v>11</v>
      </c>
      <c r="I1872" t="b">
        <v>0</v>
      </c>
      <c r="J1872" cm="1">
        <f t="array" ref="J1872">sentimentCalc(B1872)</f>
        <v>1</v>
      </c>
      <c r="K1872" t="str" cm="1">
        <f t="array" ref="K1872">sentimentCategory(J1872)</f>
        <v>Positive</v>
      </c>
    </row>
    <row r="1873" spans="1:11" ht="17" x14ac:dyDescent="0.2">
      <c r="A1873" t="s">
        <v>841</v>
      </c>
      <c r="B1873" s="1" t="s">
        <v>842</v>
      </c>
      <c r="C1873" t="s">
        <v>843</v>
      </c>
      <c r="D1873" s="1" t="s">
        <v>844</v>
      </c>
      <c r="E1873" t="b">
        <v>0</v>
      </c>
      <c r="F1873">
        <v>416</v>
      </c>
      <c r="G1873">
        <v>1259</v>
      </c>
      <c r="H1873" t="s">
        <v>11</v>
      </c>
      <c r="I1873" t="b">
        <v>0</v>
      </c>
      <c r="J1873" cm="1">
        <f t="array" ref="J1873">sentimentCalc(B1873)</f>
        <v>0</v>
      </c>
      <c r="K1873" t="str" cm="1">
        <f t="array" ref="K1873">sentimentCategory(J1873)</f>
        <v>Neutral</v>
      </c>
    </row>
    <row r="1874" spans="1:11" ht="17" x14ac:dyDescent="0.2">
      <c r="A1874" t="s">
        <v>6038</v>
      </c>
      <c r="B1874" s="1" t="s">
        <v>6039</v>
      </c>
      <c r="C1874" t="s">
        <v>1568</v>
      </c>
      <c r="D1874" s="1" t="s">
        <v>2</v>
      </c>
      <c r="E1874" t="b">
        <v>0</v>
      </c>
      <c r="F1874">
        <v>70</v>
      </c>
      <c r="G1874">
        <v>176</v>
      </c>
      <c r="H1874" t="s">
        <v>11</v>
      </c>
      <c r="I1874" t="b">
        <v>0</v>
      </c>
      <c r="J1874" cm="1">
        <f t="array" ref="J1874">sentimentCalc(B1874)</f>
        <v>0</v>
      </c>
      <c r="K1874" t="str" cm="1">
        <f t="array" ref="K1874">sentimentCategory(J1874)</f>
        <v>Neutral</v>
      </c>
    </row>
    <row r="1875" spans="1:11" ht="17" x14ac:dyDescent="0.2">
      <c r="A1875" t="s">
        <v>2383</v>
      </c>
      <c r="B1875" s="1" t="s">
        <v>2384</v>
      </c>
      <c r="C1875" t="s">
        <v>90</v>
      </c>
      <c r="D1875" s="1" t="s">
        <v>2</v>
      </c>
      <c r="E1875" t="b">
        <v>0</v>
      </c>
      <c r="F1875">
        <v>157</v>
      </c>
      <c r="G1875">
        <v>12</v>
      </c>
      <c r="H1875" t="s">
        <v>11</v>
      </c>
      <c r="I1875" t="b">
        <v>0</v>
      </c>
      <c r="J1875" cm="1">
        <f t="array" ref="J1875">sentimentCalc(B1875)</f>
        <v>0</v>
      </c>
      <c r="K1875" t="str" cm="1">
        <f t="array" ref="K1875">sentimentCategory(J1875)</f>
        <v>Neutral</v>
      </c>
    </row>
    <row r="1876" spans="1:11" ht="17" x14ac:dyDescent="0.2">
      <c r="A1876" t="s">
        <v>537</v>
      </c>
      <c r="B1876" s="1" t="s">
        <v>538</v>
      </c>
      <c r="C1876" t="s">
        <v>464</v>
      </c>
      <c r="D1876" s="1" t="s">
        <v>465</v>
      </c>
      <c r="E1876" t="b">
        <v>0</v>
      </c>
      <c r="F1876">
        <v>3</v>
      </c>
      <c r="G1876">
        <v>13</v>
      </c>
      <c r="H1876" t="s">
        <v>11</v>
      </c>
      <c r="I1876" t="b">
        <v>0</v>
      </c>
      <c r="J1876" cm="1">
        <f t="array" ref="J1876">sentimentCalc(B1876)</f>
        <v>0</v>
      </c>
      <c r="K1876" t="str" cm="1">
        <f t="array" ref="K1876">sentimentCategory(J1876)</f>
        <v>Neutral</v>
      </c>
    </row>
    <row r="1877" spans="1:11" ht="17" x14ac:dyDescent="0.2">
      <c r="A1877" t="s">
        <v>5939</v>
      </c>
      <c r="B1877" s="1" t="s">
        <v>5940</v>
      </c>
      <c r="C1877" t="s">
        <v>3102</v>
      </c>
      <c r="D1877" s="1" t="s">
        <v>2561</v>
      </c>
      <c r="E1877" t="b">
        <v>0</v>
      </c>
      <c r="F1877">
        <v>243</v>
      </c>
      <c r="G1877">
        <v>341</v>
      </c>
      <c r="H1877" t="s">
        <v>11</v>
      </c>
      <c r="I1877" t="b">
        <v>0</v>
      </c>
      <c r="J1877" cm="1">
        <f t="array" ref="J1877">sentimentCalc(B1877)</f>
        <v>0</v>
      </c>
      <c r="K1877" t="str" cm="1">
        <f t="array" ref="K1877">sentimentCategory(J1877)</f>
        <v>Neutral</v>
      </c>
    </row>
    <row r="1878" spans="1:11" ht="17" x14ac:dyDescent="0.2">
      <c r="A1878" t="s">
        <v>6252</v>
      </c>
      <c r="B1878" s="1" t="s">
        <v>6253</v>
      </c>
      <c r="C1878" t="s">
        <v>100</v>
      </c>
      <c r="D1878" s="1" t="s">
        <v>178</v>
      </c>
      <c r="E1878" t="b">
        <v>0</v>
      </c>
      <c r="F1878">
        <v>686</v>
      </c>
      <c r="G1878">
        <v>416</v>
      </c>
      <c r="H1878" t="s">
        <v>11</v>
      </c>
      <c r="I1878" t="b">
        <v>0</v>
      </c>
      <c r="J1878" cm="1">
        <f t="array" ref="J1878">sentimentCalc(B1878)</f>
        <v>0</v>
      </c>
      <c r="K1878" t="str" cm="1">
        <f t="array" ref="K1878">sentimentCategory(J1878)</f>
        <v>Neutral</v>
      </c>
    </row>
    <row r="1879" spans="1:11" ht="17" x14ac:dyDescent="0.2">
      <c r="A1879" t="s">
        <v>2936</v>
      </c>
      <c r="B1879" s="1" t="s">
        <v>2937</v>
      </c>
      <c r="C1879" t="s">
        <v>2938</v>
      </c>
      <c r="D1879" s="1" t="s">
        <v>1368</v>
      </c>
      <c r="E1879" t="b">
        <v>0</v>
      </c>
      <c r="F1879">
        <v>83</v>
      </c>
      <c r="G1879">
        <v>476</v>
      </c>
      <c r="H1879" t="s">
        <v>11</v>
      </c>
      <c r="I1879" t="b">
        <v>0</v>
      </c>
      <c r="J1879" cm="1">
        <f t="array" ref="J1879">sentimentCalc(B1879)</f>
        <v>0</v>
      </c>
      <c r="K1879" t="str" cm="1">
        <f t="array" ref="K1879">sentimentCategory(J1879)</f>
        <v>Neutral</v>
      </c>
    </row>
    <row r="1880" spans="1:11" ht="17" x14ac:dyDescent="0.2">
      <c r="A1880" t="s">
        <v>3346</v>
      </c>
      <c r="B1880" s="1" t="s">
        <v>3347</v>
      </c>
      <c r="C1880" t="s">
        <v>181</v>
      </c>
      <c r="D1880" s="1" t="s">
        <v>3348</v>
      </c>
      <c r="E1880" t="b">
        <v>0</v>
      </c>
      <c r="F1880">
        <v>187</v>
      </c>
      <c r="G1880">
        <v>1130</v>
      </c>
      <c r="H1880" t="s">
        <v>370</v>
      </c>
      <c r="I1880" t="b">
        <v>0</v>
      </c>
      <c r="J1880" cm="1">
        <f t="array" ref="J1880">sentimentCalc(B1880)</f>
        <v>0</v>
      </c>
      <c r="K1880" t="str" cm="1">
        <f t="array" ref="K1880">sentimentCategory(J1880)</f>
        <v>Neutral</v>
      </c>
    </row>
    <row r="1881" spans="1:11" ht="17" x14ac:dyDescent="0.2">
      <c r="A1881" t="s">
        <v>6834</v>
      </c>
      <c r="B1881" s="1" t="s">
        <v>6835</v>
      </c>
      <c r="C1881" t="s">
        <v>2980</v>
      </c>
      <c r="D1881" s="1" t="s">
        <v>2</v>
      </c>
      <c r="E1881" t="b">
        <v>0</v>
      </c>
      <c r="F1881">
        <v>1</v>
      </c>
      <c r="G1881">
        <v>28</v>
      </c>
      <c r="H1881" t="s">
        <v>3</v>
      </c>
      <c r="I1881" t="b">
        <v>0</v>
      </c>
      <c r="J1881" cm="1">
        <f t="array" ref="J1881">sentimentCalc(B1881)</f>
        <v>0</v>
      </c>
      <c r="K1881" t="str" cm="1">
        <f t="array" ref="K1881">sentimentCategory(J1881)</f>
        <v>Neutral</v>
      </c>
    </row>
    <row r="1882" spans="1:11" ht="17" x14ac:dyDescent="0.2">
      <c r="A1882" t="s">
        <v>5181</v>
      </c>
      <c r="B1882" s="1" t="s">
        <v>5182</v>
      </c>
      <c r="C1882" t="s">
        <v>587</v>
      </c>
      <c r="D1882" s="1" t="s">
        <v>5183</v>
      </c>
      <c r="E1882" t="b">
        <v>0</v>
      </c>
      <c r="F1882">
        <v>184</v>
      </c>
      <c r="G1882">
        <v>536</v>
      </c>
      <c r="H1882" t="s">
        <v>11</v>
      </c>
      <c r="I1882" t="b">
        <v>0</v>
      </c>
      <c r="J1882" cm="1">
        <f t="array" ref="J1882">sentimentCalc(B1882)</f>
        <v>0</v>
      </c>
      <c r="K1882" t="str" cm="1">
        <f t="array" ref="K1882">sentimentCategory(J1882)</f>
        <v>Neutral</v>
      </c>
    </row>
    <row r="1883" spans="1:11" ht="34" x14ac:dyDescent="0.2">
      <c r="A1883" t="s">
        <v>5246</v>
      </c>
      <c r="B1883" s="1" t="s">
        <v>5247</v>
      </c>
      <c r="C1883" t="s">
        <v>617</v>
      </c>
      <c r="D1883" s="1" t="s">
        <v>5248</v>
      </c>
      <c r="E1883" t="b">
        <v>0</v>
      </c>
      <c r="F1883">
        <v>329</v>
      </c>
      <c r="G1883">
        <v>294</v>
      </c>
      <c r="H1883" t="s">
        <v>110</v>
      </c>
      <c r="I1883" t="b">
        <v>0</v>
      </c>
      <c r="J1883" cm="1">
        <f t="array" ref="J1883">sentimentCalc(B1883)</f>
        <v>0</v>
      </c>
      <c r="K1883" t="str" cm="1">
        <f t="array" ref="K1883">sentimentCategory(J1883)</f>
        <v>Neutral</v>
      </c>
    </row>
    <row r="1884" spans="1:11" ht="17" x14ac:dyDescent="0.2">
      <c r="A1884" t="s">
        <v>4454</v>
      </c>
      <c r="B1884" s="1" t="s">
        <v>4455</v>
      </c>
      <c r="C1884" t="s">
        <v>4456</v>
      </c>
      <c r="D1884" s="1" t="s">
        <v>2</v>
      </c>
      <c r="E1884" t="b">
        <v>0</v>
      </c>
      <c r="F1884">
        <v>31</v>
      </c>
      <c r="G1884">
        <v>271</v>
      </c>
      <c r="H1884" t="s">
        <v>11</v>
      </c>
      <c r="I1884" t="b">
        <v>0</v>
      </c>
      <c r="J1884" cm="1">
        <f t="array" ref="J1884">sentimentCalc(B1884)</f>
        <v>1</v>
      </c>
      <c r="K1884" t="str" cm="1">
        <f t="array" ref="K1884">sentimentCategory(J1884)</f>
        <v>Positive</v>
      </c>
    </row>
    <row r="1885" spans="1:11" ht="34" x14ac:dyDescent="0.2">
      <c r="A1885" t="s">
        <v>5151</v>
      </c>
      <c r="B1885" s="1" t="s">
        <v>5152</v>
      </c>
      <c r="C1885" t="s">
        <v>1012</v>
      </c>
      <c r="D1885" s="1" t="s">
        <v>5153</v>
      </c>
      <c r="E1885" t="b">
        <v>0</v>
      </c>
      <c r="F1885">
        <v>115</v>
      </c>
      <c r="G1885">
        <v>389</v>
      </c>
      <c r="H1885" t="s">
        <v>11</v>
      </c>
      <c r="I1885" t="b">
        <v>0</v>
      </c>
      <c r="J1885" cm="1">
        <f t="array" ref="J1885">sentimentCalc(B1885)</f>
        <v>1</v>
      </c>
      <c r="K1885" t="str" cm="1">
        <f t="array" ref="K1885">sentimentCategory(J1885)</f>
        <v>Positive</v>
      </c>
    </row>
    <row r="1886" spans="1:11" ht="17" x14ac:dyDescent="0.2">
      <c r="A1886" t="s">
        <v>2934</v>
      </c>
      <c r="B1886" s="1" t="s">
        <v>2935</v>
      </c>
      <c r="C1886" t="s">
        <v>254</v>
      </c>
      <c r="D1886" s="1" t="s">
        <v>2</v>
      </c>
      <c r="E1886" t="b">
        <v>0</v>
      </c>
      <c r="F1886">
        <v>17</v>
      </c>
      <c r="G1886">
        <v>123</v>
      </c>
      <c r="H1886" t="s">
        <v>641</v>
      </c>
      <c r="I1886" t="b">
        <v>0</v>
      </c>
      <c r="J1886" cm="1">
        <f t="array" ref="J1886">sentimentCalc(B1886)</f>
        <v>0</v>
      </c>
      <c r="K1886" t="str" cm="1">
        <f t="array" ref="K1886">sentimentCategory(J1886)</f>
        <v>Neutral</v>
      </c>
    </row>
    <row r="1887" spans="1:11" ht="34" x14ac:dyDescent="0.2">
      <c r="A1887" t="s">
        <v>4808</v>
      </c>
      <c r="B1887" s="1" t="s">
        <v>4809</v>
      </c>
      <c r="C1887" t="s">
        <v>4810</v>
      </c>
      <c r="D1887" s="1" t="s">
        <v>3945</v>
      </c>
      <c r="E1887" t="b">
        <v>0</v>
      </c>
      <c r="F1887">
        <v>62</v>
      </c>
      <c r="G1887">
        <v>231</v>
      </c>
      <c r="H1887" t="s">
        <v>11</v>
      </c>
      <c r="I1887" t="b">
        <v>0</v>
      </c>
      <c r="J1887" cm="1">
        <f t="array" ref="J1887">sentimentCalc(B1887)</f>
        <v>0</v>
      </c>
      <c r="K1887" t="str" cm="1">
        <f t="array" ref="K1887">sentimentCategory(J1887)</f>
        <v>Neutral</v>
      </c>
    </row>
    <row r="1888" spans="1:11" ht="34" x14ac:dyDescent="0.2">
      <c r="A1888" t="s">
        <v>889</v>
      </c>
      <c r="B1888" s="1" t="s">
        <v>890</v>
      </c>
      <c r="C1888" t="s">
        <v>891</v>
      </c>
      <c r="D1888" s="1" t="s">
        <v>2</v>
      </c>
      <c r="E1888" t="b">
        <v>0</v>
      </c>
      <c r="F1888">
        <v>1564</v>
      </c>
      <c r="G1888">
        <v>5000</v>
      </c>
      <c r="H1888" t="s">
        <v>11</v>
      </c>
      <c r="I1888" t="b">
        <v>0</v>
      </c>
      <c r="J1888" cm="1">
        <f t="array" ref="J1888">sentimentCalc(B1888)</f>
        <v>-1</v>
      </c>
      <c r="K1888" t="str" cm="1">
        <f t="array" ref="K1888">sentimentCategory(J1888)</f>
        <v>Negative</v>
      </c>
    </row>
    <row r="1889" spans="1:11" ht="17" x14ac:dyDescent="0.2">
      <c r="A1889" t="s">
        <v>6261</v>
      </c>
      <c r="B1889" s="1" t="s">
        <v>6262</v>
      </c>
      <c r="C1889" t="s">
        <v>3295</v>
      </c>
      <c r="E1889" t="b">
        <v>0</v>
      </c>
      <c r="F1889">
        <v>66</v>
      </c>
      <c r="G1889">
        <v>141</v>
      </c>
      <c r="H1889" t="s">
        <v>11</v>
      </c>
      <c r="I1889" t="b">
        <v>0</v>
      </c>
      <c r="J1889" cm="1">
        <f t="array" ref="J1889">sentimentCalc(B1889)</f>
        <v>1</v>
      </c>
      <c r="K1889" t="str" cm="1">
        <f t="array" ref="K1889">sentimentCategory(J1889)</f>
        <v>Positive</v>
      </c>
    </row>
    <row r="1890" spans="1:11" ht="17" x14ac:dyDescent="0.2">
      <c r="A1890" t="s">
        <v>4927</v>
      </c>
      <c r="B1890" s="1" t="s">
        <v>4928</v>
      </c>
      <c r="C1890" t="s">
        <v>1530</v>
      </c>
      <c r="D1890" s="1" t="s">
        <v>2272</v>
      </c>
      <c r="E1890" t="b">
        <v>0</v>
      </c>
      <c r="F1890">
        <v>312</v>
      </c>
      <c r="G1890">
        <v>79</v>
      </c>
      <c r="H1890" t="s">
        <v>11</v>
      </c>
      <c r="I1890" t="b">
        <v>0</v>
      </c>
      <c r="J1890" cm="1">
        <f t="array" ref="J1890">sentimentCalc(B1890)</f>
        <v>0</v>
      </c>
      <c r="K1890" t="str" cm="1">
        <f t="array" ref="K1890">sentimentCategory(J1890)</f>
        <v>Neutral</v>
      </c>
    </row>
    <row r="1891" spans="1:11" ht="17" x14ac:dyDescent="0.2">
      <c r="A1891" t="s">
        <v>1508</v>
      </c>
      <c r="B1891" s="1" t="s">
        <v>1509</v>
      </c>
      <c r="C1891" t="s">
        <v>1510</v>
      </c>
      <c r="D1891" s="1" t="s">
        <v>2</v>
      </c>
      <c r="E1891" t="b">
        <v>0</v>
      </c>
      <c r="F1891">
        <v>284</v>
      </c>
      <c r="G1891">
        <v>152</v>
      </c>
      <c r="H1891" t="s">
        <v>11</v>
      </c>
      <c r="I1891" t="b">
        <v>0</v>
      </c>
      <c r="J1891" cm="1">
        <f t="array" ref="J1891">sentimentCalc(B1891)</f>
        <v>1</v>
      </c>
      <c r="K1891" t="str" cm="1">
        <f t="array" ref="K1891">sentimentCategory(J1891)</f>
        <v>Positive</v>
      </c>
    </row>
    <row r="1892" spans="1:11" ht="34" x14ac:dyDescent="0.2">
      <c r="A1892" t="s">
        <v>1204</v>
      </c>
      <c r="B1892" s="1" t="s">
        <v>1205</v>
      </c>
      <c r="C1892" t="s">
        <v>1206</v>
      </c>
      <c r="D1892" s="1" t="s">
        <v>1207</v>
      </c>
      <c r="E1892" t="b">
        <v>0</v>
      </c>
      <c r="F1892">
        <v>8612</v>
      </c>
      <c r="G1892">
        <v>6558</v>
      </c>
      <c r="H1892" t="s">
        <v>11</v>
      </c>
      <c r="I1892" t="b">
        <v>0</v>
      </c>
      <c r="J1892" cm="1">
        <f t="array" ref="J1892">sentimentCalc(B1892)</f>
        <v>0</v>
      </c>
      <c r="K1892" t="str" cm="1">
        <f t="array" ref="K1892">sentimentCategory(J1892)</f>
        <v>Neutral</v>
      </c>
    </row>
    <row r="1893" spans="1:11" ht="17" x14ac:dyDescent="0.2">
      <c r="A1893" t="s">
        <v>6266</v>
      </c>
      <c r="B1893" s="1" t="s">
        <v>6267</v>
      </c>
      <c r="C1893" t="s">
        <v>181</v>
      </c>
      <c r="D1893" s="1" t="s">
        <v>6230</v>
      </c>
      <c r="E1893" t="b">
        <v>0</v>
      </c>
      <c r="F1893">
        <v>15</v>
      </c>
      <c r="G1893">
        <v>109</v>
      </c>
      <c r="H1893" t="s">
        <v>11</v>
      </c>
      <c r="I1893" t="b">
        <v>0</v>
      </c>
      <c r="J1893" cm="1">
        <f t="array" ref="J1893">sentimentCalc(B1893)</f>
        <v>0</v>
      </c>
      <c r="K1893" t="str" cm="1">
        <f t="array" ref="K1893">sentimentCategory(J1893)</f>
        <v>Neutral</v>
      </c>
    </row>
    <row r="1894" spans="1:11" ht="34" x14ac:dyDescent="0.2">
      <c r="A1894" t="s">
        <v>4039</v>
      </c>
      <c r="B1894" s="1" t="s">
        <v>4040</v>
      </c>
      <c r="C1894" t="s">
        <v>4041</v>
      </c>
      <c r="D1894" s="1" t="s">
        <v>2953</v>
      </c>
      <c r="E1894" t="b">
        <v>0</v>
      </c>
      <c r="F1894">
        <v>236</v>
      </c>
      <c r="G1894">
        <v>438</v>
      </c>
      <c r="H1894" t="s">
        <v>11</v>
      </c>
      <c r="I1894" t="b">
        <v>0</v>
      </c>
      <c r="J1894" cm="1">
        <f t="array" ref="J1894">sentimentCalc(B1894)</f>
        <v>0</v>
      </c>
      <c r="K1894" t="str" cm="1">
        <f t="array" ref="K1894">sentimentCategory(J1894)</f>
        <v>Neutral</v>
      </c>
    </row>
    <row r="1895" spans="1:11" ht="17" x14ac:dyDescent="0.2">
      <c r="A1895" t="s">
        <v>826</v>
      </c>
      <c r="B1895" s="1" t="s">
        <v>827</v>
      </c>
      <c r="C1895" t="s">
        <v>828</v>
      </c>
      <c r="D1895" s="1" t="s">
        <v>829</v>
      </c>
      <c r="E1895" t="b">
        <v>0</v>
      </c>
      <c r="F1895">
        <v>2233</v>
      </c>
      <c r="G1895">
        <v>1415</v>
      </c>
      <c r="H1895" t="s">
        <v>11</v>
      </c>
      <c r="I1895" t="b">
        <v>0</v>
      </c>
      <c r="J1895" cm="1">
        <f t="array" ref="J1895">sentimentCalc(B1895)</f>
        <v>0</v>
      </c>
      <c r="K1895" t="str" cm="1">
        <f t="array" ref="K1895">sentimentCategory(J1895)</f>
        <v>Neutral</v>
      </c>
    </row>
    <row r="1896" spans="1:11" ht="17" x14ac:dyDescent="0.2">
      <c r="A1896" t="s">
        <v>4819</v>
      </c>
      <c r="B1896" s="1" t="s">
        <v>4820</v>
      </c>
      <c r="C1896" t="s">
        <v>1943</v>
      </c>
      <c r="D1896" s="1" t="s">
        <v>4821</v>
      </c>
      <c r="E1896" t="b">
        <v>0</v>
      </c>
      <c r="F1896">
        <v>516</v>
      </c>
      <c r="G1896">
        <v>367</v>
      </c>
      <c r="H1896" t="s">
        <v>370</v>
      </c>
      <c r="I1896" t="b">
        <v>0</v>
      </c>
      <c r="J1896" cm="1">
        <f t="array" ref="J1896">sentimentCalc(B1896)</f>
        <v>0</v>
      </c>
      <c r="K1896" t="str" cm="1">
        <f t="array" ref="K1896">sentimentCategory(J1896)</f>
        <v>Neutral</v>
      </c>
    </row>
    <row r="1897" spans="1:11" ht="17" x14ac:dyDescent="0.2">
      <c r="A1897" t="s">
        <v>1020</v>
      </c>
      <c r="B1897" s="1" t="s">
        <v>1021</v>
      </c>
      <c r="C1897" t="s">
        <v>1022</v>
      </c>
      <c r="D1897" s="1" t="s">
        <v>1023</v>
      </c>
      <c r="E1897" t="b">
        <v>0</v>
      </c>
      <c r="F1897">
        <v>27</v>
      </c>
      <c r="G1897">
        <v>188</v>
      </c>
      <c r="H1897" t="s">
        <v>11</v>
      </c>
      <c r="I1897" t="b">
        <v>0</v>
      </c>
      <c r="J1897" cm="1">
        <f t="array" ref="J1897">sentimentCalc(B1897)</f>
        <v>2</v>
      </c>
      <c r="K1897" t="str" cm="1">
        <f t="array" ref="K1897">sentimentCategory(J1897)</f>
        <v>Positive</v>
      </c>
    </row>
    <row r="1898" spans="1:11" ht="34" x14ac:dyDescent="0.2">
      <c r="A1898" t="s">
        <v>1213</v>
      </c>
      <c r="B1898" s="1" t="s">
        <v>1214</v>
      </c>
      <c r="C1898" t="s">
        <v>319</v>
      </c>
      <c r="D1898" s="1" t="s">
        <v>1041</v>
      </c>
      <c r="E1898" t="b">
        <v>0</v>
      </c>
      <c r="F1898">
        <v>2639</v>
      </c>
      <c r="G1898">
        <v>428</v>
      </c>
      <c r="H1898" t="s">
        <v>11</v>
      </c>
      <c r="I1898" t="b">
        <v>0</v>
      </c>
      <c r="J1898" cm="1">
        <f t="array" ref="J1898">sentimentCalc(B1898)</f>
        <v>1</v>
      </c>
      <c r="K1898" t="str" cm="1">
        <f t="array" ref="K1898">sentimentCategory(J1898)</f>
        <v>Positive</v>
      </c>
    </row>
    <row r="1899" spans="1:11" ht="34" x14ac:dyDescent="0.2">
      <c r="A1899" t="s">
        <v>3660</v>
      </c>
      <c r="B1899" s="1" t="s">
        <v>3662</v>
      </c>
      <c r="C1899" t="s">
        <v>1834</v>
      </c>
      <c r="D1899" s="1" t="s">
        <v>2</v>
      </c>
      <c r="E1899" t="b">
        <v>0</v>
      </c>
      <c r="F1899">
        <v>423</v>
      </c>
      <c r="G1899">
        <v>241</v>
      </c>
      <c r="H1899" t="s">
        <v>11</v>
      </c>
      <c r="I1899" t="b">
        <v>0</v>
      </c>
      <c r="J1899" cm="1">
        <f t="array" ref="J1899">sentimentCalc(B1899)</f>
        <v>1</v>
      </c>
      <c r="K1899" t="str" cm="1">
        <f t="array" ref="K1899">sentimentCategory(J1899)</f>
        <v>Positive</v>
      </c>
    </row>
    <row r="1900" spans="1:11" ht="34" x14ac:dyDescent="0.2">
      <c r="A1900" t="s">
        <v>1795</v>
      </c>
      <c r="B1900" s="1" t="s">
        <v>1796</v>
      </c>
      <c r="C1900" t="s">
        <v>1797</v>
      </c>
      <c r="D1900" s="1" t="s">
        <v>2</v>
      </c>
      <c r="E1900" t="b">
        <v>0</v>
      </c>
      <c r="F1900">
        <v>56</v>
      </c>
      <c r="G1900">
        <v>36</v>
      </c>
      <c r="H1900" t="s">
        <v>11</v>
      </c>
      <c r="I1900" t="b">
        <v>0</v>
      </c>
      <c r="J1900" cm="1">
        <f t="array" ref="J1900">sentimentCalc(B1900)</f>
        <v>0</v>
      </c>
      <c r="K1900" t="str" cm="1">
        <f t="array" ref="K1900">sentimentCategory(J1900)</f>
        <v>Neutral</v>
      </c>
    </row>
    <row r="1901" spans="1:11" ht="34" x14ac:dyDescent="0.2">
      <c r="A1901" t="s">
        <v>6744</v>
      </c>
      <c r="B1901" s="1" t="s">
        <v>6745</v>
      </c>
      <c r="C1901" t="s">
        <v>1409</v>
      </c>
      <c r="D1901" s="1" t="s">
        <v>2</v>
      </c>
      <c r="E1901" t="b">
        <v>0</v>
      </c>
      <c r="F1901">
        <v>133</v>
      </c>
      <c r="G1901">
        <v>176</v>
      </c>
      <c r="H1901" t="s">
        <v>11</v>
      </c>
      <c r="I1901" t="b">
        <v>0</v>
      </c>
      <c r="J1901" cm="1">
        <f t="array" ref="J1901">sentimentCalc(B1901)</f>
        <v>-1</v>
      </c>
      <c r="K1901" t="str" cm="1">
        <f t="array" ref="K1901">sentimentCategory(J1901)</f>
        <v>Negative</v>
      </c>
    </row>
    <row r="1902" spans="1:11" ht="34" x14ac:dyDescent="0.2">
      <c r="A1902" t="s">
        <v>1814</v>
      </c>
      <c r="B1902" s="1" t="s">
        <v>1815</v>
      </c>
      <c r="C1902" t="s">
        <v>1816</v>
      </c>
      <c r="D1902" s="1" t="s">
        <v>2</v>
      </c>
      <c r="E1902" t="b">
        <v>0</v>
      </c>
      <c r="F1902">
        <v>9</v>
      </c>
      <c r="G1902">
        <v>169</v>
      </c>
      <c r="H1902" t="s">
        <v>11</v>
      </c>
      <c r="I1902" t="b">
        <v>0</v>
      </c>
      <c r="J1902" cm="1">
        <f t="array" ref="J1902">sentimentCalc(B1902)</f>
        <v>0</v>
      </c>
      <c r="K1902" t="str" cm="1">
        <f t="array" ref="K1902">sentimentCategory(J1902)</f>
        <v>Neutral</v>
      </c>
    </row>
    <row r="1903" spans="1:11" ht="34" x14ac:dyDescent="0.2">
      <c r="A1903" t="s">
        <v>7088</v>
      </c>
      <c r="B1903" s="1" t="s">
        <v>7089</v>
      </c>
      <c r="C1903" t="s">
        <v>7090</v>
      </c>
      <c r="D1903" s="1" t="s">
        <v>7091</v>
      </c>
      <c r="E1903" t="b">
        <v>0</v>
      </c>
      <c r="F1903">
        <v>65</v>
      </c>
      <c r="G1903">
        <v>49</v>
      </c>
      <c r="H1903" t="s">
        <v>47</v>
      </c>
      <c r="I1903" t="b">
        <v>0</v>
      </c>
      <c r="J1903" cm="1">
        <f t="array" ref="J1903">sentimentCalc(B1903)</f>
        <v>1</v>
      </c>
      <c r="K1903" t="str" cm="1">
        <f t="array" ref="K1903">sentimentCategory(J1903)</f>
        <v>Positive</v>
      </c>
    </row>
    <row r="1904" spans="1:11" ht="17" x14ac:dyDescent="0.2">
      <c r="A1904" t="s">
        <v>3769</v>
      </c>
      <c r="B1904" s="1" t="s">
        <v>3770</v>
      </c>
      <c r="C1904" t="s">
        <v>1465</v>
      </c>
      <c r="D1904" s="1" t="s">
        <v>3771</v>
      </c>
      <c r="E1904" t="b">
        <v>0</v>
      </c>
      <c r="F1904">
        <v>33</v>
      </c>
      <c r="G1904">
        <v>69</v>
      </c>
      <c r="H1904" t="s">
        <v>11</v>
      </c>
      <c r="I1904" t="b">
        <v>0</v>
      </c>
      <c r="J1904" cm="1">
        <f t="array" ref="J1904">sentimentCalc(B1904)</f>
        <v>0</v>
      </c>
      <c r="K1904" t="str" cm="1">
        <f t="array" ref="K1904">sentimentCategory(J1904)</f>
        <v>Neutral</v>
      </c>
    </row>
    <row r="1905" spans="1:11" ht="17" x14ac:dyDescent="0.2">
      <c r="A1905" t="s">
        <v>4368</v>
      </c>
      <c r="B1905" s="1" t="s">
        <v>4369</v>
      </c>
      <c r="C1905" t="s">
        <v>1245</v>
      </c>
      <c r="D1905" s="1" t="s">
        <v>2</v>
      </c>
      <c r="E1905" t="b">
        <v>0</v>
      </c>
      <c r="F1905">
        <v>251</v>
      </c>
      <c r="G1905">
        <v>9</v>
      </c>
      <c r="H1905" t="s">
        <v>11</v>
      </c>
      <c r="I1905" t="b">
        <v>0</v>
      </c>
      <c r="J1905" cm="1">
        <f t="array" ref="J1905">sentimentCalc(B1905)</f>
        <v>0</v>
      </c>
      <c r="K1905" t="str" cm="1">
        <f t="array" ref="K1905">sentimentCategory(J1905)</f>
        <v>Neutral</v>
      </c>
    </row>
    <row r="1906" spans="1:11" ht="17" x14ac:dyDescent="0.2">
      <c r="A1906" t="s">
        <v>6854</v>
      </c>
      <c r="B1906" s="1" t="s">
        <v>6855</v>
      </c>
      <c r="C1906" t="s">
        <v>3665</v>
      </c>
      <c r="D1906" s="1" t="s">
        <v>6840</v>
      </c>
      <c r="E1906" t="b">
        <v>0</v>
      </c>
      <c r="F1906">
        <v>872</v>
      </c>
      <c r="G1906">
        <v>542</v>
      </c>
      <c r="H1906" t="s">
        <v>11</v>
      </c>
      <c r="I1906" t="b">
        <v>0</v>
      </c>
      <c r="J1906" cm="1">
        <f t="array" ref="J1906">sentimentCalc(B1906)</f>
        <v>0</v>
      </c>
      <c r="K1906" t="str" cm="1">
        <f t="array" ref="K1906">sentimentCategory(J1906)</f>
        <v>Neutral</v>
      </c>
    </row>
    <row r="1907" spans="1:11" ht="17" x14ac:dyDescent="0.2">
      <c r="A1907" t="s">
        <v>7256</v>
      </c>
      <c r="B1907" s="1" t="s">
        <v>7257</v>
      </c>
      <c r="C1907" t="s">
        <v>3059</v>
      </c>
      <c r="D1907" s="1" t="s">
        <v>3477</v>
      </c>
      <c r="E1907" t="b">
        <v>0</v>
      </c>
      <c r="F1907">
        <v>5047</v>
      </c>
      <c r="G1907">
        <v>289</v>
      </c>
      <c r="H1907" t="s">
        <v>11</v>
      </c>
      <c r="I1907" t="b">
        <v>0</v>
      </c>
      <c r="J1907" cm="1">
        <f t="array" ref="J1907">sentimentCalc(B1907)</f>
        <v>0</v>
      </c>
      <c r="K1907" t="str" cm="1">
        <f t="array" ref="K1907">sentimentCategory(J1907)</f>
        <v>Neutral</v>
      </c>
    </row>
    <row r="1908" spans="1:11" ht="34" x14ac:dyDescent="0.2">
      <c r="A1908" t="s">
        <v>1333</v>
      </c>
      <c r="B1908" s="1" t="s">
        <v>1334</v>
      </c>
      <c r="C1908" t="s">
        <v>167</v>
      </c>
      <c r="D1908" s="1" t="s">
        <v>1293</v>
      </c>
      <c r="E1908" t="b">
        <v>0</v>
      </c>
      <c r="F1908">
        <v>222</v>
      </c>
      <c r="G1908">
        <v>250</v>
      </c>
      <c r="H1908" t="s">
        <v>11</v>
      </c>
      <c r="I1908" t="b">
        <v>0</v>
      </c>
      <c r="J1908" cm="1">
        <f t="array" ref="J1908">sentimentCalc(B1908)</f>
        <v>-1</v>
      </c>
      <c r="K1908" t="str" cm="1">
        <f t="array" ref="K1908">sentimentCategory(J1908)</f>
        <v>Negative</v>
      </c>
    </row>
    <row r="1909" spans="1:11" ht="17" x14ac:dyDescent="0.2">
      <c r="A1909" t="s">
        <v>7036</v>
      </c>
      <c r="B1909" s="1" t="s">
        <v>7037</v>
      </c>
      <c r="C1909" t="s">
        <v>7038</v>
      </c>
      <c r="D1909" s="1" t="s">
        <v>2</v>
      </c>
      <c r="E1909" t="b">
        <v>0</v>
      </c>
      <c r="F1909">
        <v>1007</v>
      </c>
      <c r="G1909">
        <v>530</v>
      </c>
      <c r="H1909" t="s">
        <v>11</v>
      </c>
      <c r="I1909" t="b">
        <v>0</v>
      </c>
      <c r="J1909" cm="1">
        <f t="array" ref="J1909">sentimentCalc(B1909)</f>
        <v>0</v>
      </c>
      <c r="K1909" t="str" cm="1">
        <f t="array" ref="K1909">sentimentCategory(J1909)</f>
        <v>Neutral</v>
      </c>
    </row>
    <row r="1910" spans="1:11" ht="17" x14ac:dyDescent="0.2">
      <c r="A1910" t="s">
        <v>1972</v>
      </c>
      <c r="B1910" s="1" t="s">
        <v>1973</v>
      </c>
      <c r="C1910" t="s">
        <v>1313</v>
      </c>
      <c r="D1910" s="1" t="s">
        <v>1974</v>
      </c>
      <c r="E1910" t="b">
        <v>0</v>
      </c>
      <c r="F1910">
        <v>492</v>
      </c>
      <c r="G1910">
        <v>584</v>
      </c>
      <c r="H1910" t="s">
        <v>110</v>
      </c>
      <c r="I1910" t="b">
        <v>0</v>
      </c>
      <c r="J1910" cm="1">
        <f t="array" ref="J1910">sentimentCalc(B1910)</f>
        <v>0</v>
      </c>
      <c r="K1910" t="str" cm="1">
        <f t="array" ref="K1910">sentimentCategory(J1910)</f>
        <v>Neutral</v>
      </c>
    </row>
    <row r="1911" spans="1:11" ht="17" x14ac:dyDescent="0.2">
      <c r="A1911" t="s">
        <v>539</v>
      </c>
      <c r="B1911" s="1" t="s">
        <v>540</v>
      </c>
      <c r="C1911" t="s">
        <v>541</v>
      </c>
      <c r="D1911" s="1" t="s">
        <v>542</v>
      </c>
      <c r="E1911" t="b">
        <v>0</v>
      </c>
      <c r="F1911">
        <v>212</v>
      </c>
      <c r="G1911">
        <v>342</v>
      </c>
      <c r="H1911" t="s">
        <v>122</v>
      </c>
      <c r="I1911" t="b">
        <v>0</v>
      </c>
      <c r="J1911" cm="1">
        <f t="array" ref="J1911">sentimentCalc(B1911)</f>
        <v>-1</v>
      </c>
      <c r="K1911" t="str" cm="1">
        <f t="array" ref="K1911">sentimentCategory(J1911)</f>
        <v>Negative</v>
      </c>
    </row>
    <row r="1912" spans="1:11" ht="17" x14ac:dyDescent="0.2">
      <c r="A1912" t="s">
        <v>1076</v>
      </c>
      <c r="B1912" s="1" t="s">
        <v>1077</v>
      </c>
      <c r="C1912" t="s">
        <v>1078</v>
      </c>
      <c r="D1912" s="1" t="s">
        <v>1079</v>
      </c>
      <c r="E1912" t="b">
        <v>0</v>
      </c>
      <c r="F1912">
        <v>402</v>
      </c>
      <c r="G1912">
        <v>125</v>
      </c>
      <c r="H1912" t="s">
        <v>11</v>
      </c>
      <c r="I1912" t="b">
        <v>0</v>
      </c>
      <c r="J1912" cm="1">
        <f t="array" ref="J1912">sentimentCalc(B1912)</f>
        <v>0</v>
      </c>
      <c r="K1912" t="str" cm="1">
        <f t="array" ref="K1912">sentimentCategory(J1912)</f>
        <v>Neutral</v>
      </c>
    </row>
    <row r="1913" spans="1:11" ht="34" x14ac:dyDescent="0.2">
      <c r="A1913" t="s">
        <v>6776</v>
      </c>
      <c r="B1913" s="1" t="s">
        <v>6779</v>
      </c>
      <c r="C1913" t="s">
        <v>1398</v>
      </c>
      <c r="D1913" s="1" t="s">
        <v>61</v>
      </c>
      <c r="E1913" t="b">
        <v>0</v>
      </c>
      <c r="F1913">
        <v>1078</v>
      </c>
      <c r="G1913">
        <v>93</v>
      </c>
      <c r="H1913" t="s">
        <v>11</v>
      </c>
      <c r="I1913" t="b">
        <v>0</v>
      </c>
      <c r="J1913" cm="1">
        <f t="array" ref="J1913">sentimentCalc(B1913)</f>
        <v>-1</v>
      </c>
      <c r="K1913" t="str" cm="1">
        <f t="array" ref="K1913">sentimentCategory(J1913)</f>
        <v>Negative</v>
      </c>
    </row>
    <row r="1914" spans="1:11" ht="17" x14ac:dyDescent="0.2">
      <c r="A1914" t="s">
        <v>2120</v>
      </c>
      <c r="B1914" s="1" t="s">
        <v>2121</v>
      </c>
      <c r="C1914" t="s">
        <v>2122</v>
      </c>
      <c r="D1914" s="1" t="s">
        <v>2</v>
      </c>
      <c r="E1914" t="b">
        <v>0</v>
      </c>
      <c r="F1914">
        <v>89</v>
      </c>
      <c r="G1914">
        <v>977</v>
      </c>
      <c r="H1914" t="s">
        <v>11</v>
      </c>
      <c r="I1914" t="b">
        <v>0</v>
      </c>
      <c r="J1914" cm="1">
        <f t="array" ref="J1914">sentimentCalc(B1914)</f>
        <v>0</v>
      </c>
      <c r="K1914" t="str" cm="1">
        <f t="array" ref="K1914">sentimentCategory(J1914)</f>
        <v>Neutral</v>
      </c>
    </row>
    <row r="1915" spans="1:11" ht="17" x14ac:dyDescent="0.2">
      <c r="A1915" t="s">
        <v>798</v>
      </c>
      <c r="B1915" s="1" t="s">
        <v>799</v>
      </c>
      <c r="C1915" t="s">
        <v>787</v>
      </c>
      <c r="D1915" s="1" t="s">
        <v>95</v>
      </c>
      <c r="E1915" t="b">
        <v>0</v>
      </c>
      <c r="F1915">
        <v>288</v>
      </c>
      <c r="G1915">
        <v>880</v>
      </c>
      <c r="H1915" t="s">
        <v>11</v>
      </c>
      <c r="I1915" t="b">
        <v>0</v>
      </c>
      <c r="J1915" cm="1">
        <f t="array" ref="J1915">sentimentCalc(B1915)</f>
        <v>0</v>
      </c>
      <c r="K1915" t="str" cm="1">
        <f t="array" ref="K1915">sentimentCategory(J1915)</f>
        <v>Neutral</v>
      </c>
    </row>
    <row r="1916" spans="1:11" ht="34" x14ac:dyDescent="0.2">
      <c r="A1916" t="s">
        <v>5996</v>
      </c>
      <c r="B1916" s="1" t="s">
        <v>5997</v>
      </c>
      <c r="C1916" t="s">
        <v>1506</v>
      </c>
      <c r="D1916" s="1" t="s">
        <v>2</v>
      </c>
      <c r="E1916" t="b">
        <v>0</v>
      </c>
      <c r="F1916">
        <v>13104</v>
      </c>
      <c r="G1916">
        <v>51</v>
      </c>
      <c r="H1916" t="s">
        <v>11</v>
      </c>
      <c r="I1916" t="b">
        <v>0</v>
      </c>
      <c r="J1916" cm="1">
        <f t="array" ref="J1916">sentimentCalc(B1916)</f>
        <v>0</v>
      </c>
      <c r="K1916" t="str" cm="1">
        <f t="array" ref="K1916">sentimentCategory(J1916)</f>
        <v>Neutral</v>
      </c>
    </row>
    <row r="1917" spans="1:11" ht="17" x14ac:dyDescent="0.2">
      <c r="A1917" t="s">
        <v>1066</v>
      </c>
      <c r="B1917" s="1" t="s">
        <v>1067</v>
      </c>
      <c r="C1917" t="s">
        <v>237</v>
      </c>
      <c r="D1917" s="1" t="s">
        <v>1068</v>
      </c>
      <c r="E1917" t="b">
        <v>0</v>
      </c>
      <c r="F1917">
        <v>97</v>
      </c>
      <c r="G1917">
        <v>270</v>
      </c>
      <c r="H1917" t="s">
        <v>11</v>
      </c>
      <c r="I1917" t="b">
        <v>0</v>
      </c>
      <c r="J1917" cm="1">
        <f t="array" ref="J1917">sentimentCalc(B1917)</f>
        <v>1</v>
      </c>
      <c r="K1917" t="str" cm="1">
        <f t="array" ref="K1917">sentimentCategory(J1917)</f>
        <v>Positive</v>
      </c>
    </row>
    <row r="1918" spans="1:11" ht="17" x14ac:dyDescent="0.2">
      <c r="A1918" t="s">
        <v>2845</v>
      </c>
      <c r="B1918" s="1" t="s">
        <v>2846</v>
      </c>
      <c r="C1918" t="s">
        <v>2847</v>
      </c>
      <c r="D1918" s="1" t="s">
        <v>2</v>
      </c>
      <c r="E1918" t="b">
        <v>0</v>
      </c>
      <c r="F1918">
        <v>13</v>
      </c>
      <c r="G1918">
        <v>18</v>
      </c>
      <c r="H1918" t="s">
        <v>11</v>
      </c>
      <c r="I1918" t="b">
        <v>0</v>
      </c>
      <c r="J1918" cm="1">
        <f t="array" ref="J1918">sentimentCalc(B1918)</f>
        <v>0</v>
      </c>
      <c r="K1918" t="str" cm="1">
        <f t="array" ref="K1918">sentimentCategory(J1918)</f>
        <v>Neutral</v>
      </c>
    </row>
    <row r="1919" spans="1:11" ht="17" x14ac:dyDescent="0.2">
      <c r="A1919" t="s">
        <v>5278</v>
      </c>
      <c r="B1919" s="1" t="s">
        <v>5279</v>
      </c>
      <c r="C1919" t="s">
        <v>3631</v>
      </c>
      <c r="D1919" s="1" t="s">
        <v>3570</v>
      </c>
      <c r="E1919" t="b">
        <v>0</v>
      </c>
      <c r="F1919">
        <v>17</v>
      </c>
      <c r="G1919">
        <v>56</v>
      </c>
      <c r="H1919" t="s">
        <v>11</v>
      </c>
      <c r="I1919" t="b">
        <v>0</v>
      </c>
      <c r="J1919" cm="1">
        <f t="array" ref="J1919">sentimentCalc(B1919)</f>
        <v>0</v>
      </c>
      <c r="K1919" t="str" cm="1">
        <f t="array" ref="K1919">sentimentCategory(J1919)</f>
        <v>Neutral</v>
      </c>
    </row>
    <row r="1920" spans="1:11" ht="17" x14ac:dyDescent="0.2">
      <c r="A1920" t="s">
        <v>5572</v>
      </c>
      <c r="B1920" s="1" t="s">
        <v>5573</v>
      </c>
      <c r="C1920" t="s">
        <v>3706</v>
      </c>
      <c r="D1920" s="1" t="s">
        <v>588</v>
      </c>
      <c r="E1920" t="b">
        <v>0</v>
      </c>
      <c r="F1920">
        <v>3454</v>
      </c>
      <c r="G1920">
        <v>2616</v>
      </c>
      <c r="H1920" t="s">
        <v>11</v>
      </c>
      <c r="I1920" t="b">
        <v>0</v>
      </c>
      <c r="J1920" cm="1">
        <f t="array" ref="J1920">sentimentCalc(B1920)</f>
        <v>0</v>
      </c>
      <c r="K1920" t="str" cm="1">
        <f t="array" ref="K1920">sentimentCategory(J1920)</f>
        <v>Neutral</v>
      </c>
    </row>
    <row r="1921" spans="1:11" ht="17" x14ac:dyDescent="0.2">
      <c r="A1921" t="s">
        <v>4232</v>
      </c>
      <c r="B1921" s="1" t="s">
        <v>4233</v>
      </c>
      <c r="C1921" t="s">
        <v>177</v>
      </c>
      <c r="D1921" s="1" t="s">
        <v>4234</v>
      </c>
      <c r="E1921" t="b">
        <v>0</v>
      </c>
      <c r="F1921">
        <v>190</v>
      </c>
      <c r="G1921">
        <v>437</v>
      </c>
      <c r="H1921" t="s">
        <v>11</v>
      </c>
      <c r="I1921" t="b">
        <v>0</v>
      </c>
      <c r="J1921" cm="1">
        <f t="array" ref="J1921">sentimentCalc(B1921)</f>
        <v>0</v>
      </c>
      <c r="K1921" t="str" cm="1">
        <f t="array" ref="K1921">sentimentCategory(J1921)</f>
        <v>Neutral</v>
      </c>
    </row>
    <row r="1922" spans="1:11" ht="17" x14ac:dyDescent="0.2">
      <c r="A1922" t="s">
        <v>6622</v>
      </c>
      <c r="B1922" s="1" t="s">
        <v>6623</v>
      </c>
      <c r="C1922" t="s">
        <v>1477</v>
      </c>
      <c r="D1922" s="1" t="s">
        <v>6624</v>
      </c>
      <c r="E1922" t="b">
        <v>0</v>
      </c>
      <c r="F1922">
        <v>1405</v>
      </c>
      <c r="G1922">
        <v>946</v>
      </c>
      <c r="H1922" t="s">
        <v>11</v>
      </c>
      <c r="I1922" t="b">
        <v>0</v>
      </c>
      <c r="J1922" cm="1">
        <f t="array" ref="J1922">sentimentCalc(B1922)</f>
        <v>0</v>
      </c>
      <c r="K1922" t="str" cm="1">
        <f t="array" ref="K1922">sentimentCategory(J1922)</f>
        <v>Neutral</v>
      </c>
    </row>
    <row r="1923" spans="1:11" ht="17" x14ac:dyDescent="0.2">
      <c r="A1923" t="s">
        <v>5648</v>
      </c>
      <c r="B1923" s="1" t="s">
        <v>5649</v>
      </c>
      <c r="C1923" t="s">
        <v>3301</v>
      </c>
      <c r="D1923" s="1" t="s">
        <v>5417</v>
      </c>
      <c r="E1923" t="b">
        <v>0</v>
      </c>
      <c r="F1923">
        <v>1494</v>
      </c>
      <c r="G1923">
        <v>2307</v>
      </c>
      <c r="H1923" t="s">
        <v>11</v>
      </c>
      <c r="I1923" t="b">
        <v>0</v>
      </c>
      <c r="J1923" cm="1">
        <f t="array" ref="J1923">sentimentCalc(B1923)</f>
        <v>-1</v>
      </c>
      <c r="K1923" t="str" cm="1">
        <f t="array" ref="K1923">sentimentCategory(J1923)</f>
        <v>Negative</v>
      </c>
    </row>
    <row r="1924" spans="1:11" ht="34" x14ac:dyDescent="0.2">
      <c r="A1924" t="s">
        <v>1900</v>
      </c>
      <c r="B1924" s="1" t="s">
        <v>1901</v>
      </c>
      <c r="C1924" t="s">
        <v>1902</v>
      </c>
      <c r="D1924" s="1" t="s">
        <v>2</v>
      </c>
      <c r="E1924" t="b">
        <v>0</v>
      </c>
      <c r="F1924">
        <v>802</v>
      </c>
      <c r="G1924">
        <v>551</v>
      </c>
      <c r="H1924" t="s">
        <v>73</v>
      </c>
      <c r="I1924" t="b">
        <v>0</v>
      </c>
      <c r="J1924" cm="1">
        <f t="array" ref="J1924">sentimentCalc(B1924)</f>
        <v>1</v>
      </c>
      <c r="K1924" t="str" cm="1">
        <f t="array" ref="K1924">sentimentCategory(J1924)</f>
        <v>Positive</v>
      </c>
    </row>
    <row r="1925" spans="1:11" ht="17" x14ac:dyDescent="0.2">
      <c r="A1925" t="s">
        <v>6584</v>
      </c>
      <c r="B1925" s="1" t="s">
        <v>6585</v>
      </c>
      <c r="C1925" t="s">
        <v>6586</v>
      </c>
      <c r="D1925" s="1" t="s">
        <v>61</v>
      </c>
      <c r="E1925" t="b">
        <v>0</v>
      </c>
      <c r="F1925">
        <v>161</v>
      </c>
      <c r="G1925">
        <v>487</v>
      </c>
      <c r="H1925" t="s">
        <v>11</v>
      </c>
      <c r="I1925" t="b">
        <v>0</v>
      </c>
      <c r="J1925" cm="1">
        <f t="array" ref="J1925">sentimentCalc(B1925)</f>
        <v>1</v>
      </c>
      <c r="K1925" t="str" cm="1">
        <f t="array" ref="K1925">sentimentCategory(J1925)</f>
        <v>Positive</v>
      </c>
    </row>
    <row r="1926" spans="1:11" ht="17" x14ac:dyDescent="0.2">
      <c r="A1926" t="s">
        <v>3207</v>
      </c>
      <c r="B1926" s="1" t="s">
        <v>3208</v>
      </c>
      <c r="C1926" t="s">
        <v>3209</v>
      </c>
      <c r="D1926" s="1" t="s">
        <v>2</v>
      </c>
      <c r="E1926" t="b">
        <v>0</v>
      </c>
      <c r="F1926">
        <v>1863</v>
      </c>
      <c r="G1926">
        <v>2267</v>
      </c>
      <c r="H1926" t="s">
        <v>11</v>
      </c>
      <c r="I1926" t="b">
        <v>0</v>
      </c>
      <c r="J1926" cm="1">
        <f t="array" ref="J1926">sentimentCalc(B1926)</f>
        <v>0</v>
      </c>
      <c r="K1926" t="str" cm="1">
        <f t="array" ref="K1926">sentimentCategory(J1926)</f>
        <v>Neutral</v>
      </c>
    </row>
    <row r="1927" spans="1:11" ht="17" x14ac:dyDescent="0.2">
      <c r="A1927" t="s">
        <v>1822</v>
      </c>
      <c r="B1927" s="1" t="s">
        <v>1823</v>
      </c>
      <c r="C1927" t="s">
        <v>1824</v>
      </c>
      <c r="D1927" s="1" t="s">
        <v>61</v>
      </c>
      <c r="E1927" t="b">
        <v>0</v>
      </c>
      <c r="F1927">
        <v>141</v>
      </c>
      <c r="G1927">
        <v>312</v>
      </c>
      <c r="H1927" t="s">
        <v>11</v>
      </c>
      <c r="I1927" t="b">
        <v>0</v>
      </c>
      <c r="J1927" cm="1">
        <f t="array" ref="J1927">sentimentCalc(B1927)</f>
        <v>1</v>
      </c>
      <c r="K1927" t="str" cm="1">
        <f t="array" ref="K1927">sentimentCategory(J1927)</f>
        <v>Positive</v>
      </c>
    </row>
    <row r="1928" spans="1:11" ht="17" x14ac:dyDescent="0.2">
      <c r="A1928" t="s">
        <v>4793</v>
      </c>
      <c r="B1928" s="1" t="s">
        <v>4794</v>
      </c>
      <c r="C1928" t="s">
        <v>4795</v>
      </c>
      <c r="D1928" s="1" t="s">
        <v>2</v>
      </c>
      <c r="E1928" t="b">
        <v>0</v>
      </c>
      <c r="F1928">
        <v>2503</v>
      </c>
      <c r="G1928">
        <v>988</v>
      </c>
      <c r="H1928" t="s">
        <v>11</v>
      </c>
      <c r="I1928" t="b">
        <v>0</v>
      </c>
      <c r="J1928" cm="1">
        <f t="array" ref="J1928">sentimentCalc(B1928)</f>
        <v>0</v>
      </c>
      <c r="K1928" t="str" cm="1">
        <f t="array" ref="K1928">sentimentCategory(J1928)</f>
        <v>Neutral</v>
      </c>
    </row>
    <row r="1929" spans="1:11" ht="17" x14ac:dyDescent="0.2">
      <c r="A1929" t="s">
        <v>6850</v>
      </c>
      <c r="B1929" s="1" t="s">
        <v>6851</v>
      </c>
      <c r="C1929" t="s">
        <v>4907</v>
      </c>
      <c r="D1929" s="1" t="s">
        <v>3133</v>
      </c>
      <c r="E1929" t="b">
        <v>0</v>
      </c>
      <c r="F1929">
        <v>924</v>
      </c>
      <c r="G1929">
        <v>808</v>
      </c>
      <c r="H1929" t="s">
        <v>11</v>
      </c>
      <c r="I1929" t="b">
        <v>0</v>
      </c>
      <c r="J1929" cm="1">
        <f t="array" ref="J1929">sentimentCalc(B1929)</f>
        <v>2</v>
      </c>
      <c r="K1929" t="str" cm="1">
        <f t="array" ref="K1929">sentimentCategory(J1929)</f>
        <v>Positive</v>
      </c>
    </row>
    <row r="1930" spans="1:11" ht="17" x14ac:dyDescent="0.2">
      <c r="A1930" t="s">
        <v>6303</v>
      </c>
      <c r="B1930" s="1" t="s">
        <v>6304</v>
      </c>
      <c r="C1930" t="s">
        <v>6305</v>
      </c>
      <c r="D1930" s="1" t="s">
        <v>6306</v>
      </c>
      <c r="E1930" t="b">
        <v>0</v>
      </c>
      <c r="F1930">
        <v>8472</v>
      </c>
      <c r="G1930">
        <v>9075</v>
      </c>
      <c r="H1930" t="s">
        <v>11</v>
      </c>
      <c r="I1930" t="b">
        <v>0</v>
      </c>
      <c r="J1930" cm="1">
        <f t="array" ref="J1930">sentimentCalc(B1930)</f>
        <v>0</v>
      </c>
      <c r="K1930" t="str" cm="1">
        <f t="array" ref="K1930">sentimentCategory(J1930)</f>
        <v>Neutral</v>
      </c>
    </row>
    <row r="1931" spans="1:11" ht="34" x14ac:dyDescent="0.2">
      <c r="A1931" t="s">
        <v>5060</v>
      </c>
      <c r="B1931" s="1" t="s">
        <v>5061</v>
      </c>
      <c r="C1931" t="s">
        <v>455</v>
      </c>
      <c r="D1931" s="1" t="s">
        <v>212</v>
      </c>
      <c r="E1931" t="b">
        <v>0</v>
      </c>
      <c r="F1931">
        <v>178</v>
      </c>
      <c r="G1931">
        <v>135</v>
      </c>
      <c r="H1931" t="s">
        <v>11</v>
      </c>
      <c r="I1931" t="b">
        <v>0</v>
      </c>
      <c r="J1931" cm="1">
        <f t="array" ref="J1931">sentimentCalc(B1931)</f>
        <v>1</v>
      </c>
      <c r="K1931" t="str" cm="1">
        <f t="array" ref="K1931">sentimentCategory(J1931)</f>
        <v>Positive</v>
      </c>
    </row>
    <row r="1932" spans="1:11" ht="17" x14ac:dyDescent="0.2">
      <c r="A1932" t="s">
        <v>4069</v>
      </c>
      <c r="B1932" s="1" t="s">
        <v>4070</v>
      </c>
      <c r="C1932" t="s">
        <v>2867</v>
      </c>
      <c r="D1932" s="1" t="s">
        <v>4071</v>
      </c>
      <c r="E1932" t="b">
        <v>0</v>
      </c>
      <c r="F1932">
        <v>501</v>
      </c>
      <c r="G1932">
        <v>742</v>
      </c>
      <c r="H1932" t="s">
        <v>110</v>
      </c>
      <c r="I1932" t="b">
        <v>0</v>
      </c>
      <c r="J1932" cm="1">
        <f t="array" ref="J1932">sentimentCalc(B1932)</f>
        <v>0</v>
      </c>
      <c r="K1932" t="str" cm="1">
        <f t="array" ref="K1932">sentimentCategory(J1932)</f>
        <v>Neutral</v>
      </c>
    </row>
    <row r="1933" spans="1:11" ht="17" x14ac:dyDescent="0.2">
      <c r="A1933" t="s">
        <v>7172</v>
      </c>
      <c r="B1933" s="1" t="s">
        <v>7173</v>
      </c>
      <c r="C1933" t="s">
        <v>6738</v>
      </c>
      <c r="D1933" s="1" t="s">
        <v>7174</v>
      </c>
      <c r="E1933" t="b">
        <v>0</v>
      </c>
      <c r="F1933">
        <v>60</v>
      </c>
      <c r="G1933">
        <v>97</v>
      </c>
      <c r="H1933" t="s">
        <v>11</v>
      </c>
      <c r="I1933" t="b">
        <v>0</v>
      </c>
      <c r="J1933" cm="1">
        <f t="array" ref="J1933">sentimentCalc(B1933)</f>
        <v>0</v>
      </c>
      <c r="K1933" t="str" cm="1">
        <f t="array" ref="K1933">sentimentCategory(J1933)</f>
        <v>Neutral</v>
      </c>
    </row>
    <row r="1934" spans="1:11" ht="17" x14ac:dyDescent="0.2">
      <c r="A1934" t="s">
        <v>5565</v>
      </c>
      <c r="B1934" s="1" t="s">
        <v>5566</v>
      </c>
      <c r="C1934" t="s">
        <v>186</v>
      </c>
      <c r="D1934" s="1" t="s">
        <v>5567</v>
      </c>
      <c r="E1934" t="b">
        <v>0</v>
      </c>
      <c r="F1934">
        <v>117</v>
      </c>
      <c r="G1934">
        <v>455</v>
      </c>
      <c r="H1934" t="s">
        <v>11</v>
      </c>
      <c r="I1934" t="b">
        <v>0</v>
      </c>
      <c r="J1934" cm="1">
        <f t="array" ref="J1934">sentimentCalc(B1934)</f>
        <v>0</v>
      </c>
      <c r="K1934" t="str" cm="1">
        <f t="array" ref="K1934">sentimentCategory(J1934)</f>
        <v>Neutral</v>
      </c>
    </row>
    <row r="1935" spans="1:11" ht="17" x14ac:dyDescent="0.2">
      <c r="A1935" t="s">
        <v>6161</v>
      </c>
      <c r="B1935" s="1" t="s">
        <v>6162</v>
      </c>
      <c r="C1935" t="s">
        <v>6163</v>
      </c>
      <c r="D1935" s="1" t="s">
        <v>6164</v>
      </c>
      <c r="E1935" t="b">
        <v>0</v>
      </c>
      <c r="F1935">
        <v>225</v>
      </c>
      <c r="G1935">
        <v>795</v>
      </c>
      <c r="H1935" t="s">
        <v>11</v>
      </c>
      <c r="I1935" t="b">
        <v>0</v>
      </c>
      <c r="J1935" cm="1">
        <f t="array" ref="J1935">sentimentCalc(B1935)</f>
        <v>0</v>
      </c>
      <c r="K1935" t="str" cm="1">
        <f t="array" ref="K1935">sentimentCategory(J1935)</f>
        <v>Neutral</v>
      </c>
    </row>
    <row r="1936" spans="1:11" ht="17" x14ac:dyDescent="0.2">
      <c r="A1936" t="s">
        <v>6712</v>
      </c>
      <c r="B1936" s="1" t="s">
        <v>6713</v>
      </c>
      <c r="C1936" t="s">
        <v>6714</v>
      </c>
      <c r="D1936" s="1" t="s">
        <v>2</v>
      </c>
      <c r="E1936" t="b">
        <v>0</v>
      </c>
      <c r="F1936">
        <v>943</v>
      </c>
      <c r="G1936">
        <v>611</v>
      </c>
      <c r="H1936" t="s">
        <v>11</v>
      </c>
      <c r="I1936" t="b">
        <v>0</v>
      </c>
      <c r="J1936" cm="1">
        <f t="array" ref="J1936">sentimentCalc(B1936)</f>
        <v>0</v>
      </c>
      <c r="K1936" t="str" cm="1">
        <f t="array" ref="K1936">sentimentCategory(J1936)</f>
        <v>Neutral</v>
      </c>
    </row>
    <row r="1937" spans="1:11" ht="34" x14ac:dyDescent="0.2">
      <c r="A1937" t="s">
        <v>2568</v>
      </c>
      <c r="B1937" s="1" t="s">
        <v>2569</v>
      </c>
      <c r="C1937" t="s">
        <v>2570</v>
      </c>
      <c r="D1937" s="1" t="s">
        <v>2</v>
      </c>
      <c r="E1937" t="b">
        <v>0</v>
      </c>
      <c r="F1937">
        <v>6</v>
      </c>
      <c r="G1937">
        <v>73</v>
      </c>
      <c r="H1937" t="s">
        <v>47</v>
      </c>
      <c r="I1937" t="b">
        <v>0</v>
      </c>
      <c r="J1937" cm="1">
        <f t="array" ref="J1937">sentimentCalc(B1937)</f>
        <v>1</v>
      </c>
      <c r="K1937" t="str" cm="1">
        <f t="array" ref="K1937">sentimentCategory(J1937)</f>
        <v>Positive</v>
      </c>
    </row>
    <row r="1938" spans="1:11" ht="34" x14ac:dyDescent="0.2">
      <c r="A1938" t="s">
        <v>6965</v>
      </c>
      <c r="B1938" s="1" t="s">
        <v>6966</v>
      </c>
      <c r="C1938" t="s">
        <v>6967</v>
      </c>
      <c r="D1938" s="1" t="s">
        <v>2</v>
      </c>
      <c r="E1938" t="b">
        <v>0</v>
      </c>
      <c r="F1938">
        <v>25</v>
      </c>
      <c r="G1938">
        <v>0</v>
      </c>
      <c r="H1938" t="s">
        <v>11</v>
      </c>
      <c r="I1938" t="b">
        <v>0</v>
      </c>
      <c r="J1938" cm="1">
        <f t="array" ref="J1938">sentimentCalc(B1938)</f>
        <v>0</v>
      </c>
      <c r="K1938" t="str" cm="1">
        <f t="array" ref="K1938">sentimentCategory(J1938)</f>
        <v>Neutral</v>
      </c>
    </row>
    <row r="1939" spans="1:11" ht="34" x14ac:dyDescent="0.2">
      <c r="A1939" t="s">
        <v>4859</v>
      </c>
      <c r="B1939" s="1" t="s">
        <v>4860</v>
      </c>
      <c r="C1939" t="s">
        <v>4861</v>
      </c>
      <c r="D1939" s="1" t="s">
        <v>2</v>
      </c>
      <c r="E1939" t="b">
        <v>0</v>
      </c>
      <c r="F1939">
        <v>413</v>
      </c>
      <c r="G1939">
        <v>355</v>
      </c>
      <c r="H1939" t="s">
        <v>11</v>
      </c>
      <c r="I1939" t="b">
        <v>0</v>
      </c>
      <c r="J1939" cm="1">
        <f t="array" ref="J1939">sentimentCalc(B1939)</f>
        <v>0</v>
      </c>
      <c r="K1939" t="str" cm="1">
        <f t="array" ref="K1939">sentimentCategory(J1939)</f>
        <v>Neutral</v>
      </c>
    </row>
    <row r="1940" spans="1:11" ht="34" x14ac:dyDescent="0.2">
      <c r="A1940" t="s">
        <v>7011</v>
      </c>
      <c r="B1940" s="1" t="s">
        <v>7012</v>
      </c>
      <c r="C1940" t="s">
        <v>1313</v>
      </c>
      <c r="D1940" s="1" t="s">
        <v>7013</v>
      </c>
      <c r="E1940" t="b">
        <v>0</v>
      </c>
      <c r="F1940">
        <v>244</v>
      </c>
      <c r="G1940">
        <v>318</v>
      </c>
      <c r="H1940" t="s">
        <v>11</v>
      </c>
      <c r="I1940" t="b">
        <v>0</v>
      </c>
      <c r="J1940" cm="1">
        <f t="array" ref="J1940">sentimentCalc(B1940)</f>
        <v>-1</v>
      </c>
      <c r="K1940" t="str" cm="1">
        <f t="array" ref="K1940">sentimentCategory(J1940)</f>
        <v>Negative</v>
      </c>
    </row>
    <row r="1941" spans="1:11" ht="17" x14ac:dyDescent="0.2">
      <c r="A1941" t="s">
        <v>5402</v>
      </c>
      <c r="B1941" s="1" t="s">
        <v>5404</v>
      </c>
      <c r="C1941" t="s">
        <v>200</v>
      </c>
      <c r="D1941" s="1" t="s">
        <v>5405</v>
      </c>
      <c r="E1941" t="b">
        <v>0</v>
      </c>
      <c r="F1941">
        <v>2282</v>
      </c>
      <c r="G1941">
        <v>4648</v>
      </c>
      <c r="H1941" t="s">
        <v>11</v>
      </c>
      <c r="I1941" t="b">
        <v>0</v>
      </c>
      <c r="J1941" cm="1">
        <f t="array" ref="J1941">sentimentCalc(B1941)</f>
        <v>0</v>
      </c>
      <c r="K1941" t="str" cm="1">
        <f t="array" ref="K1941">sentimentCategory(J1941)</f>
        <v>Neutral</v>
      </c>
    </row>
    <row r="1942" spans="1:11" ht="17" x14ac:dyDescent="0.2">
      <c r="A1942" t="s">
        <v>2799</v>
      </c>
      <c r="B1942" s="1" t="s">
        <v>2800</v>
      </c>
      <c r="C1942" t="s">
        <v>2706</v>
      </c>
      <c r="D1942" s="1" t="s">
        <v>2</v>
      </c>
      <c r="E1942" t="b">
        <v>0</v>
      </c>
      <c r="F1942">
        <v>17</v>
      </c>
      <c r="G1942">
        <v>78</v>
      </c>
      <c r="H1942" t="s">
        <v>11</v>
      </c>
      <c r="I1942" t="b">
        <v>0</v>
      </c>
      <c r="J1942" cm="1">
        <f t="array" ref="J1942">sentimentCalc(B1942)</f>
        <v>0</v>
      </c>
      <c r="K1942" t="str" cm="1">
        <f t="array" ref="K1942">sentimentCategory(J1942)</f>
        <v>Neutral</v>
      </c>
    </row>
    <row r="1943" spans="1:11" ht="17" x14ac:dyDescent="0.2">
      <c r="A1943" t="s">
        <v>5639</v>
      </c>
      <c r="B1943" s="1" t="s">
        <v>5640</v>
      </c>
      <c r="C1943" t="s">
        <v>5641</v>
      </c>
      <c r="D1943" s="1" t="s">
        <v>5642</v>
      </c>
      <c r="E1943" t="b">
        <v>0</v>
      </c>
      <c r="F1943">
        <v>75</v>
      </c>
      <c r="G1943">
        <v>512</v>
      </c>
      <c r="H1943" t="s">
        <v>47</v>
      </c>
      <c r="I1943" t="b">
        <v>0</v>
      </c>
      <c r="J1943" cm="1">
        <f t="array" ref="J1943">sentimentCalc(B1943)</f>
        <v>0</v>
      </c>
      <c r="K1943" t="str" cm="1">
        <f t="array" ref="K1943">sentimentCategory(J1943)</f>
        <v>Neutral</v>
      </c>
    </row>
    <row r="1944" spans="1:11" ht="17" x14ac:dyDescent="0.2">
      <c r="A1944" t="s">
        <v>2498</v>
      </c>
      <c r="B1944" s="1" t="s">
        <v>2499</v>
      </c>
      <c r="C1944" t="s">
        <v>1162</v>
      </c>
      <c r="D1944" s="1" t="s">
        <v>2500</v>
      </c>
      <c r="E1944" t="b">
        <v>0</v>
      </c>
      <c r="F1944">
        <v>1425</v>
      </c>
      <c r="G1944">
        <v>1265</v>
      </c>
      <c r="H1944" t="s">
        <v>2180</v>
      </c>
      <c r="I1944" t="b">
        <v>0</v>
      </c>
      <c r="J1944" cm="1">
        <f t="array" ref="J1944">sentimentCalc(B1944)</f>
        <v>0</v>
      </c>
      <c r="K1944" t="str" cm="1">
        <f t="array" ref="K1944">sentimentCategory(J1944)</f>
        <v>Neutral</v>
      </c>
    </row>
    <row r="1945" spans="1:11" ht="34" x14ac:dyDescent="0.2">
      <c r="A1945" t="s">
        <v>3323</v>
      </c>
      <c r="B1945" s="1" t="s">
        <v>3324</v>
      </c>
      <c r="C1945" t="s">
        <v>45</v>
      </c>
      <c r="D1945" s="1" t="s">
        <v>2</v>
      </c>
      <c r="E1945" t="b">
        <v>0</v>
      </c>
      <c r="F1945">
        <v>116</v>
      </c>
      <c r="G1945">
        <v>291</v>
      </c>
      <c r="H1945" t="s">
        <v>11</v>
      </c>
      <c r="I1945" t="b">
        <v>0</v>
      </c>
      <c r="J1945" cm="1">
        <f t="array" ref="J1945">sentimentCalc(B1945)</f>
        <v>0</v>
      </c>
      <c r="K1945" t="str" cm="1">
        <f t="array" ref="K1945">sentimentCategory(J1945)</f>
        <v>Neutral</v>
      </c>
    </row>
    <row r="1946" spans="1:11" ht="17" x14ac:dyDescent="0.2">
      <c r="A1946" t="s">
        <v>837</v>
      </c>
      <c r="B1946" s="1" t="s">
        <v>838</v>
      </c>
      <c r="C1946" t="s">
        <v>839</v>
      </c>
      <c r="D1946" s="1" t="s">
        <v>840</v>
      </c>
      <c r="E1946" t="b">
        <v>0</v>
      </c>
      <c r="F1946">
        <v>8</v>
      </c>
      <c r="G1946">
        <v>59</v>
      </c>
      <c r="H1946" t="s">
        <v>11</v>
      </c>
      <c r="I1946" t="b">
        <v>0</v>
      </c>
      <c r="J1946" cm="1">
        <f t="array" ref="J1946">sentimentCalc(B1946)</f>
        <v>0</v>
      </c>
      <c r="K1946" t="str" cm="1">
        <f t="array" ref="K1946">sentimentCategory(J1946)</f>
        <v>Neutral</v>
      </c>
    </row>
    <row r="1947" spans="1:11" ht="17" x14ac:dyDescent="0.2">
      <c r="A1947" t="s">
        <v>5415</v>
      </c>
      <c r="B1947" s="1" t="s">
        <v>5416</v>
      </c>
      <c r="C1947" t="s">
        <v>3354</v>
      </c>
      <c r="D1947" s="1" t="s">
        <v>5417</v>
      </c>
      <c r="E1947" t="b">
        <v>0</v>
      </c>
      <c r="F1947">
        <v>67685</v>
      </c>
      <c r="G1947">
        <v>200</v>
      </c>
      <c r="H1947" t="s">
        <v>11</v>
      </c>
      <c r="I1947" t="b">
        <v>0</v>
      </c>
      <c r="J1947" cm="1">
        <f t="array" ref="J1947">sentimentCalc(B1947)</f>
        <v>0</v>
      </c>
      <c r="K1947" t="str" cm="1">
        <f t="array" ref="K1947">sentimentCategory(J1947)</f>
        <v>Neutral</v>
      </c>
    </row>
    <row r="1948" spans="1:11" ht="34" x14ac:dyDescent="0.2">
      <c r="A1948" t="s">
        <v>3176</v>
      </c>
      <c r="B1948" s="1" t="s">
        <v>3177</v>
      </c>
      <c r="C1948" t="s">
        <v>814</v>
      </c>
      <c r="D1948" s="1" t="s">
        <v>216</v>
      </c>
      <c r="E1948" t="b">
        <v>0</v>
      </c>
      <c r="F1948">
        <v>8</v>
      </c>
      <c r="G1948">
        <v>166</v>
      </c>
      <c r="H1948" t="s">
        <v>11</v>
      </c>
      <c r="I1948" t="b">
        <v>0</v>
      </c>
      <c r="J1948" cm="1">
        <f t="array" ref="J1948">sentimentCalc(B1948)</f>
        <v>0</v>
      </c>
      <c r="K1948" t="str" cm="1">
        <f t="array" ref="K1948">sentimentCategory(J1948)</f>
        <v>Neutral</v>
      </c>
    </row>
    <row r="1949" spans="1:11" ht="17" x14ac:dyDescent="0.2">
      <c r="A1949" t="s">
        <v>7170</v>
      </c>
      <c r="B1949" s="1" t="s">
        <v>7171</v>
      </c>
      <c r="C1949" t="s">
        <v>402</v>
      </c>
      <c r="D1949" s="1" t="s">
        <v>5352</v>
      </c>
      <c r="E1949" t="b">
        <v>0</v>
      </c>
      <c r="F1949">
        <v>374</v>
      </c>
      <c r="G1949">
        <v>410</v>
      </c>
      <c r="H1949" t="s">
        <v>11</v>
      </c>
      <c r="I1949" t="b">
        <v>0</v>
      </c>
      <c r="J1949" cm="1">
        <f t="array" ref="J1949">sentimentCalc(B1949)</f>
        <v>0</v>
      </c>
      <c r="K1949" t="str" cm="1">
        <f t="array" ref="K1949">sentimentCategory(J1949)</f>
        <v>Neutral</v>
      </c>
    </row>
    <row r="1950" spans="1:11" ht="34" x14ac:dyDescent="0.2">
      <c r="A1950" t="s">
        <v>4104</v>
      </c>
      <c r="B1950" s="1" t="s">
        <v>4105</v>
      </c>
      <c r="C1950" t="s">
        <v>4106</v>
      </c>
      <c r="D1950" s="1" t="s">
        <v>4107</v>
      </c>
      <c r="E1950" t="b">
        <v>0</v>
      </c>
      <c r="F1950">
        <v>30</v>
      </c>
      <c r="G1950">
        <v>335</v>
      </c>
      <c r="H1950" t="s">
        <v>11</v>
      </c>
      <c r="I1950" t="b">
        <v>0</v>
      </c>
      <c r="J1950" cm="1">
        <f t="array" ref="J1950">sentimentCalc(B1950)</f>
        <v>-1</v>
      </c>
      <c r="K1950" t="str" cm="1">
        <f t="array" ref="K1950">sentimentCategory(J1950)</f>
        <v>Negative</v>
      </c>
    </row>
    <row r="1951" spans="1:11" ht="34" x14ac:dyDescent="0.2">
      <c r="A1951" t="s">
        <v>5707</v>
      </c>
      <c r="B1951" s="1" t="s">
        <v>5708</v>
      </c>
      <c r="C1951" t="s">
        <v>4082</v>
      </c>
      <c r="D1951" s="1" t="s">
        <v>2</v>
      </c>
      <c r="E1951" t="b">
        <v>0</v>
      </c>
      <c r="F1951">
        <v>30</v>
      </c>
      <c r="G1951">
        <v>71</v>
      </c>
      <c r="H1951" t="s">
        <v>11</v>
      </c>
      <c r="I1951" t="b">
        <v>0</v>
      </c>
      <c r="J1951" cm="1">
        <f t="array" ref="J1951">sentimentCalc(B1951)</f>
        <v>-1</v>
      </c>
      <c r="K1951" t="str" cm="1">
        <f t="array" ref="K1951">sentimentCategory(J1951)</f>
        <v>Negative</v>
      </c>
    </row>
    <row r="1952" spans="1:11" ht="34" x14ac:dyDescent="0.2">
      <c r="A1952" t="s">
        <v>5494</v>
      </c>
      <c r="B1952" s="1" t="s">
        <v>5495</v>
      </c>
      <c r="C1952" t="s">
        <v>2486</v>
      </c>
      <c r="D1952" s="1" t="s">
        <v>5496</v>
      </c>
      <c r="E1952" t="b">
        <v>0</v>
      </c>
      <c r="F1952">
        <v>18</v>
      </c>
      <c r="G1952">
        <v>187</v>
      </c>
      <c r="H1952" t="s">
        <v>11</v>
      </c>
      <c r="I1952" t="b">
        <v>0</v>
      </c>
      <c r="J1952" cm="1">
        <f t="array" ref="J1952">sentimentCalc(B1952)</f>
        <v>0</v>
      </c>
      <c r="K1952" t="str" cm="1">
        <f t="array" ref="K1952">sentimentCategory(J1952)</f>
        <v>Neutral</v>
      </c>
    </row>
    <row r="1953" spans="1:11" ht="34" x14ac:dyDescent="0.2">
      <c r="A1953" t="s">
        <v>2508</v>
      </c>
      <c r="B1953" s="1" t="s">
        <v>2509</v>
      </c>
      <c r="C1953" t="s">
        <v>2510</v>
      </c>
      <c r="D1953" s="1" t="s">
        <v>2</v>
      </c>
      <c r="E1953" t="b">
        <v>0</v>
      </c>
      <c r="F1953">
        <v>430</v>
      </c>
      <c r="G1953">
        <v>263</v>
      </c>
      <c r="H1953" t="s">
        <v>11</v>
      </c>
      <c r="I1953" t="b">
        <v>0</v>
      </c>
      <c r="J1953" cm="1">
        <f t="array" ref="J1953">sentimentCalc(B1953)</f>
        <v>0</v>
      </c>
      <c r="K1953" t="str" cm="1">
        <f t="array" ref="K1953">sentimentCategory(J1953)</f>
        <v>Neutral</v>
      </c>
    </row>
    <row r="1954" spans="1:11" ht="17" x14ac:dyDescent="0.2">
      <c r="A1954" t="s">
        <v>6683</v>
      </c>
      <c r="B1954" s="1" t="s">
        <v>6684</v>
      </c>
      <c r="C1954" t="s">
        <v>4907</v>
      </c>
      <c r="D1954" s="1" t="s">
        <v>2</v>
      </c>
      <c r="E1954" t="b">
        <v>0</v>
      </c>
      <c r="F1954">
        <v>37</v>
      </c>
      <c r="G1954">
        <v>425</v>
      </c>
      <c r="H1954" t="s">
        <v>11</v>
      </c>
      <c r="I1954" t="b">
        <v>0</v>
      </c>
      <c r="J1954" cm="1">
        <f t="array" ref="J1954">sentimentCalc(B1954)</f>
        <v>0</v>
      </c>
      <c r="K1954" t="str" cm="1">
        <f t="array" ref="K1954">sentimentCategory(J1954)</f>
        <v>Neutral</v>
      </c>
    </row>
    <row r="1955" spans="1:11" ht="17" x14ac:dyDescent="0.2">
      <c r="A1955" t="s">
        <v>6825</v>
      </c>
      <c r="B1955" s="1" t="s">
        <v>6826</v>
      </c>
      <c r="C1955" t="s">
        <v>2938</v>
      </c>
      <c r="D1955" s="1" t="s">
        <v>2</v>
      </c>
      <c r="E1955" t="b">
        <v>0</v>
      </c>
      <c r="F1955">
        <v>3</v>
      </c>
      <c r="G1955">
        <v>59</v>
      </c>
      <c r="H1955" t="s">
        <v>11</v>
      </c>
      <c r="I1955" t="b">
        <v>0</v>
      </c>
      <c r="J1955" cm="1">
        <f t="array" ref="J1955">sentimentCalc(B1955)</f>
        <v>-2</v>
      </c>
      <c r="K1955" t="str" cm="1">
        <f t="array" ref="K1955">sentimentCategory(J1955)</f>
        <v>Negative</v>
      </c>
    </row>
    <row r="1956" spans="1:11" ht="34" x14ac:dyDescent="0.2">
      <c r="A1956" t="s">
        <v>6721</v>
      </c>
      <c r="B1956" s="1" t="s">
        <v>6722</v>
      </c>
      <c r="C1956" t="s">
        <v>1197</v>
      </c>
      <c r="D1956" s="1" t="s">
        <v>2</v>
      </c>
      <c r="E1956" t="b">
        <v>0</v>
      </c>
      <c r="F1956">
        <v>297</v>
      </c>
      <c r="G1956">
        <v>110</v>
      </c>
      <c r="H1956" t="s">
        <v>11</v>
      </c>
      <c r="I1956" t="b">
        <v>0</v>
      </c>
      <c r="J1956" cm="1">
        <f t="array" ref="J1956">sentimentCalc(B1956)</f>
        <v>-1</v>
      </c>
      <c r="K1956" t="str" cm="1">
        <f t="array" ref="K1956">sentimentCategory(J1956)</f>
        <v>Negative</v>
      </c>
    </row>
    <row r="1957" spans="1:11" ht="34" x14ac:dyDescent="0.2">
      <c r="A1957" t="s">
        <v>2714</v>
      </c>
      <c r="B1957" s="1" t="s">
        <v>2717</v>
      </c>
      <c r="C1957" t="s">
        <v>319</v>
      </c>
      <c r="D1957" s="1" t="s">
        <v>418</v>
      </c>
      <c r="E1957" t="b">
        <v>0</v>
      </c>
      <c r="F1957">
        <v>22</v>
      </c>
      <c r="G1957">
        <v>61</v>
      </c>
      <c r="H1957" t="s">
        <v>11</v>
      </c>
      <c r="I1957" t="b">
        <v>0</v>
      </c>
      <c r="J1957" cm="1">
        <f t="array" ref="J1957">sentimentCalc(B1957)</f>
        <v>0</v>
      </c>
      <c r="K1957" t="str" cm="1">
        <f t="array" ref="K1957">sentimentCategory(J1957)</f>
        <v>Neutral</v>
      </c>
    </row>
    <row r="1958" spans="1:11" ht="17" x14ac:dyDescent="0.2">
      <c r="A1958" t="s">
        <v>6344</v>
      </c>
      <c r="B1958" s="1" t="s">
        <v>6345</v>
      </c>
      <c r="C1958" t="s">
        <v>5499</v>
      </c>
      <c r="D1958" s="1" t="s">
        <v>6346</v>
      </c>
      <c r="E1958" t="b">
        <v>0</v>
      </c>
      <c r="F1958">
        <v>367</v>
      </c>
      <c r="G1958">
        <v>1664</v>
      </c>
      <c r="H1958" t="s">
        <v>11</v>
      </c>
      <c r="I1958" t="b">
        <v>0</v>
      </c>
      <c r="J1958" cm="1">
        <f t="array" ref="J1958">sentimentCalc(B1958)</f>
        <v>0</v>
      </c>
      <c r="K1958" t="str" cm="1">
        <f t="array" ref="K1958">sentimentCategory(J1958)</f>
        <v>Neutral</v>
      </c>
    </row>
    <row r="1959" spans="1:11" ht="34" x14ac:dyDescent="0.2">
      <c r="A1959" t="s">
        <v>2924</v>
      </c>
      <c r="B1959" s="1" t="s">
        <v>2925</v>
      </c>
      <c r="C1959" t="s">
        <v>2926</v>
      </c>
      <c r="D1959" s="1" t="s">
        <v>2927</v>
      </c>
      <c r="E1959" t="b">
        <v>0</v>
      </c>
      <c r="F1959">
        <v>13475</v>
      </c>
      <c r="G1959">
        <v>492</v>
      </c>
      <c r="H1959" t="s">
        <v>11</v>
      </c>
      <c r="I1959" t="b">
        <v>0</v>
      </c>
      <c r="J1959" cm="1">
        <f t="array" ref="J1959">sentimentCalc(B1959)</f>
        <v>0</v>
      </c>
      <c r="K1959" t="str" cm="1">
        <f t="array" ref="K1959">sentimentCategory(J1959)</f>
        <v>Neutral</v>
      </c>
    </row>
    <row r="1960" spans="1:11" ht="17" x14ac:dyDescent="0.2">
      <c r="A1960" t="s">
        <v>7138</v>
      </c>
      <c r="B1960" s="1" t="s">
        <v>7139</v>
      </c>
      <c r="C1960" t="s">
        <v>855</v>
      </c>
      <c r="D1960" s="1" t="s">
        <v>68</v>
      </c>
      <c r="E1960" t="b">
        <v>0</v>
      </c>
      <c r="F1960">
        <v>142</v>
      </c>
      <c r="G1960">
        <v>131</v>
      </c>
      <c r="H1960" t="s">
        <v>11</v>
      </c>
      <c r="I1960" t="b">
        <v>0</v>
      </c>
      <c r="J1960" cm="1">
        <f t="array" ref="J1960">sentimentCalc(B1960)</f>
        <v>2</v>
      </c>
      <c r="K1960" t="str" cm="1">
        <f t="array" ref="K1960">sentimentCategory(J1960)</f>
        <v>Positive</v>
      </c>
    </row>
    <row r="1961" spans="1:11" ht="17" x14ac:dyDescent="0.2">
      <c r="A1961" t="s">
        <v>667</v>
      </c>
      <c r="B1961" s="1" t="s">
        <v>668</v>
      </c>
      <c r="C1961" t="s">
        <v>279</v>
      </c>
      <c r="D1961" s="1" t="s">
        <v>316</v>
      </c>
      <c r="E1961" t="b">
        <v>0</v>
      </c>
      <c r="F1961">
        <v>964</v>
      </c>
      <c r="G1961">
        <v>267</v>
      </c>
      <c r="H1961" t="s">
        <v>11</v>
      </c>
      <c r="I1961" t="b">
        <v>0</v>
      </c>
      <c r="J1961" cm="1">
        <f t="array" ref="J1961">sentimentCalc(B1961)</f>
        <v>0</v>
      </c>
      <c r="K1961" t="str" cm="1">
        <f t="array" ref="K1961">sentimentCategory(J1961)</f>
        <v>Neutral</v>
      </c>
    </row>
    <row r="1962" spans="1:11" ht="34" x14ac:dyDescent="0.2">
      <c r="A1962" t="s">
        <v>2042</v>
      </c>
      <c r="B1962" s="1" t="s">
        <v>2043</v>
      </c>
      <c r="C1962" t="s">
        <v>2044</v>
      </c>
      <c r="D1962" s="1" t="s">
        <v>2</v>
      </c>
      <c r="E1962" t="b">
        <v>0</v>
      </c>
      <c r="F1962">
        <v>13</v>
      </c>
      <c r="G1962">
        <v>71</v>
      </c>
      <c r="H1962" t="s">
        <v>11</v>
      </c>
      <c r="I1962" t="b">
        <v>0</v>
      </c>
      <c r="J1962" cm="1">
        <f t="array" ref="J1962">sentimentCalc(B1962)</f>
        <v>0</v>
      </c>
      <c r="K1962" t="str" cm="1">
        <f t="array" ref="K1962">sentimentCategory(J1962)</f>
        <v>Neutral</v>
      </c>
    </row>
    <row r="1963" spans="1:11" ht="17" x14ac:dyDescent="0.2">
      <c r="A1963" t="s">
        <v>3826</v>
      </c>
      <c r="B1963" s="1" t="s">
        <v>3827</v>
      </c>
      <c r="C1963" t="s">
        <v>222</v>
      </c>
      <c r="D1963" s="1" t="s">
        <v>223</v>
      </c>
      <c r="E1963" t="b">
        <v>0</v>
      </c>
      <c r="F1963">
        <v>9224</v>
      </c>
      <c r="G1963">
        <v>7170</v>
      </c>
      <c r="H1963" t="s">
        <v>11</v>
      </c>
      <c r="I1963" t="b">
        <v>0</v>
      </c>
      <c r="J1963" cm="1">
        <f t="array" ref="J1963">sentimentCalc(B1963)</f>
        <v>1</v>
      </c>
      <c r="K1963" t="str" cm="1">
        <f t="array" ref="K1963">sentimentCategory(J1963)</f>
        <v>Positive</v>
      </c>
    </row>
    <row r="1964" spans="1:11" ht="17" x14ac:dyDescent="0.2">
      <c r="A1964" t="s">
        <v>2666</v>
      </c>
      <c r="B1964" s="1" t="s">
        <v>2670</v>
      </c>
      <c r="C1964" t="s">
        <v>567</v>
      </c>
      <c r="D1964" s="1" t="s">
        <v>61</v>
      </c>
      <c r="E1964" t="b">
        <v>0</v>
      </c>
      <c r="F1964">
        <v>580</v>
      </c>
      <c r="G1964">
        <v>0</v>
      </c>
      <c r="H1964" t="s">
        <v>11</v>
      </c>
      <c r="I1964" t="b">
        <v>0</v>
      </c>
      <c r="J1964" cm="1">
        <f t="array" ref="J1964">sentimentCalc(B1964)</f>
        <v>0</v>
      </c>
      <c r="K1964" t="str" cm="1">
        <f t="array" ref="K1964">sentimentCategory(J1964)</f>
        <v>Neutral</v>
      </c>
    </row>
    <row r="1965" spans="1:11" ht="51" x14ac:dyDescent="0.2">
      <c r="A1965" t="s">
        <v>7094</v>
      </c>
      <c r="B1965" s="1" t="s">
        <v>7095</v>
      </c>
      <c r="C1965" t="s">
        <v>4154</v>
      </c>
      <c r="D1965" s="1" t="s">
        <v>2</v>
      </c>
      <c r="E1965" t="b">
        <v>0</v>
      </c>
      <c r="F1965">
        <v>6</v>
      </c>
      <c r="G1965">
        <v>6</v>
      </c>
      <c r="H1965" t="s">
        <v>11</v>
      </c>
      <c r="I1965" t="b">
        <v>0</v>
      </c>
      <c r="J1965" cm="1">
        <f t="array" ref="J1965">sentimentCalc(B1965)</f>
        <v>0</v>
      </c>
      <c r="K1965" t="str" cm="1">
        <f t="array" ref="K1965">sentimentCategory(J1965)</f>
        <v>Neutral</v>
      </c>
    </row>
    <row r="1966" spans="1:11" ht="34" x14ac:dyDescent="0.2">
      <c r="A1966" t="s">
        <v>1754</v>
      </c>
      <c r="B1966" s="1" t="s">
        <v>1755</v>
      </c>
      <c r="C1966" t="s">
        <v>992</v>
      </c>
      <c r="D1966" s="1" t="s">
        <v>2</v>
      </c>
      <c r="E1966" t="b">
        <v>0</v>
      </c>
      <c r="F1966">
        <v>201</v>
      </c>
      <c r="G1966">
        <v>18</v>
      </c>
      <c r="H1966" t="s">
        <v>11</v>
      </c>
      <c r="I1966" t="b">
        <v>0</v>
      </c>
      <c r="J1966" cm="1">
        <f t="array" ref="J1966">sentimentCalc(B1966)</f>
        <v>0</v>
      </c>
      <c r="K1966" t="str" cm="1">
        <f t="array" ref="K1966">sentimentCategory(J1966)</f>
        <v>Neutral</v>
      </c>
    </row>
    <row r="1967" spans="1:11" ht="34" x14ac:dyDescent="0.2">
      <c r="A1967" t="s">
        <v>4044</v>
      </c>
      <c r="B1967" s="1" t="s">
        <v>4045</v>
      </c>
      <c r="C1967" t="s">
        <v>4046</v>
      </c>
      <c r="D1967" s="1" t="s">
        <v>109</v>
      </c>
      <c r="E1967" t="b">
        <v>0</v>
      </c>
      <c r="F1967">
        <v>2053</v>
      </c>
      <c r="G1967">
        <v>407</v>
      </c>
      <c r="H1967" t="s">
        <v>11</v>
      </c>
      <c r="I1967" t="b">
        <v>0</v>
      </c>
      <c r="J1967" cm="1">
        <f t="array" ref="J1967">sentimentCalc(B1967)</f>
        <v>0</v>
      </c>
      <c r="K1967" t="str" cm="1">
        <f t="array" ref="K1967">sentimentCategory(J1967)</f>
        <v>Neutral</v>
      </c>
    </row>
    <row r="1968" spans="1:11" ht="17" x14ac:dyDescent="0.2">
      <c r="A1968" t="s">
        <v>2514</v>
      </c>
      <c r="B1968" s="1" t="s">
        <v>2515</v>
      </c>
      <c r="C1968" t="s">
        <v>2516</v>
      </c>
      <c r="D1968" s="1" t="s">
        <v>2</v>
      </c>
      <c r="E1968" t="b">
        <v>0</v>
      </c>
      <c r="F1968">
        <v>15</v>
      </c>
      <c r="G1968">
        <v>53</v>
      </c>
      <c r="H1968" t="s">
        <v>11</v>
      </c>
      <c r="I1968" t="b">
        <v>0</v>
      </c>
      <c r="J1968" cm="1">
        <f t="array" ref="J1968">sentimentCalc(B1968)</f>
        <v>0</v>
      </c>
      <c r="K1968" t="str" cm="1">
        <f t="array" ref="K1968">sentimentCategory(J1968)</f>
        <v>Neutral</v>
      </c>
    </row>
    <row r="1969" spans="1:11" ht="34" x14ac:dyDescent="0.2">
      <c r="A1969" t="s">
        <v>1403</v>
      </c>
      <c r="B1969" s="1" t="s">
        <v>1404</v>
      </c>
      <c r="C1969" t="s">
        <v>1405</v>
      </c>
      <c r="D1969" s="1" t="s">
        <v>1406</v>
      </c>
      <c r="E1969" t="b">
        <v>0</v>
      </c>
      <c r="F1969">
        <v>634</v>
      </c>
      <c r="G1969">
        <v>825</v>
      </c>
      <c r="H1969" t="s">
        <v>11</v>
      </c>
      <c r="I1969" t="b">
        <v>0</v>
      </c>
      <c r="J1969" cm="1">
        <f t="array" ref="J1969">sentimentCalc(B1969)</f>
        <v>0</v>
      </c>
      <c r="K1969" t="str" cm="1">
        <f t="array" ref="K1969">sentimentCategory(J1969)</f>
        <v>Neutral</v>
      </c>
    </row>
    <row r="1970" spans="1:11" ht="17" x14ac:dyDescent="0.2">
      <c r="A1970" t="s">
        <v>2750</v>
      </c>
      <c r="B1970" s="1" t="s">
        <v>2751</v>
      </c>
      <c r="C1970" t="s">
        <v>2044</v>
      </c>
      <c r="D1970" s="1" t="s">
        <v>2</v>
      </c>
      <c r="E1970" t="b">
        <v>0</v>
      </c>
      <c r="F1970">
        <v>206</v>
      </c>
      <c r="G1970">
        <v>340</v>
      </c>
      <c r="H1970" t="s">
        <v>11</v>
      </c>
      <c r="I1970" t="b">
        <v>0</v>
      </c>
      <c r="J1970" cm="1">
        <f t="array" ref="J1970">sentimentCalc(B1970)</f>
        <v>0</v>
      </c>
      <c r="K1970" t="str" cm="1">
        <f t="array" ref="K1970">sentimentCategory(J1970)</f>
        <v>Neutral</v>
      </c>
    </row>
    <row r="1971" spans="1:11" ht="17" x14ac:dyDescent="0.2">
      <c r="A1971" t="s">
        <v>7155</v>
      </c>
      <c r="B1971" s="1" t="s">
        <v>7156</v>
      </c>
      <c r="C1971" t="s">
        <v>6246</v>
      </c>
      <c r="D1971" s="1" t="s">
        <v>7157</v>
      </c>
      <c r="E1971" t="b">
        <v>0</v>
      </c>
      <c r="F1971">
        <v>298</v>
      </c>
      <c r="G1971">
        <v>153</v>
      </c>
      <c r="H1971" t="s">
        <v>11</v>
      </c>
      <c r="I1971" t="b">
        <v>0</v>
      </c>
      <c r="J1971" cm="1">
        <f t="array" ref="J1971">sentimentCalc(B1971)</f>
        <v>0</v>
      </c>
      <c r="K1971" t="str" cm="1">
        <f t="array" ref="K1971">sentimentCategory(J1971)</f>
        <v>Neutral</v>
      </c>
    </row>
    <row r="1972" spans="1:11" ht="34" x14ac:dyDescent="0.2">
      <c r="A1972" t="s">
        <v>3308</v>
      </c>
      <c r="B1972" s="1" t="s">
        <v>3309</v>
      </c>
      <c r="C1972" t="s">
        <v>3310</v>
      </c>
      <c r="D1972" s="1" t="s">
        <v>2</v>
      </c>
      <c r="E1972" t="b">
        <v>0</v>
      </c>
      <c r="F1972">
        <v>5</v>
      </c>
      <c r="G1972">
        <v>7</v>
      </c>
      <c r="H1972" t="s">
        <v>11</v>
      </c>
      <c r="I1972" t="b">
        <v>0</v>
      </c>
      <c r="J1972" cm="1">
        <f t="array" ref="J1972">sentimentCalc(B1972)</f>
        <v>-1</v>
      </c>
      <c r="K1972" t="str" cm="1">
        <f t="array" ref="K1972">sentimentCategory(J1972)</f>
        <v>Negative</v>
      </c>
    </row>
    <row r="1973" spans="1:11" ht="17" x14ac:dyDescent="0.2">
      <c r="A1973" t="s">
        <v>1297</v>
      </c>
      <c r="B1973" s="1" t="s">
        <v>1298</v>
      </c>
      <c r="C1973" t="s">
        <v>319</v>
      </c>
      <c r="D1973" s="1" t="s">
        <v>1041</v>
      </c>
      <c r="E1973" t="b">
        <v>0</v>
      </c>
      <c r="F1973">
        <v>2639</v>
      </c>
      <c r="G1973">
        <v>428</v>
      </c>
      <c r="H1973" t="s">
        <v>11</v>
      </c>
      <c r="I1973" t="b">
        <v>0</v>
      </c>
      <c r="J1973" cm="1">
        <f t="array" ref="J1973">sentimentCalc(B1973)</f>
        <v>0</v>
      </c>
      <c r="K1973" t="str" cm="1">
        <f t="array" ref="K1973">sentimentCategory(J1973)</f>
        <v>Neutral</v>
      </c>
    </row>
    <row r="1974" spans="1:11" ht="17" x14ac:dyDescent="0.2">
      <c r="A1974" t="s">
        <v>6155</v>
      </c>
      <c r="B1974" s="1" t="s">
        <v>6156</v>
      </c>
      <c r="C1974" t="s">
        <v>6157</v>
      </c>
      <c r="D1974" s="1" t="s">
        <v>6158</v>
      </c>
      <c r="E1974" t="b">
        <v>0</v>
      </c>
      <c r="F1974">
        <v>239</v>
      </c>
      <c r="G1974">
        <v>395</v>
      </c>
      <c r="H1974" t="s">
        <v>11</v>
      </c>
      <c r="I1974" t="b">
        <v>0</v>
      </c>
      <c r="J1974" cm="1">
        <f t="array" ref="J1974">sentimentCalc(B1974)</f>
        <v>0</v>
      </c>
      <c r="K1974" t="str" cm="1">
        <f t="array" ref="K1974">sentimentCategory(J1974)</f>
        <v>Neutral</v>
      </c>
    </row>
    <row r="1975" spans="1:11" ht="34" x14ac:dyDescent="0.2">
      <c r="A1975" t="s">
        <v>3625</v>
      </c>
      <c r="B1975" s="1" t="s">
        <v>3626</v>
      </c>
      <c r="C1975" t="s">
        <v>554</v>
      </c>
      <c r="D1975" s="1" t="s">
        <v>2</v>
      </c>
      <c r="E1975" t="b">
        <v>0</v>
      </c>
      <c r="F1975">
        <v>226</v>
      </c>
      <c r="G1975">
        <v>70</v>
      </c>
      <c r="H1975" t="s">
        <v>11</v>
      </c>
      <c r="I1975" t="b">
        <v>0</v>
      </c>
      <c r="J1975" cm="1">
        <f t="array" ref="J1975">sentimentCalc(B1975)</f>
        <v>0</v>
      </c>
      <c r="K1975" t="str" cm="1">
        <f t="array" ref="K1975">sentimentCategory(J1975)</f>
        <v>Neutral</v>
      </c>
    </row>
    <row r="1976" spans="1:11" ht="34" x14ac:dyDescent="0.2">
      <c r="A1976" t="s">
        <v>5131</v>
      </c>
      <c r="B1976" s="1" t="s">
        <v>5132</v>
      </c>
      <c r="C1976" t="s">
        <v>3886</v>
      </c>
      <c r="D1976" s="1" t="s">
        <v>2</v>
      </c>
      <c r="E1976" t="b">
        <v>0</v>
      </c>
      <c r="F1976">
        <v>102</v>
      </c>
      <c r="G1976">
        <v>136</v>
      </c>
      <c r="H1976" t="s">
        <v>11</v>
      </c>
      <c r="I1976" t="b">
        <v>0</v>
      </c>
      <c r="J1976" cm="1">
        <f t="array" ref="J1976">sentimentCalc(B1976)</f>
        <v>0</v>
      </c>
      <c r="K1976" t="str" cm="1">
        <f t="array" ref="K1976">sentimentCategory(J1976)</f>
        <v>Neutral</v>
      </c>
    </row>
    <row r="1977" spans="1:11" ht="17" x14ac:dyDescent="0.2">
      <c r="A1977" t="s">
        <v>5652</v>
      </c>
      <c r="B1977" s="1" t="s">
        <v>5653</v>
      </c>
      <c r="C1977" t="s">
        <v>1226</v>
      </c>
      <c r="D1977" s="1" t="s">
        <v>1227</v>
      </c>
      <c r="E1977" t="b">
        <v>0</v>
      </c>
      <c r="F1977">
        <v>427</v>
      </c>
      <c r="G1977">
        <v>768</v>
      </c>
      <c r="H1977" t="s">
        <v>11</v>
      </c>
      <c r="I1977" t="b">
        <v>0</v>
      </c>
      <c r="J1977" cm="1">
        <f t="array" ref="J1977">sentimentCalc(B1977)</f>
        <v>0</v>
      </c>
      <c r="K1977" t="str" cm="1">
        <f t="array" ref="K1977">sentimentCategory(J1977)</f>
        <v>Neutral</v>
      </c>
    </row>
    <row r="1978" spans="1:11" ht="34" x14ac:dyDescent="0.2">
      <c r="A1978" t="s">
        <v>6296</v>
      </c>
      <c r="B1978" s="1" t="s">
        <v>6297</v>
      </c>
      <c r="C1978" t="s">
        <v>455</v>
      </c>
      <c r="D1978" s="1" t="s">
        <v>6298</v>
      </c>
      <c r="E1978" t="b">
        <v>0</v>
      </c>
      <c r="F1978">
        <v>110</v>
      </c>
      <c r="G1978">
        <v>74</v>
      </c>
      <c r="H1978" t="s">
        <v>11</v>
      </c>
      <c r="I1978" t="b">
        <v>0</v>
      </c>
      <c r="J1978" cm="1">
        <f t="array" ref="J1978">sentimentCalc(B1978)</f>
        <v>0</v>
      </c>
      <c r="K1978" t="str" cm="1">
        <f t="array" ref="K1978">sentimentCategory(J1978)</f>
        <v>Neutral</v>
      </c>
    </row>
    <row r="1979" spans="1:11" ht="34" x14ac:dyDescent="0.2">
      <c r="A1979" t="s">
        <v>2755</v>
      </c>
      <c r="B1979" s="1" t="s">
        <v>2756</v>
      </c>
      <c r="C1979" t="s">
        <v>2757</v>
      </c>
      <c r="D1979" s="1" t="s">
        <v>2</v>
      </c>
      <c r="E1979" t="b">
        <v>0</v>
      </c>
      <c r="F1979">
        <v>21</v>
      </c>
      <c r="G1979">
        <v>106</v>
      </c>
      <c r="H1979" t="s">
        <v>11</v>
      </c>
      <c r="I1979" t="b">
        <v>0</v>
      </c>
      <c r="J1979" cm="1">
        <f t="array" ref="J1979">sentimentCalc(B1979)</f>
        <v>0</v>
      </c>
      <c r="K1979" t="str" cm="1">
        <f t="array" ref="K1979">sentimentCategory(J1979)</f>
        <v>Neutral</v>
      </c>
    </row>
    <row r="1980" spans="1:11" ht="34" x14ac:dyDescent="0.2">
      <c r="A1980" t="s">
        <v>741</v>
      </c>
      <c r="B1980" s="1" t="s">
        <v>742</v>
      </c>
      <c r="C1980" t="s">
        <v>285</v>
      </c>
      <c r="E1980" t="b">
        <v>0</v>
      </c>
      <c r="F1980">
        <v>230</v>
      </c>
      <c r="G1980">
        <v>172</v>
      </c>
      <c r="H1980" t="s">
        <v>11</v>
      </c>
      <c r="I1980" t="b">
        <v>0</v>
      </c>
      <c r="J1980" cm="1">
        <f t="array" ref="J1980">sentimentCalc(B1980)</f>
        <v>0</v>
      </c>
      <c r="K1980" t="str" cm="1">
        <f t="array" ref="K1980">sentimentCategory(J1980)</f>
        <v>Neutral</v>
      </c>
    </row>
    <row r="1981" spans="1:11" ht="17" x14ac:dyDescent="0.2">
      <c r="A1981" t="s">
        <v>481</v>
      </c>
      <c r="B1981" s="1" t="s">
        <v>482</v>
      </c>
      <c r="C1981" t="s">
        <v>483</v>
      </c>
      <c r="D1981" s="1" t="s">
        <v>484</v>
      </c>
      <c r="E1981" t="b">
        <v>0</v>
      </c>
      <c r="F1981">
        <v>1899</v>
      </c>
      <c r="G1981">
        <v>540</v>
      </c>
      <c r="H1981" t="s">
        <v>11</v>
      </c>
      <c r="I1981" t="b">
        <v>0</v>
      </c>
      <c r="J1981" cm="1">
        <f t="array" ref="J1981">sentimentCalc(B1981)</f>
        <v>0</v>
      </c>
      <c r="K1981" t="str" cm="1">
        <f t="array" ref="K1981">sentimentCategory(J1981)</f>
        <v>Neutral</v>
      </c>
    </row>
    <row r="1982" spans="1:11" ht="17" x14ac:dyDescent="0.2">
      <c r="A1982" t="s">
        <v>6482</v>
      </c>
      <c r="B1982" s="1" t="s">
        <v>6483</v>
      </c>
      <c r="C1982" t="s">
        <v>193</v>
      </c>
      <c r="D1982" s="1" t="s">
        <v>1288</v>
      </c>
      <c r="E1982" t="b">
        <v>0</v>
      </c>
      <c r="F1982">
        <v>2590</v>
      </c>
      <c r="G1982">
        <v>1707</v>
      </c>
      <c r="H1982" t="s">
        <v>11</v>
      </c>
      <c r="I1982" t="b">
        <v>0</v>
      </c>
      <c r="J1982" cm="1">
        <f t="array" ref="J1982">sentimentCalc(B1982)</f>
        <v>0</v>
      </c>
      <c r="K1982" t="str" cm="1">
        <f t="array" ref="K1982">sentimentCategory(J1982)</f>
        <v>Neutral</v>
      </c>
    </row>
    <row r="1983" spans="1:11" ht="17" x14ac:dyDescent="0.2">
      <c r="A1983" t="s">
        <v>4330</v>
      </c>
      <c r="B1983" s="1" t="s">
        <v>4331</v>
      </c>
      <c r="C1983" t="s">
        <v>193</v>
      </c>
      <c r="D1983" s="1" t="s">
        <v>1288</v>
      </c>
      <c r="E1983" t="b">
        <v>0</v>
      </c>
      <c r="F1983">
        <v>2590</v>
      </c>
      <c r="G1983">
        <v>1707</v>
      </c>
      <c r="H1983" t="s">
        <v>11</v>
      </c>
      <c r="I1983" t="b">
        <v>0</v>
      </c>
      <c r="J1983" cm="1">
        <f t="array" ref="J1983">sentimentCalc(B1983)</f>
        <v>0</v>
      </c>
      <c r="K1983" t="str" cm="1">
        <f t="array" ref="K1983">sentimentCategory(J1983)</f>
        <v>Neutral</v>
      </c>
    </row>
    <row r="1984" spans="1:11" ht="34" x14ac:dyDescent="0.2">
      <c r="A1984" t="s">
        <v>4465</v>
      </c>
      <c r="B1984" s="1" t="s">
        <v>4466</v>
      </c>
      <c r="C1984" t="s">
        <v>161</v>
      </c>
      <c r="D1984" s="1" t="s">
        <v>162</v>
      </c>
      <c r="E1984" t="b">
        <v>0</v>
      </c>
      <c r="F1984">
        <v>972</v>
      </c>
      <c r="G1984">
        <v>180</v>
      </c>
      <c r="H1984" t="s">
        <v>11</v>
      </c>
      <c r="I1984" t="b">
        <v>0</v>
      </c>
      <c r="J1984" cm="1">
        <f t="array" ref="J1984">sentimentCalc(B1984)</f>
        <v>0</v>
      </c>
      <c r="K1984" t="str" cm="1">
        <f t="array" ref="K1984">sentimentCategory(J1984)</f>
        <v>Neutral</v>
      </c>
    </row>
    <row r="1985" spans="1:11" ht="34" x14ac:dyDescent="0.2">
      <c r="A1985" t="s">
        <v>2874</v>
      </c>
      <c r="B1985" s="1" t="s">
        <v>2875</v>
      </c>
      <c r="C1985" t="s">
        <v>161</v>
      </c>
      <c r="D1985" s="1" t="s">
        <v>162</v>
      </c>
      <c r="E1985" t="b">
        <v>0</v>
      </c>
      <c r="F1985">
        <v>971</v>
      </c>
      <c r="G1985">
        <v>180</v>
      </c>
      <c r="H1985" t="s">
        <v>11</v>
      </c>
      <c r="I1985" t="b">
        <v>0</v>
      </c>
      <c r="J1985" cm="1">
        <f t="array" ref="J1985">sentimentCalc(B1985)</f>
        <v>0</v>
      </c>
      <c r="K1985" t="str" cm="1">
        <f t="array" ref="K1985">sentimentCategory(J1985)</f>
        <v>Neutral</v>
      </c>
    </row>
    <row r="1986" spans="1:11" ht="17" x14ac:dyDescent="0.2">
      <c r="A1986" t="s">
        <v>3939</v>
      </c>
      <c r="B1986" s="1" t="s">
        <v>3940</v>
      </c>
      <c r="C1986" t="s">
        <v>2294</v>
      </c>
      <c r="D1986" s="1" t="s">
        <v>2276</v>
      </c>
      <c r="E1986" t="b">
        <v>0</v>
      </c>
      <c r="F1986">
        <v>130</v>
      </c>
      <c r="G1986">
        <v>300</v>
      </c>
      <c r="H1986" t="s">
        <v>11</v>
      </c>
      <c r="I1986" t="b">
        <v>0</v>
      </c>
      <c r="J1986" cm="1">
        <f t="array" ref="J1986">sentimentCalc(B1986)</f>
        <v>0</v>
      </c>
      <c r="K1986" t="str" cm="1">
        <f t="array" ref="K1986">sentimentCategory(J1986)</f>
        <v>Neutral</v>
      </c>
    </row>
    <row r="1987" spans="1:11" ht="17" x14ac:dyDescent="0.2">
      <c r="A1987" t="s">
        <v>235</v>
      </c>
      <c r="B1987" s="1" t="s">
        <v>236</v>
      </c>
      <c r="C1987" t="s">
        <v>237</v>
      </c>
      <c r="D1987" s="1" t="s">
        <v>238</v>
      </c>
      <c r="E1987" t="b">
        <v>0</v>
      </c>
      <c r="F1987">
        <v>49</v>
      </c>
      <c r="G1987">
        <v>0</v>
      </c>
      <c r="H1987" t="s">
        <v>11</v>
      </c>
      <c r="I1987" t="b">
        <v>0</v>
      </c>
      <c r="J1987" cm="1">
        <f t="array" ref="J1987">sentimentCalc(B1987)</f>
        <v>0</v>
      </c>
      <c r="K1987" t="str" cm="1">
        <f t="array" ref="K1987">sentimentCategory(J1987)</f>
        <v>Neutral</v>
      </c>
    </row>
    <row r="1988" spans="1:11" ht="17" x14ac:dyDescent="0.2">
      <c r="A1988" t="s">
        <v>5314</v>
      </c>
      <c r="B1988" s="1" t="s">
        <v>5315</v>
      </c>
      <c r="C1988" t="s">
        <v>5316</v>
      </c>
      <c r="D1988" s="1" t="s">
        <v>5317</v>
      </c>
      <c r="E1988" t="b">
        <v>0</v>
      </c>
      <c r="F1988">
        <v>312</v>
      </c>
      <c r="G1988">
        <v>86</v>
      </c>
      <c r="H1988" t="s">
        <v>11</v>
      </c>
      <c r="I1988" t="b">
        <v>0</v>
      </c>
      <c r="J1988" cm="1">
        <f t="array" ref="J1988">sentimentCalc(B1988)</f>
        <v>-2</v>
      </c>
      <c r="K1988" t="str" cm="1">
        <f t="array" ref="K1988">sentimentCategory(J1988)</f>
        <v>Negative</v>
      </c>
    </row>
    <row r="1989" spans="1:11" ht="34" x14ac:dyDescent="0.2">
      <c r="A1989" t="s">
        <v>5418</v>
      </c>
      <c r="B1989" s="1" t="s">
        <v>5419</v>
      </c>
      <c r="C1989" t="s">
        <v>3180</v>
      </c>
      <c r="D1989" s="1" t="s">
        <v>2</v>
      </c>
      <c r="E1989" t="b">
        <v>0</v>
      </c>
      <c r="F1989">
        <v>200</v>
      </c>
      <c r="G1989">
        <v>906</v>
      </c>
      <c r="H1989" t="s">
        <v>370</v>
      </c>
      <c r="I1989" t="b">
        <v>0</v>
      </c>
      <c r="J1989" cm="1">
        <f t="array" ref="J1989">sentimentCalc(B1989)</f>
        <v>0</v>
      </c>
      <c r="K1989" t="str" cm="1">
        <f t="array" ref="K1989">sentimentCategory(J1989)</f>
        <v>Neutral</v>
      </c>
    </row>
    <row r="1990" spans="1:11" ht="17" x14ac:dyDescent="0.2">
      <c r="A1990" t="s">
        <v>665</v>
      </c>
      <c r="B1990" s="1" t="s">
        <v>666</v>
      </c>
      <c r="C1990" t="s">
        <v>435</v>
      </c>
      <c r="D1990" s="1" t="s">
        <v>2</v>
      </c>
      <c r="E1990" t="b">
        <v>0</v>
      </c>
      <c r="F1990">
        <v>11311</v>
      </c>
      <c r="G1990">
        <v>11675</v>
      </c>
      <c r="H1990" t="s">
        <v>11</v>
      </c>
      <c r="I1990" t="b">
        <v>0</v>
      </c>
      <c r="J1990" cm="1">
        <f t="array" ref="J1990">sentimentCalc(B1990)</f>
        <v>0</v>
      </c>
      <c r="K1990" t="str" cm="1">
        <f t="array" ref="K1990">sentimentCategory(J1990)</f>
        <v>Neutral</v>
      </c>
    </row>
    <row r="1991" spans="1:11" ht="34" x14ac:dyDescent="0.2">
      <c r="A1991" t="s">
        <v>6214</v>
      </c>
      <c r="B1991" s="1" t="s">
        <v>6215</v>
      </c>
      <c r="C1991" t="s">
        <v>476</v>
      </c>
      <c r="D1991" s="1" t="s">
        <v>6216</v>
      </c>
      <c r="E1991" t="b">
        <v>0</v>
      </c>
      <c r="F1991">
        <v>100</v>
      </c>
      <c r="G1991">
        <v>71</v>
      </c>
      <c r="H1991" t="s">
        <v>11</v>
      </c>
      <c r="I1991" t="b">
        <v>0</v>
      </c>
      <c r="J1991" cm="1">
        <f t="array" ref="J1991">sentimentCalc(B1991)</f>
        <v>1</v>
      </c>
      <c r="K1991" t="str" cm="1">
        <f t="array" ref="K1991">sentimentCategory(J1991)</f>
        <v>Positive</v>
      </c>
    </row>
    <row r="1992" spans="1:11" ht="34" x14ac:dyDescent="0.2">
      <c r="A1992" t="s">
        <v>5675</v>
      </c>
      <c r="B1992" s="1" t="s">
        <v>5676</v>
      </c>
      <c r="C1992" t="s">
        <v>584</v>
      </c>
      <c r="D1992" s="1" t="s">
        <v>5677</v>
      </c>
      <c r="E1992" t="b">
        <v>0</v>
      </c>
      <c r="F1992">
        <v>260</v>
      </c>
      <c r="G1992">
        <v>1918</v>
      </c>
      <c r="H1992" t="s">
        <v>11</v>
      </c>
      <c r="I1992" t="b">
        <v>0</v>
      </c>
      <c r="J1992" cm="1">
        <f t="array" ref="J1992">sentimentCalc(B1992)</f>
        <v>0</v>
      </c>
      <c r="K1992" t="str" cm="1">
        <f t="array" ref="K1992">sentimentCategory(J1992)</f>
        <v>Neutral</v>
      </c>
    </row>
    <row r="1993" spans="1:11" ht="17" x14ac:dyDescent="0.2">
      <c r="A1993" t="s">
        <v>5755</v>
      </c>
      <c r="B1993" s="1" t="s">
        <v>5756</v>
      </c>
      <c r="C1993" t="s">
        <v>526</v>
      </c>
      <c r="D1993" s="1" t="s">
        <v>2</v>
      </c>
      <c r="E1993" t="b">
        <v>0</v>
      </c>
      <c r="F1993">
        <v>1732</v>
      </c>
      <c r="G1993">
        <v>2046</v>
      </c>
      <c r="H1993" t="s">
        <v>3</v>
      </c>
      <c r="I1993" t="b">
        <v>0</v>
      </c>
      <c r="J1993" cm="1">
        <f t="array" ref="J1993">sentimentCalc(B1993)</f>
        <v>0</v>
      </c>
      <c r="K1993" t="str" cm="1">
        <f t="array" ref="K1993">sentimentCategory(J1993)</f>
        <v>Neutral</v>
      </c>
    </row>
    <row r="1994" spans="1:11" ht="17" x14ac:dyDescent="0.2">
      <c r="A1994" t="s">
        <v>1407</v>
      </c>
      <c r="B1994" s="1" t="s">
        <v>1408</v>
      </c>
      <c r="C1994" t="s">
        <v>1409</v>
      </c>
      <c r="D1994" s="1" t="s">
        <v>2</v>
      </c>
      <c r="E1994" t="b">
        <v>0</v>
      </c>
      <c r="F1994">
        <v>357</v>
      </c>
      <c r="G1994">
        <v>104</v>
      </c>
      <c r="H1994" t="s">
        <v>11</v>
      </c>
      <c r="I1994" t="b">
        <v>0</v>
      </c>
      <c r="J1994" cm="1">
        <f t="array" ref="J1994">sentimentCalc(B1994)</f>
        <v>0</v>
      </c>
      <c r="K1994" t="str" cm="1">
        <f t="array" ref="K1994">sentimentCategory(J1994)</f>
        <v>Neutral</v>
      </c>
    </row>
    <row r="1995" spans="1:11" ht="34" x14ac:dyDescent="0.2">
      <c r="A1995" t="s">
        <v>6426</v>
      </c>
      <c r="B1995" s="1" t="s">
        <v>6427</v>
      </c>
      <c r="C1995" t="s">
        <v>1189</v>
      </c>
      <c r="D1995" s="1" t="s">
        <v>1190</v>
      </c>
      <c r="E1995" t="b">
        <v>0</v>
      </c>
      <c r="F1995">
        <v>7991</v>
      </c>
      <c r="G1995">
        <v>410</v>
      </c>
      <c r="H1995" t="s">
        <v>11</v>
      </c>
      <c r="I1995" t="b">
        <v>0</v>
      </c>
      <c r="J1995" cm="1">
        <f t="array" ref="J1995">sentimentCalc(B1995)</f>
        <v>0</v>
      </c>
      <c r="K1995" t="str" cm="1">
        <f t="array" ref="K1995">sentimentCategory(J1995)</f>
        <v>Neutral</v>
      </c>
    </row>
    <row r="1996" spans="1:11" ht="34" x14ac:dyDescent="0.2">
      <c r="A1996" t="s">
        <v>4578</v>
      </c>
      <c r="B1996" s="1" t="s">
        <v>4579</v>
      </c>
      <c r="C1996" t="s">
        <v>4580</v>
      </c>
      <c r="D1996" s="1" t="s">
        <v>4581</v>
      </c>
      <c r="E1996" t="b">
        <v>0</v>
      </c>
      <c r="F1996">
        <v>13</v>
      </c>
      <c r="G1996">
        <v>18</v>
      </c>
      <c r="H1996" t="s">
        <v>11</v>
      </c>
      <c r="I1996" t="b">
        <v>0</v>
      </c>
      <c r="J1996" cm="1">
        <f t="array" ref="J1996">sentimentCalc(B1996)</f>
        <v>0</v>
      </c>
      <c r="K1996" t="str" cm="1">
        <f t="array" ref="K1996">sentimentCategory(J1996)</f>
        <v>Neutral</v>
      </c>
    </row>
    <row r="1997" spans="1:11" ht="34" x14ac:dyDescent="0.2">
      <c r="A1997" t="s">
        <v>6800</v>
      </c>
      <c r="B1997" s="1" t="s">
        <v>6801</v>
      </c>
      <c r="C1997" t="s">
        <v>275</v>
      </c>
      <c r="D1997" s="1" t="s">
        <v>565</v>
      </c>
      <c r="E1997" t="b">
        <v>0</v>
      </c>
      <c r="F1997">
        <v>299</v>
      </c>
      <c r="G1997">
        <v>310</v>
      </c>
      <c r="H1997" t="s">
        <v>11</v>
      </c>
      <c r="I1997" t="b">
        <v>0</v>
      </c>
      <c r="J1997" cm="1">
        <f t="array" ref="J1997">sentimentCalc(B1997)</f>
        <v>0</v>
      </c>
      <c r="K1997" t="str" cm="1">
        <f t="array" ref="K1997">sentimentCategory(J1997)</f>
        <v>Neutral</v>
      </c>
    </row>
    <row r="1998" spans="1:11" ht="17" x14ac:dyDescent="0.2">
      <c r="A1998" t="s">
        <v>1876</v>
      </c>
      <c r="B1998" s="1" t="s">
        <v>1877</v>
      </c>
      <c r="C1998" t="s">
        <v>1780</v>
      </c>
      <c r="D1998" s="1" t="s">
        <v>1781</v>
      </c>
      <c r="E1998" t="b">
        <v>0</v>
      </c>
      <c r="F1998">
        <v>536</v>
      </c>
      <c r="G1998">
        <v>546</v>
      </c>
      <c r="H1998" t="s">
        <v>11</v>
      </c>
      <c r="I1998" t="b">
        <v>0</v>
      </c>
      <c r="J1998" cm="1">
        <f t="array" ref="J1998">sentimentCalc(B1998)</f>
        <v>0</v>
      </c>
      <c r="K1998" t="str" cm="1">
        <f t="array" ref="K1998">sentimentCategory(J1998)</f>
        <v>Neutral</v>
      </c>
    </row>
    <row r="1999" spans="1:11" ht="34" x14ac:dyDescent="0.2">
      <c r="A1999" t="s">
        <v>3034</v>
      </c>
      <c r="B1999" s="1" t="s">
        <v>3035</v>
      </c>
      <c r="C1999" t="s">
        <v>769</v>
      </c>
      <c r="D1999" s="1" t="s">
        <v>2</v>
      </c>
      <c r="E1999" t="b">
        <v>0</v>
      </c>
      <c r="F1999">
        <v>183</v>
      </c>
      <c r="G1999">
        <v>127</v>
      </c>
      <c r="H1999" t="s">
        <v>83</v>
      </c>
      <c r="I1999" t="b">
        <v>0</v>
      </c>
      <c r="J1999" cm="1">
        <f t="array" ref="J1999">sentimentCalc(B1999)</f>
        <v>-1</v>
      </c>
      <c r="K1999" t="str" cm="1">
        <f t="array" ref="K1999">sentimentCategory(J1999)</f>
        <v>Negative</v>
      </c>
    </row>
    <row r="2000" spans="1:11" ht="17" x14ac:dyDescent="0.2">
      <c r="A2000" t="s">
        <v>6750</v>
      </c>
      <c r="B2000" s="1" t="s">
        <v>6751</v>
      </c>
      <c r="C2000" t="s">
        <v>6067</v>
      </c>
      <c r="D2000" s="1" t="s">
        <v>2</v>
      </c>
      <c r="E2000" t="b">
        <v>0</v>
      </c>
      <c r="F2000">
        <v>1361</v>
      </c>
      <c r="G2000">
        <v>1748</v>
      </c>
      <c r="H2000" t="s">
        <v>11</v>
      </c>
      <c r="I2000" t="b">
        <v>0</v>
      </c>
      <c r="J2000" cm="1">
        <f t="array" ref="J2000">sentimentCalc(B2000)</f>
        <v>0</v>
      </c>
      <c r="K2000" t="str" cm="1">
        <f t="array" ref="K2000">sentimentCategory(J2000)</f>
        <v>Neutral</v>
      </c>
    </row>
    <row r="2001" spans="1:11" ht="17" x14ac:dyDescent="0.2">
      <c r="A2001" t="s">
        <v>4042</v>
      </c>
      <c r="B2001" s="1" t="s">
        <v>4043</v>
      </c>
      <c r="C2001" t="s">
        <v>2607</v>
      </c>
      <c r="D2001" s="1" t="s">
        <v>2</v>
      </c>
      <c r="E2001" t="b">
        <v>0</v>
      </c>
      <c r="F2001">
        <v>9705</v>
      </c>
      <c r="G2001">
        <v>45</v>
      </c>
      <c r="H2001" t="s">
        <v>11</v>
      </c>
      <c r="I2001" t="b">
        <v>0</v>
      </c>
      <c r="J2001" cm="1">
        <f t="array" ref="J2001">sentimentCalc(B2001)</f>
        <v>0</v>
      </c>
      <c r="K2001" t="str" cm="1">
        <f t="array" ref="K2001">sentimentCategory(J2001)</f>
        <v>Neutral</v>
      </c>
    </row>
    <row r="2002" spans="1:11" ht="34" x14ac:dyDescent="0.2">
      <c r="A2002" t="s">
        <v>1024</v>
      </c>
      <c r="B2002" s="1" t="s">
        <v>1025</v>
      </c>
      <c r="C2002" t="s">
        <v>1026</v>
      </c>
      <c r="D2002" s="1" t="s">
        <v>924</v>
      </c>
      <c r="E2002" t="b">
        <v>0</v>
      </c>
      <c r="F2002">
        <v>216</v>
      </c>
      <c r="G2002">
        <v>247</v>
      </c>
      <c r="H2002" t="s">
        <v>83</v>
      </c>
      <c r="I2002" t="b">
        <v>0</v>
      </c>
      <c r="J2002" cm="1">
        <f t="array" ref="J2002">sentimentCalc(B2002)</f>
        <v>0</v>
      </c>
      <c r="K2002" t="str" cm="1">
        <f t="array" ref="K2002">sentimentCategory(J2002)</f>
        <v>Neutral</v>
      </c>
    </row>
    <row r="2003" spans="1:11" ht="17" x14ac:dyDescent="0.2">
      <c r="A2003" t="s">
        <v>5249</v>
      </c>
      <c r="B2003" s="1" t="s">
        <v>5250</v>
      </c>
      <c r="C2003" t="s">
        <v>226</v>
      </c>
      <c r="D2003" s="1" t="s">
        <v>5226</v>
      </c>
      <c r="E2003" t="b">
        <v>0</v>
      </c>
      <c r="F2003">
        <v>163</v>
      </c>
      <c r="G2003">
        <v>382</v>
      </c>
      <c r="H2003" t="s">
        <v>11</v>
      </c>
      <c r="I2003" t="b">
        <v>0</v>
      </c>
      <c r="J2003" cm="1">
        <f t="array" ref="J2003">sentimentCalc(B2003)</f>
        <v>1</v>
      </c>
      <c r="K2003" t="str" cm="1">
        <f t="array" ref="K2003">sentimentCategory(J2003)</f>
        <v>Positive</v>
      </c>
    </row>
    <row r="2004" spans="1:11" ht="17" x14ac:dyDescent="0.2">
      <c r="A2004" t="s">
        <v>3649</v>
      </c>
      <c r="B2004" s="1" t="s">
        <v>3650</v>
      </c>
      <c r="C2004" t="s">
        <v>10</v>
      </c>
      <c r="D2004" s="1" t="s">
        <v>3651</v>
      </c>
      <c r="E2004" t="b">
        <v>0</v>
      </c>
      <c r="F2004">
        <v>138</v>
      </c>
      <c r="G2004">
        <v>98</v>
      </c>
      <c r="H2004" t="s">
        <v>11</v>
      </c>
      <c r="I2004" t="b">
        <v>0</v>
      </c>
      <c r="J2004" cm="1">
        <f t="array" ref="J2004">sentimentCalc(B2004)</f>
        <v>1</v>
      </c>
      <c r="K2004" t="str" cm="1">
        <f t="array" ref="K2004">sentimentCategory(J2004)</f>
        <v>Positive</v>
      </c>
    </row>
    <row r="2005" spans="1:11" ht="17" x14ac:dyDescent="0.2">
      <c r="A2005" t="s">
        <v>592</v>
      </c>
      <c r="B2005" s="1" t="s">
        <v>593</v>
      </c>
      <c r="C2005" t="s">
        <v>594</v>
      </c>
      <c r="D2005" s="1" t="s">
        <v>595</v>
      </c>
      <c r="E2005" t="b">
        <v>0</v>
      </c>
      <c r="F2005">
        <v>64</v>
      </c>
      <c r="G2005">
        <v>140</v>
      </c>
      <c r="H2005" t="s">
        <v>11</v>
      </c>
      <c r="I2005" t="b">
        <v>0</v>
      </c>
      <c r="J2005" cm="1">
        <f t="array" ref="J2005">sentimentCalc(B2005)</f>
        <v>1</v>
      </c>
      <c r="K2005" t="str" cm="1">
        <f t="array" ref="K2005">sentimentCategory(J2005)</f>
        <v>Positive</v>
      </c>
    </row>
    <row r="2006" spans="1:11" ht="34" x14ac:dyDescent="0.2">
      <c r="A2006" t="s">
        <v>5189</v>
      </c>
      <c r="B2006" s="1" t="s">
        <v>5190</v>
      </c>
      <c r="C2006" t="s">
        <v>2169</v>
      </c>
      <c r="D2006" s="1" t="s">
        <v>2170</v>
      </c>
      <c r="E2006" t="b">
        <v>0</v>
      </c>
      <c r="F2006">
        <v>62177</v>
      </c>
      <c r="G2006">
        <v>346</v>
      </c>
      <c r="H2006" t="s">
        <v>83</v>
      </c>
      <c r="I2006" t="b">
        <v>0</v>
      </c>
      <c r="J2006" cm="1">
        <f t="array" ref="J2006">sentimentCalc(B2006)</f>
        <v>0</v>
      </c>
      <c r="K2006" t="str" cm="1">
        <f t="array" ref="K2006">sentimentCategory(J2006)</f>
        <v>Neutral</v>
      </c>
    </row>
    <row r="2007" spans="1:11" ht="17" x14ac:dyDescent="0.2">
      <c r="A2007" t="s">
        <v>4312</v>
      </c>
      <c r="B2007" s="1" t="s">
        <v>4313</v>
      </c>
      <c r="C2007" t="s">
        <v>341</v>
      </c>
      <c r="D2007" s="1" t="s">
        <v>2</v>
      </c>
      <c r="E2007" t="b">
        <v>0</v>
      </c>
      <c r="F2007">
        <v>201</v>
      </c>
      <c r="G2007">
        <v>188</v>
      </c>
      <c r="H2007" t="s">
        <v>11</v>
      </c>
      <c r="I2007" t="b">
        <v>0</v>
      </c>
      <c r="J2007" cm="1">
        <f t="array" ref="J2007">sentimentCalc(B2007)</f>
        <v>0</v>
      </c>
      <c r="K2007" t="str" cm="1">
        <f t="array" ref="K2007">sentimentCategory(J2007)</f>
        <v>Neutral</v>
      </c>
    </row>
    <row r="2008" spans="1:11" ht="34" x14ac:dyDescent="0.2">
      <c r="A2008" t="s">
        <v>5843</v>
      </c>
      <c r="B2008" s="1" t="s">
        <v>5844</v>
      </c>
      <c r="C2008" t="s">
        <v>4082</v>
      </c>
      <c r="D2008" s="1" t="s">
        <v>2</v>
      </c>
      <c r="E2008" t="b">
        <v>0</v>
      </c>
      <c r="F2008">
        <v>30</v>
      </c>
      <c r="G2008">
        <v>71</v>
      </c>
      <c r="H2008" t="s">
        <v>11</v>
      </c>
      <c r="I2008" t="b">
        <v>0</v>
      </c>
      <c r="J2008" cm="1">
        <f t="array" ref="J2008">sentimentCalc(B2008)</f>
        <v>1</v>
      </c>
      <c r="K2008" t="str" cm="1">
        <f t="array" ref="K2008">sentimentCategory(J2008)</f>
        <v>Positive</v>
      </c>
    </row>
    <row r="2009" spans="1:11" ht="34" x14ac:dyDescent="0.2">
      <c r="A2009" t="s">
        <v>1289</v>
      </c>
      <c r="B2009" s="1" t="s">
        <v>1290</v>
      </c>
      <c r="C2009" t="s">
        <v>516</v>
      </c>
      <c r="D2009" s="1" t="s">
        <v>2</v>
      </c>
      <c r="E2009" t="b">
        <v>0</v>
      </c>
      <c r="F2009">
        <v>47</v>
      </c>
      <c r="G2009">
        <v>10</v>
      </c>
      <c r="H2009" t="s">
        <v>31</v>
      </c>
      <c r="I2009" t="b">
        <v>0</v>
      </c>
      <c r="J2009" cm="1">
        <f t="array" ref="J2009">sentimentCalc(B2009)</f>
        <v>0</v>
      </c>
      <c r="K2009" t="str" cm="1">
        <f t="array" ref="K2009">sentimentCategory(J2009)</f>
        <v>Neutral</v>
      </c>
    </row>
    <row r="2010" spans="1:11" ht="34" x14ac:dyDescent="0.2">
      <c r="A2010" t="s">
        <v>6482</v>
      </c>
      <c r="B2010" s="1" t="s">
        <v>6484</v>
      </c>
      <c r="C2010" t="s">
        <v>4316</v>
      </c>
      <c r="D2010" s="1" t="s">
        <v>2</v>
      </c>
      <c r="E2010" t="b">
        <v>0</v>
      </c>
      <c r="F2010">
        <v>12</v>
      </c>
      <c r="G2010">
        <v>5</v>
      </c>
      <c r="H2010" t="s">
        <v>31</v>
      </c>
      <c r="I2010" t="b">
        <v>0</v>
      </c>
      <c r="J2010" cm="1">
        <f t="array" ref="J2010">sentimentCalc(B2010)</f>
        <v>0</v>
      </c>
      <c r="K2010" t="str" cm="1">
        <f t="array" ref="K2010">sentimentCategory(J2010)</f>
        <v>Neutral</v>
      </c>
    </row>
    <row r="2011" spans="1:11" ht="34" x14ac:dyDescent="0.2">
      <c r="A2011" t="s">
        <v>5355</v>
      </c>
      <c r="B2011" s="1" t="s">
        <v>5356</v>
      </c>
      <c r="C2011" t="s">
        <v>5357</v>
      </c>
      <c r="D2011" s="1" t="s">
        <v>5358</v>
      </c>
      <c r="E2011" t="b">
        <v>0</v>
      </c>
      <c r="F2011">
        <v>6469</v>
      </c>
      <c r="G2011">
        <v>6318</v>
      </c>
      <c r="H2011" t="s">
        <v>11</v>
      </c>
      <c r="I2011" t="b">
        <v>0</v>
      </c>
      <c r="J2011" cm="1">
        <f t="array" ref="J2011">sentimentCalc(B2011)</f>
        <v>2</v>
      </c>
      <c r="K2011" t="str" cm="1">
        <f t="array" ref="K2011">sentimentCategory(J2011)</f>
        <v>Positive</v>
      </c>
    </row>
    <row r="2012" spans="1:11" ht="17" x14ac:dyDescent="0.2">
      <c r="A2012" t="s">
        <v>4968</v>
      </c>
      <c r="B2012" s="1" t="s">
        <v>4977</v>
      </c>
      <c r="C2012" t="s">
        <v>1301</v>
      </c>
      <c r="D2012" s="1" t="s">
        <v>2</v>
      </c>
      <c r="E2012" t="b">
        <v>0</v>
      </c>
      <c r="F2012">
        <v>720</v>
      </c>
      <c r="G2012">
        <v>142</v>
      </c>
      <c r="H2012" t="s">
        <v>11</v>
      </c>
      <c r="I2012" t="b">
        <v>0</v>
      </c>
      <c r="J2012" cm="1">
        <f t="array" ref="J2012">sentimentCalc(B2012)</f>
        <v>0</v>
      </c>
      <c r="K2012" t="str" cm="1">
        <f t="array" ref="K2012">sentimentCategory(J2012)</f>
        <v>Neutral</v>
      </c>
    </row>
    <row r="2013" spans="1:11" ht="17" x14ac:dyDescent="0.2">
      <c r="A2013" t="s">
        <v>2989</v>
      </c>
      <c r="B2013" s="1" t="s">
        <v>2990</v>
      </c>
      <c r="C2013" t="s">
        <v>2991</v>
      </c>
      <c r="D2013" s="1" t="s">
        <v>2</v>
      </c>
      <c r="E2013" t="b">
        <v>0</v>
      </c>
      <c r="F2013">
        <v>6055</v>
      </c>
      <c r="G2013">
        <v>3865</v>
      </c>
      <c r="H2013" t="s">
        <v>11</v>
      </c>
      <c r="I2013" t="b">
        <v>0</v>
      </c>
      <c r="J2013" cm="1">
        <f t="array" ref="J2013">sentimentCalc(B2013)</f>
        <v>0</v>
      </c>
      <c r="K2013" t="str" cm="1">
        <f t="array" ref="K2013">sentimentCategory(J2013)</f>
        <v>Neutral</v>
      </c>
    </row>
    <row r="2014" spans="1:11" ht="17" x14ac:dyDescent="0.2">
      <c r="A2014" t="s">
        <v>573</v>
      </c>
      <c r="B2014" s="1" t="s">
        <v>574</v>
      </c>
      <c r="C2014" t="s">
        <v>575</v>
      </c>
      <c r="D2014" s="1" t="s">
        <v>178</v>
      </c>
      <c r="E2014" t="b">
        <v>0</v>
      </c>
      <c r="F2014">
        <v>48</v>
      </c>
      <c r="G2014">
        <v>18</v>
      </c>
      <c r="H2014" t="s">
        <v>11</v>
      </c>
      <c r="I2014" t="b">
        <v>0</v>
      </c>
      <c r="J2014" cm="1">
        <f t="array" ref="J2014">sentimentCalc(B2014)</f>
        <v>0</v>
      </c>
      <c r="K2014" t="str" cm="1">
        <f t="array" ref="K2014">sentimentCategory(J2014)</f>
        <v>Neutral</v>
      </c>
    </row>
    <row r="2015" spans="1:11" ht="17" x14ac:dyDescent="0.2">
      <c r="A2015" t="s">
        <v>5211</v>
      </c>
      <c r="B2015" s="1" t="s">
        <v>5212</v>
      </c>
      <c r="C2015" t="s">
        <v>446</v>
      </c>
      <c r="D2015" s="1" t="s">
        <v>5213</v>
      </c>
      <c r="E2015" t="b">
        <v>0</v>
      </c>
      <c r="F2015">
        <v>206</v>
      </c>
      <c r="G2015">
        <v>367</v>
      </c>
      <c r="H2015" t="s">
        <v>11</v>
      </c>
      <c r="I2015" t="b">
        <v>0</v>
      </c>
      <c r="J2015" cm="1">
        <f t="array" ref="J2015">sentimentCalc(B2015)</f>
        <v>0</v>
      </c>
      <c r="K2015" t="str" cm="1">
        <f t="array" ref="K2015">sentimentCategory(J2015)</f>
        <v>Neutral</v>
      </c>
    </row>
    <row r="2016" spans="1:11" ht="17" x14ac:dyDescent="0.2">
      <c r="A2016" t="s">
        <v>4617</v>
      </c>
      <c r="B2016" s="1" t="s">
        <v>4618</v>
      </c>
      <c r="C2016" t="s">
        <v>1263</v>
      </c>
      <c r="D2016" s="1" t="s">
        <v>2276</v>
      </c>
      <c r="E2016" t="b">
        <v>0</v>
      </c>
      <c r="F2016">
        <v>1102</v>
      </c>
      <c r="G2016">
        <v>431</v>
      </c>
      <c r="H2016" t="s">
        <v>11</v>
      </c>
      <c r="I2016" t="b">
        <v>0</v>
      </c>
      <c r="J2016" cm="1">
        <f t="array" ref="J2016">sentimentCalc(B2016)</f>
        <v>0</v>
      </c>
      <c r="K2016" t="str" cm="1">
        <f t="array" ref="K2016">sentimentCategory(J2016)</f>
        <v>Neutral</v>
      </c>
    </row>
    <row r="2017" spans="1:11" ht="17" x14ac:dyDescent="0.2">
      <c r="A2017" t="s">
        <v>2904</v>
      </c>
      <c r="B2017" s="1" t="s">
        <v>2905</v>
      </c>
      <c r="C2017" t="s">
        <v>2906</v>
      </c>
      <c r="D2017" s="1" t="s">
        <v>2907</v>
      </c>
      <c r="E2017" t="b">
        <v>0</v>
      </c>
      <c r="F2017">
        <v>174</v>
      </c>
      <c r="G2017">
        <v>478</v>
      </c>
      <c r="H2017" t="s">
        <v>11</v>
      </c>
      <c r="I2017" t="b">
        <v>0</v>
      </c>
      <c r="J2017" cm="1">
        <f t="array" ref="J2017">sentimentCalc(B2017)</f>
        <v>0</v>
      </c>
      <c r="K2017" t="str" cm="1">
        <f t="array" ref="K2017">sentimentCategory(J2017)</f>
        <v>Neutral</v>
      </c>
    </row>
    <row r="2018" spans="1:11" ht="34" x14ac:dyDescent="0.2">
      <c r="A2018" t="s">
        <v>2587</v>
      </c>
      <c r="B2018" s="1" t="s">
        <v>2588</v>
      </c>
      <c r="C2018" t="s">
        <v>2589</v>
      </c>
      <c r="D2018" s="1" t="s">
        <v>2</v>
      </c>
      <c r="E2018" t="b">
        <v>0</v>
      </c>
      <c r="F2018">
        <v>134</v>
      </c>
      <c r="G2018">
        <v>179</v>
      </c>
      <c r="H2018" t="s">
        <v>11</v>
      </c>
      <c r="I2018" t="b">
        <v>0</v>
      </c>
      <c r="J2018" cm="1">
        <f t="array" ref="J2018">sentimentCalc(B2018)</f>
        <v>0</v>
      </c>
      <c r="K2018" t="str" cm="1">
        <f t="array" ref="K2018">sentimentCategory(J2018)</f>
        <v>Neutral</v>
      </c>
    </row>
    <row r="2019" spans="1:11" ht="34" x14ac:dyDescent="0.2">
      <c r="A2019" t="s">
        <v>5089</v>
      </c>
      <c r="B2019" s="1" t="s">
        <v>5090</v>
      </c>
      <c r="C2019" t="s">
        <v>5091</v>
      </c>
      <c r="D2019" s="1" t="s">
        <v>5092</v>
      </c>
      <c r="E2019" t="b">
        <v>0</v>
      </c>
      <c r="F2019">
        <v>452</v>
      </c>
      <c r="G2019">
        <v>485</v>
      </c>
      <c r="H2019" t="s">
        <v>11</v>
      </c>
      <c r="I2019" t="b">
        <v>0</v>
      </c>
      <c r="J2019" cm="1">
        <f t="array" ref="J2019">sentimentCalc(B2019)</f>
        <v>0</v>
      </c>
      <c r="K2019" t="str" cm="1">
        <f t="array" ref="K2019">sentimentCategory(J2019)</f>
        <v>Neutral</v>
      </c>
    </row>
    <row r="2020" spans="1:11" ht="17" x14ac:dyDescent="0.2">
      <c r="A2020" t="s">
        <v>4133</v>
      </c>
      <c r="B2020" s="1" t="s">
        <v>4134</v>
      </c>
      <c r="C2020" t="s">
        <v>4135</v>
      </c>
      <c r="D2020" s="1" t="s">
        <v>2</v>
      </c>
      <c r="E2020" t="b">
        <v>0</v>
      </c>
      <c r="F2020">
        <v>214</v>
      </c>
      <c r="G2020">
        <v>370</v>
      </c>
      <c r="H2020" t="s">
        <v>11</v>
      </c>
      <c r="I2020" t="b">
        <v>0</v>
      </c>
      <c r="J2020" cm="1">
        <f t="array" ref="J2020">sentimentCalc(B2020)</f>
        <v>0</v>
      </c>
      <c r="K2020" t="str" cm="1">
        <f t="array" ref="K2020">sentimentCategory(J2020)</f>
        <v>Neutral</v>
      </c>
    </row>
    <row r="2021" spans="1:11" ht="17" x14ac:dyDescent="0.2">
      <c r="A2021" t="s">
        <v>1817</v>
      </c>
      <c r="B2021" s="1" t="s">
        <v>1818</v>
      </c>
      <c r="C2021" t="s">
        <v>1819</v>
      </c>
      <c r="D2021" s="1" t="s">
        <v>1653</v>
      </c>
      <c r="E2021" t="b">
        <v>0</v>
      </c>
      <c r="F2021">
        <v>5011</v>
      </c>
      <c r="G2021">
        <v>4738</v>
      </c>
      <c r="H2021" t="s">
        <v>11</v>
      </c>
      <c r="I2021" t="b">
        <v>0</v>
      </c>
      <c r="J2021" cm="1">
        <f t="array" ref="J2021">sentimentCalc(B2021)</f>
        <v>1</v>
      </c>
      <c r="K2021" t="str" cm="1">
        <f t="array" ref="K2021">sentimentCategory(J2021)</f>
        <v>Positive</v>
      </c>
    </row>
    <row r="2022" spans="1:11" ht="17" x14ac:dyDescent="0.2">
      <c r="A2022" t="s">
        <v>3120</v>
      </c>
      <c r="B2022" s="1" t="s">
        <v>3121</v>
      </c>
      <c r="C2022" t="s">
        <v>1819</v>
      </c>
      <c r="D2022" s="1" t="s">
        <v>1653</v>
      </c>
      <c r="E2022" t="b">
        <v>0</v>
      </c>
      <c r="F2022">
        <v>5013</v>
      </c>
      <c r="G2022">
        <v>4738</v>
      </c>
      <c r="H2022" t="s">
        <v>11</v>
      </c>
      <c r="I2022" t="b">
        <v>0</v>
      </c>
      <c r="J2022" cm="1">
        <f t="array" ref="J2022">sentimentCalc(B2022)</f>
        <v>1</v>
      </c>
      <c r="K2022" t="str" cm="1">
        <f t="array" ref="K2022">sentimentCategory(J2022)</f>
        <v>Positive</v>
      </c>
    </row>
    <row r="2023" spans="1:11" ht="17" x14ac:dyDescent="0.2">
      <c r="A2023" t="s">
        <v>3930</v>
      </c>
      <c r="B2023" s="1" t="s">
        <v>3931</v>
      </c>
      <c r="C2023" t="s">
        <v>2973</v>
      </c>
      <c r="D2023" s="1" t="s">
        <v>3932</v>
      </c>
      <c r="E2023" t="b">
        <v>0</v>
      </c>
      <c r="F2023">
        <v>112</v>
      </c>
      <c r="G2023">
        <v>169</v>
      </c>
      <c r="H2023" t="s">
        <v>11</v>
      </c>
      <c r="I2023" t="b">
        <v>0</v>
      </c>
      <c r="J2023" cm="1">
        <f t="array" ref="J2023">sentimentCalc(B2023)</f>
        <v>0</v>
      </c>
      <c r="K2023" t="str" cm="1">
        <f t="array" ref="K2023">sentimentCategory(J2023)</f>
        <v>Neutral</v>
      </c>
    </row>
    <row r="2024" spans="1:11" ht="51" x14ac:dyDescent="0.2">
      <c r="A2024" t="s">
        <v>5582</v>
      </c>
      <c r="B2024" s="1" t="s">
        <v>5583</v>
      </c>
      <c r="C2024" t="s">
        <v>584</v>
      </c>
      <c r="D2024" s="1" t="s">
        <v>5584</v>
      </c>
      <c r="E2024" t="b">
        <v>0</v>
      </c>
      <c r="F2024">
        <v>589</v>
      </c>
      <c r="G2024">
        <v>1289</v>
      </c>
      <c r="H2024" t="s">
        <v>11</v>
      </c>
      <c r="I2024" t="b">
        <v>0</v>
      </c>
      <c r="J2024" cm="1">
        <f t="array" ref="J2024">sentimentCalc(B2024)</f>
        <v>0</v>
      </c>
      <c r="K2024" t="str" cm="1">
        <f t="array" ref="K2024">sentimentCategory(J2024)</f>
        <v>Neutral</v>
      </c>
    </row>
    <row r="2025" spans="1:11" ht="17" x14ac:dyDescent="0.2">
      <c r="A2025" t="s">
        <v>6069</v>
      </c>
      <c r="B2025" s="1" t="s">
        <v>6070</v>
      </c>
      <c r="C2025" t="s">
        <v>237</v>
      </c>
      <c r="D2025" s="1" t="s">
        <v>3714</v>
      </c>
      <c r="E2025" t="b">
        <v>1</v>
      </c>
      <c r="F2025">
        <v>3058</v>
      </c>
      <c r="G2025">
        <v>877</v>
      </c>
      <c r="H2025" t="s">
        <v>11</v>
      </c>
      <c r="I2025" t="b">
        <v>0</v>
      </c>
      <c r="J2025" cm="1">
        <f t="array" ref="J2025">sentimentCalc(B2025)</f>
        <v>1</v>
      </c>
      <c r="K2025" t="str" cm="1">
        <f t="array" ref="K2025">sentimentCategory(J2025)</f>
        <v>Positive</v>
      </c>
    </row>
    <row r="2026" spans="1:11" ht="34" x14ac:dyDescent="0.2">
      <c r="A2026" t="s">
        <v>1252</v>
      </c>
      <c r="B2026" s="1" t="s">
        <v>1253</v>
      </c>
      <c r="C2026" t="s">
        <v>1254</v>
      </c>
      <c r="D2026" s="1" t="s">
        <v>61</v>
      </c>
      <c r="E2026" t="b">
        <v>0</v>
      </c>
      <c r="F2026">
        <v>36</v>
      </c>
      <c r="G2026">
        <v>0</v>
      </c>
      <c r="H2026" t="s">
        <v>11</v>
      </c>
      <c r="I2026" t="b">
        <v>0</v>
      </c>
      <c r="J2026" cm="1">
        <f t="array" ref="J2026">sentimentCalc(B2026)</f>
        <v>1</v>
      </c>
      <c r="K2026" t="str" cm="1">
        <f t="array" ref="K2026">sentimentCategory(J2026)</f>
        <v>Positive</v>
      </c>
    </row>
    <row r="2027" spans="1:11" ht="34" x14ac:dyDescent="0.2">
      <c r="A2027" t="s">
        <v>2217</v>
      </c>
      <c r="B2027" s="1" t="s">
        <v>2218</v>
      </c>
      <c r="C2027" t="s">
        <v>413</v>
      </c>
      <c r="D2027" s="1" t="s">
        <v>2219</v>
      </c>
      <c r="E2027" t="b">
        <v>0</v>
      </c>
      <c r="F2027">
        <v>253</v>
      </c>
      <c r="G2027">
        <v>410</v>
      </c>
      <c r="H2027" t="s">
        <v>11</v>
      </c>
      <c r="I2027" t="b">
        <v>0</v>
      </c>
      <c r="J2027" cm="1">
        <f t="array" ref="J2027">sentimentCalc(B2027)</f>
        <v>0</v>
      </c>
      <c r="K2027" t="str" cm="1">
        <f t="array" ref="K2027">sentimentCategory(J2027)</f>
        <v>Neutral</v>
      </c>
    </row>
    <row r="2028" spans="1:11" ht="34" x14ac:dyDescent="0.2">
      <c r="A2028" t="s">
        <v>4887</v>
      </c>
      <c r="B2028" s="1" t="s">
        <v>4888</v>
      </c>
      <c r="C2028" t="s">
        <v>1263</v>
      </c>
      <c r="D2028" s="1" t="s">
        <v>2276</v>
      </c>
      <c r="E2028" t="b">
        <v>0</v>
      </c>
      <c r="F2028">
        <v>1103</v>
      </c>
      <c r="G2028">
        <v>431</v>
      </c>
      <c r="H2028" t="s">
        <v>11</v>
      </c>
      <c r="I2028" t="b">
        <v>0</v>
      </c>
      <c r="J2028" cm="1">
        <f t="array" ref="J2028">sentimentCalc(B2028)</f>
        <v>0</v>
      </c>
      <c r="K2028" t="str" cm="1">
        <f t="array" ref="K2028">sentimentCategory(J2028)</f>
        <v>Neutral</v>
      </c>
    </row>
    <row r="2029" spans="1:11" ht="34" x14ac:dyDescent="0.2">
      <c r="A2029" t="s">
        <v>2841</v>
      </c>
      <c r="B2029" s="1" t="s">
        <v>2842</v>
      </c>
      <c r="C2029" t="s">
        <v>736</v>
      </c>
      <c r="D2029" s="1" t="s">
        <v>2</v>
      </c>
      <c r="E2029" t="b">
        <v>0</v>
      </c>
      <c r="F2029">
        <v>17351</v>
      </c>
      <c r="G2029">
        <v>12513</v>
      </c>
      <c r="H2029" t="s">
        <v>11</v>
      </c>
      <c r="I2029" t="b">
        <v>0</v>
      </c>
      <c r="J2029" cm="1">
        <f t="array" ref="J2029">sentimentCalc(B2029)</f>
        <v>0</v>
      </c>
      <c r="K2029" t="str" cm="1">
        <f t="array" ref="K2029">sentimentCategory(J2029)</f>
        <v>Neutral</v>
      </c>
    </row>
    <row r="2030" spans="1:11" ht="17" x14ac:dyDescent="0.2">
      <c r="A2030" t="s">
        <v>2224</v>
      </c>
      <c r="B2030" s="1" t="s">
        <v>2225</v>
      </c>
      <c r="C2030" t="s">
        <v>2226</v>
      </c>
      <c r="D2030" s="1" t="s">
        <v>2</v>
      </c>
      <c r="E2030" t="b">
        <v>0</v>
      </c>
      <c r="F2030">
        <v>80</v>
      </c>
      <c r="G2030">
        <v>242</v>
      </c>
      <c r="H2030" t="s">
        <v>11</v>
      </c>
      <c r="I2030" t="b">
        <v>0</v>
      </c>
      <c r="J2030" cm="1">
        <f t="array" ref="J2030">sentimentCalc(B2030)</f>
        <v>0</v>
      </c>
      <c r="K2030" t="str" cm="1">
        <f t="array" ref="K2030">sentimentCategory(J2030)</f>
        <v>Neutral</v>
      </c>
    </row>
    <row r="2031" spans="1:11" ht="17" x14ac:dyDescent="0.2">
      <c r="A2031" t="s">
        <v>2290</v>
      </c>
      <c r="B2031" s="1" t="s">
        <v>2291</v>
      </c>
      <c r="C2031" t="s">
        <v>1031</v>
      </c>
      <c r="E2031" t="b">
        <v>0</v>
      </c>
      <c r="F2031">
        <v>987</v>
      </c>
      <c r="G2031">
        <v>273</v>
      </c>
      <c r="H2031" t="s">
        <v>122</v>
      </c>
      <c r="I2031" t="b">
        <v>0</v>
      </c>
      <c r="J2031" cm="1">
        <f t="array" ref="J2031">sentimentCalc(B2031)</f>
        <v>1</v>
      </c>
      <c r="K2031" t="str" cm="1">
        <f t="array" ref="K2031">sentimentCategory(J2031)</f>
        <v>Positive</v>
      </c>
    </row>
    <row r="2032" spans="1:11" ht="17" x14ac:dyDescent="0.2">
      <c r="A2032" t="s">
        <v>2123</v>
      </c>
      <c r="B2032" s="1" t="s">
        <v>2124</v>
      </c>
      <c r="C2032" t="s">
        <v>275</v>
      </c>
      <c r="D2032" s="1" t="s">
        <v>2125</v>
      </c>
      <c r="E2032" t="b">
        <v>0</v>
      </c>
      <c r="F2032">
        <v>471</v>
      </c>
      <c r="G2032">
        <v>1333</v>
      </c>
      <c r="H2032" t="s">
        <v>11</v>
      </c>
      <c r="I2032" t="b">
        <v>0</v>
      </c>
      <c r="J2032" cm="1">
        <f t="array" ref="J2032">sentimentCalc(B2032)</f>
        <v>1</v>
      </c>
      <c r="K2032" t="str" cm="1">
        <f t="array" ref="K2032">sentimentCategory(J2032)</f>
        <v>Positive</v>
      </c>
    </row>
    <row r="2033" spans="1:11" ht="34" x14ac:dyDescent="0.2">
      <c r="A2033" t="s">
        <v>2314</v>
      </c>
      <c r="B2033" s="1" t="s">
        <v>2315</v>
      </c>
      <c r="C2033" t="s">
        <v>1189</v>
      </c>
      <c r="D2033" s="1" t="s">
        <v>1190</v>
      </c>
      <c r="E2033" t="b">
        <v>0</v>
      </c>
      <c r="F2033">
        <v>7994</v>
      </c>
      <c r="G2033">
        <v>410</v>
      </c>
      <c r="H2033" t="s">
        <v>11</v>
      </c>
      <c r="I2033" t="b">
        <v>0</v>
      </c>
      <c r="J2033" cm="1">
        <f t="array" ref="J2033">sentimentCalc(B2033)</f>
        <v>-2</v>
      </c>
      <c r="K2033" t="str" cm="1">
        <f t="array" ref="K2033">sentimentCategory(J2033)</f>
        <v>Negative</v>
      </c>
    </row>
    <row r="2034" spans="1:11" ht="34" x14ac:dyDescent="0.2">
      <c r="A2034" t="s">
        <v>7092</v>
      </c>
      <c r="B2034" s="1" t="s">
        <v>7093</v>
      </c>
      <c r="C2034" t="s">
        <v>211</v>
      </c>
      <c r="D2034" s="1" t="s">
        <v>68</v>
      </c>
      <c r="E2034" t="b">
        <v>0</v>
      </c>
      <c r="F2034">
        <v>1016</v>
      </c>
      <c r="G2034">
        <v>55</v>
      </c>
      <c r="H2034" t="s">
        <v>11</v>
      </c>
      <c r="I2034" t="b">
        <v>0</v>
      </c>
      <c r="J2034" cm="1">
        <f t="array" ref="J2034">sentimentCalc(B2034)</f>
        <v>1</v>
      </c>
      <c r="K2034" t="str" cm="1">
        <f t="array" ref="K2034">sentimentCategory(J2034)</f>
        <v>Positive</v>
      </c>
    </row>
    <row r="2035" spans="1:11" ht="34" x14ac:dyDescent="0.2">
      <c r="A2035" t="s">
        <v>2992</v>
      </c>
      <c r="B2035" s="1" t="s">
        <v>2993</v>
      </c>
      <c r="C2035" t="s">
        <v>2973</v>
      </c>
      <c r="D2035" s="1" t="s">
        <v>2994</v>
      </c>
      <c r="E2035" t="b">
        <v>0</v>
      </c>
      <c r="F2035">
        <v>203</v>
      </c>
      <c r="G2035">
        <v>175</v>
      </c>
      <c r="H2035" t="s">
        <v>11</v>
      </c>
      <c r="I2035" t="b">
        <v>0</v>
      </c>
      <c r="J2035" cm="1">
        <f t="array" ref="J2035">sentimentCalc(B2035)</f>
        <v>0</v>
      </c>
      <c r="K2035" t="str" cm="1">
        <f t="array" ref="K2035">sentimentCategory(J2035)</f>
        <v>Neutral</v>
      </c>
    </row>
    <row r="2036" spans="1:11" ht="17" x14ac:dyDescent="0.2">
      <c r="A2036" t="s">
        <v>2481</v>
      </c>
      <c r="B2036" s="1" t="s">
        <v>2482</v>
      </c>
      <c r="C2036" t="s">
        <v>584</v>
      </c>
      <c r="D2036" s="1" t="s">
        <v>2483</v>
      </c>
      <c r="E2036" t="b">
        <v>0</v>
      </c>
      <c r="F2036">
        <v>894</v>
      </c>
      <c r="G2036">
        <v>1968</v>
      </c>
      <c r="H2036" t="s">
        <v>11</v>
      </c>
      <c r="I2036" t="b">
        <v>0</v>
      </c>
      <c r="J2036" cm="1">
        <f t="array" ref="J2036">sentimentCalc(B2036)</f>
        <v>0</v>
      </c>
      <c r="K2036" t="str" cm="1">
        <f t="array" ref="K2036">sentimentCategory(J2036)</f>
        <v>Neutral</v>
      </c>
    </row>
    <row r="2037" spans="1:11" ht="17" x14ac:dyDescent="0.2">
      <c r="A2037" t="s">
        <v>3297</v>
      </c>
      <c r="B2037" s="1" t="s">
        <v>3298</v>
      </c>
      <c r="C2037" t="s">
        <v>402</v>
      </c>
      <c r="D2037" s="1" t="s">
        <v>403</v>
      </c>
      <c r="E2037" t="b">
        <v>0</v>
      </c>
      <c r="F2037">
        <v>1663</v>
      </c>
      <c r="G2037">
        <v>1479</v>
      </c>
      <c r="H2037" t="s">
        <v>11</v>
      </c>
      <c r="I2037" t="b">
        <v>0</v>
      </c>
      <c r="J2037" cm="1">
        <f t="array" ref="J2037">sentimentCalc(B2037)</f>
        <v>0</v>
      </c>
      <c r="K2037" t="str" cm="1">
        <f t="array" ref="K2037">sentimentCategory(J2037)</f>
        <v>Neutral</v>
      </c>
    </row>
    <row r="2038" spans="1:11" ht="34" x14ac:dyDescent="0.2">
      <c r="A2038" t="s">
        <v>3393</v>
      </c>
      <c r="B2038" s="1" t="s">
        <v>3394</v>
      </c>
      <c r="C2038" t="s">
        <v>3018</v>
      </c>
      <c r="D2038" s="1" t="s">
        <v>3395</v>
      </c>
      <c r="E2038" t="b">
        <v>0</v>
      </c>
      <c r="F2038">
        <v>264</v>
      </c>
      <c r="G2038">
        <v>355</v>
      </c>
      <c r="H2038" t="s">
        <v>11</v>
      </c>
      <c r="I2038" t="b">
        <v>0</v>
      </c>
      <c r="J2038" cm="1">
        <f t="array" ref="J2038">sentimentCalc(B2038)</f>
        <v>0</v>
      </c>
      <c r="K2038" t="str" cm="1">
        <f t="array" ref="K2038">sentimentCategory(J2038)</f>
        <v>Neutral</v>
      </c>
    </row>
    <row r="2039" spans="1:11" ht="17" x14ac:dyDescent="0.2">
      <c r="A2039" t="s">
        <v>5123</v>
      </c>
      <c r="B2039" s="1" t="s">
        <v>5124</v>
      </c>
      <c r="C2039" t="s">
        <v>57</v>
      </c>
      <c r="D2039" s="1" t="s">
        <v>2</v>
      </c>
      <c r="E2039" t="b">
        <v>0</v>
      </c>
      <c r="F2039">
        <v>1905</v>
      </c>
      <c r="G2039">
        <v>801</v>
      </c>
      <c r="H2039" t="s">
        <v>11</v>
      </c>
      <c r="I2039" t="b">
        <v>0</v>
      </c>
      <c r="J2039" cm="1">
        <f t="array" ref="J2039">sentimentCalc(B2039)</f>
        <v>-1</v>
      </c>
      <c r="K2039" t="str" cm="1">
        <f t="array" ref="K2039">sentimentCategory(J2039)</f>
        <v>Negative</v>
      </c>
    </row>
    <row r="2040" spans="1:11" ht="17" x14ac:dyDescent="0.2">
      <c r="A2040" t="s">
        <v>6610</v>
      </c>
      <c r="B2040" s="1" t="s">
        <v>6611</v>
      </c>
      <c r="C2040" t="s">
        <v>129</v>
      </c>
      <c r="D2040" s="1" t="s">
        <v>109</v>
      </c>
      <c r="E2040" t="b">
        <v>0</v>
      </c>
      <c r="F2040">
        <v>133</v>
      </c>
      <c r="G2040">
        <v>304</v>
      </c>
      <c r="H2040" t="s">
        <v>11</v>
      </c>
      <c r="I2040" t="b">
        <v>0</v>
      </c>
      <c r="J2040" cm="1">
        <f t="array" ref="J2040">sentimentCalc(B2040)</f>
        <v>0</v>
      </c>
      <c r="K2040" t="str" cm="1">
        <f t="array" ref="K2040">sentimentCategory(J2040)</f>
        <v>Neutral</v>
      </c>
    </row>
    <row r="2041" spans="1:11" ht="17" x14ac:dyDescent="0.2">
      <c r="A2041" t="s">
        <v>3051</v>
      </c>
      <c r="B2041" s="1" t="s">
        <v>3052</v>
      </c>
      <c r="C2041" t="s">
        <v>1044</v>
      </c>
      <c r="D2041" s="1" t="s">
        <v>562</v>
      </c>
      <c r="E2041" t="b">
        <v>1</v>
      </c>
      <c r="F2041">
        <v>12089</v>
      </c>
      <c r="G2041">
        <v>1635</v>
      </c>
      <c r="H2041" t="s">
        <v>11</v>
      </c>
      <c r="I2041" t="b">
        <v>0</v>
      </c>
      <c r="J2041" cm="1">
        <f t="array" ref="J2041">sentimentCalc(B2041)</f>
        <v>0</v>
      </c>
      <c r="K2041" t="str" cm="1">
        <f t="array" ref="K2041">sentimentCategory(J2041)</f>
        <v>Neutral</v>
      </c>
    </row>
    <row r="2042" spans="1:11" ht="17" x14ac:dyDescent="0.2">
      <c r="A2042" t="s">
        <v>3450</v>
      </c>
      <c r="B2042" s="1" t="s">
        <v>3451</v>
      </c>
      <c r="C2042" t="s">
        <v>100</v>
      </c>
      <c r="D2042" s="1" t="s">
        <v>2</v>
      </c>
      <c r="E2042" t="b">
        <v>0</v>
      </c>
      <c r="F2042">
        <v>3</v>
      </c>
      <c r="G2042">
        <v>5</v>
      </c>
      <c r="H2042" t="s">
        <v>359</v>
      </c>
      <c r="I2042" t="b">
        <v>0</v>
      </c>
      <c r="J2042" cm="1">
        <f t="array" ref="J2042">sentimentCalc(B2042)</f>
        <v>0</v>
      </c>
      <c r="K2042" t="str" cm="1">
        <f t="array" ref="K2042">sentimentCategory(J2042)</f>
        <v>Neutral</v>
      </c>
    </row>
    <row r="2043" spans="1:11" ht="17" x14ac:dyDescent="0.2">
      <c r="A2043" t="s">
        <v>4366</v>
      </c>
      <c r="B2043" s="1" t="s">
        <v>4367</v>
      </c>
      <c r="C2043" t="s">
        <v>1134</v>
      </c>
      <c r="D2043" s="1" t="s">
        <v>2</v>
      </c>
      <c r="E2043" t="b">
        <v>0</v>
      </c>
      <c r="F2043">
        <v>4537</v>
      </c>
      <c r="G2043">
        <v>398</v>
      </c>
      <c r="H2043" t="s">
        <v>11</v>
      </c>
      <c r="I2043" t="b">
        <v>0</v>
      </c>
      <c r="J2043" cm="1">
        <f t="array" ref="J2043">sentimentCalc(B2043)</f>
        <v>1</v>
      </c>
      <c r="K2043" t="str" cm="1">
        <f t="array" ref="K2043">sentimentCategory(J2043)</f>
        <v>Positive</v>
      </c>
    </row>
    <row r="2044" spans="1:11" ht="34" x14ac:dyDescent="0.2">
      <c r="A2044" t="s">
        <v>3831</v>
      </c>
      <c r="B2044" s="1" t="s">
        <v>3832</v>
      </c>
      <c r="C2044" t="s">
        <v>644</v>
      </c>
      <c r="D2044" s="1" t="s">
        <v>3833</v>
      </c>
      <c r="E2044" t="b">
        <v>0</v>
      </c>
      <c r="F2044">
        <v>67</v>
      </c>
      <c r="G2044">
        <v>189</v>
      </c>
      <c r="H2044" t="s">
        <v>11</v>
      </c>
      <c r="I2044" t="b">
        <v>0</v>
      </c>
      <c r="J2044" cm="1">
        <f t="array" ref="J2044">sentimentCalc(B2044)</f>
        <v>1</v>
      </c>
      <c r="K2044" t="str" cm="1">
        <f t="array" ref="K2044">sentimentCategory(J2044)</f>
        <v>Positive</v>
      </c>
    </row>
    <row r="2045" spans="1:11" ht="34" x14ac:dyDescent="0.2">
      <c r="A2045" t="s">
        <v>6135</v>
      </c>
      <c r="B2045" s="1" t="s">
        <v>6136</v>
      </c>
      <c r="C2045" t="s">
        <v>6137</v>
      </c>
      <c r="D2045" s="1" t="s">
        <v>6138</v>
      </c>
      <c r="E2045" t="b">
        <v>0</v>
      </c>
      <c r="F2045">
        <v>533</v>
      </c>
      <c r="G2045">
        <v>514</v>
      </c>
      <c r="H2045" t="s">
        <v>11</v>
      </c>
      <c r="I2045" t="b">
        <v>0</v>
      </c>
      <c r="J2045" cm="1">
        <f t="array" ref="J2045">sentimentCalc(B2045)</f>
        <v>-1</v>
      </c>
      <c r="K2045" t="str" cm="1">
        <f t="array" ref="K2045">sentimentCategory(J2045)</f>
        <v>Negative</v>
      </c>
    </row>
    <row r="2046" spans="1:11" ht="17" x14ac:dyDescent="0.2">
      <c r="A2046" t="s">
        <v>6933</v>
      </c>
      <c r="B2046" s="1" t="s">
        <v>6934</v>
      </c>
      <c r="C2046" t="s">
        <v>5032</v>
      </c>
      <c r="D2046" s="1" t="s">
        <v>487</v>
      </c>
      <c r="E2046" t="b">
        <v>0</v>
      </c>
      <c r="F2046">
        <v>285</v>
      </c>
      <c r="G2046">
        <v>355</v>
      </c>
      <c r="H2046" t="s">
        <v>11</v>
      </c>
      <c r="I2046" t="b">
        <v>0</v>
      </c>
      <c r="J2046" cm="1">
        <f t="array" ref="J2046">sentimentCalc(B2046)</f>
        <v>0</v>
      </c>
      <c r="K2046" t="str" cm="1">
        <f t="array" ref="K2046">sentimentCategory(J2046)</f>
        <v>Neutral</v>
      </c>
    </row>
    <row r="2047" spans="1:11" ht="17" x14ac:dyDescent="0.2">
      <c r="A2047" t="s">
        <v>6120</v>
      </c>
      <c r="B2047" s="1" t="s">
        <v>6121</v>
      </c>
      <c r="C2047" t="s">
        <v>1434</v>
      </c>
      <c r="D2047" s="1" t="s">
        <v>2</v>
      </c>
      <c r="E2047" t="b">
        <v>0</v>
      </c>
      <c r="F2047">
        <v>23830</v>
      </c>
      <c r="G2047">
        <v>973</v>
      </c>
      <c r="H2047" t="s">
        <v>11</v>
      </c>
      <c r="I2047" t="b">
        <v>0</v>
      </c>
      <c r="J2047" cm="1">
        <f t="array" ref="J2047">sentimentCalc(B2047)</f>
        <v>0</v>
      </c>
      <c r="K2047" t="str" cm="1">
        <f t="array" ref="K2047">sentimentCategory(J2047)</f>
        <v>Neutral</v>
      </c>
    </row>
    <row r="2048" spans="1:11" ht="17" x14ac:dyDescent="0.2">
      <c r="A2048" t="s">
        <v>2107</v>
      </c>
      <c r="B2048" s="1" t="s">
        <v>2108</v>
      </c>
      <c r="C2048" t="s">
        <v>992</v>
      </c>
      <c r="D2048" s="1" t="s">
        <v>2109</v>
      </c>
      <c r="E2048" t="b">
        <v>0</v>
      </c>
      <c r="F2048">
        <v>3880</v>
      </c>
      <c r="G2048">
        <v>671</v>
      </c>
      <c r="H2048" t="s">
        <v>11</v>
      </c>
      <c r="I2048" t="b">
        <v>0</v>
      </c>
      <c r="J2048" cm="1">
        <f t="array" ref="J2048">sentimentCalc(B2048)</f>
        <v>0</v>
      </c>
      <c r="K2048" t="str" cm="1">
        <f t="array" ref="K2048">sentimentCategory(J2048)</f>
        <v>Neutral</v>
      </c>
    </row>
    <row r="2049" spans="1:11" ht="17" x14ac:dyDescent="0.2">
      <c r="A2049" t="s">
        <v>2781</v>
      </c>
      <c r="B2049" s="1" t="s">
        <v>2782</v>
      </c>
      <c r="C2049" t="s">
        <v>522</v>
      </c>
      <c r="D2049" s="1" t="s">
        <v>2</v>
      </c>
      <c r="E2049" t="b">
        <v>0</v>
      </c>
      <c r="F2049">
        <v>2</v>
      </c>
      <c r="G2049">
        <v>137</v>
      </c>
      <c r="H2049" t="s">
        <v>641</v>
      </c>
      <c r="I2049" t="b">
        <v>0</v>
      </c>
      <c r="J2049" cm="1">
        <f t="array" ref="J2049">sentimentCalc(B2049)</f>
        <v>0</v>
      </c>
      <c r="K2049" t="str" cm="1">
        <f t="array" ref="K2049">sentimentCategory(J2049)</f>
        <v>Neutral</v>
      </c>
    </row>
    <row r="2050" spans="1:11" ht="17" x14ac:dyDescent="0.2">
      <c r="A2050" t="s">
        <v>1489</v>
      </c>
      <c r="B2050" s="1" t="s">
        <v>1490</v>
      </c>
      <c r="C2050" t="s">
        <v>1448</v>
      </c>
      <c r="D2050" s="1" t="s">
        <v>1449</v>
      </c>
      <c r="E2050" t="b">
        <v>0</v>
      </c>
      <c r="F2050">
        <v>1100</v>
      </c>
      <c r="G2050">
        <v>512</v>
      </c>
      <c r="H2050" t="s">
        <v>11</v>
      </c>
      <c r="I2050" t="b">
        <v>0</v>
      </c>
      <c r="J2050" cm="1">
        <f t="array" ref="J2050">sentimentCalc(B2050)</f>
        <v>0</v>
      </c>
      <c r="K2050" t="str" cm="1">
        <f t="array" ref="K2050">sentimentCategory(J2050)</f>
        <v>Neutral</v>
      </c>
    </row>
    <row r="2051" spans="1:11" ht="34" x14ac:dyDescent="0.2">
      <c r="A2051" t="s">
        <v>3110</v>
      </c>
      <c r="B2051" s="1" t="s">
        <v>3111</v>
      </c>
      <c r="C2051" t="s">
        <v>100</v>
      </c>
      <c r="D2051" s="1" t="s">
        <v>2</v>
      </c>
      <c r="E2051" t="b">
        <v>0</v>
      </c>
      <c r="F2051">
        <v>3</v>
      </c>
      <c r="G2051">
        <v>0</v>
      </c>
      <c r="H2051" t="s">
        <v>359</v>
      </c>
      <c r="I2051" t="b">
        <v>0</v>
      </c>
      <c r="J2051" cm="1">
        <f t="array" ref="J2051">sentimentCalc(B2051)</f>
        <v>0</v>
      </c>
      <c r="K2051" t="str" cm="1">
        <f t="array" ref="K2051">sentimentCategory(J2051)</f>
        <v>Neutral</v>
      </c>
    </row>
    <row r="2052" spans="1:11" ht="17" x14ac:dyDescent="0.2">
      <c r="A2052" t="s">
        <v>6561</v>
      </c>
      <c r="B2052" s="1" t="s">
        <v>6562</v>
      </c>
      <c r="C2052" t="s">
        <v>4183</v>
      </c>
      <c r="D2052" s="1" t="s">
        <v>1023</v>
      </c>
      <c r="E2052" t="b">
        <v>0</v>
      </c>
      <c r="F2052">
        <v>46</v>
      </c>
      <c r="G2052">
        <v>142</v>
      </c>
      <c r="H2052" t="s">
        <v>11</v>
      </c>
      <c r="I2052" t="b">
        <v>0</v>
      </c>
      <c r="J2052" cm="1">
        <f t="array" ref="J2052">sentimentCalc(B2052)</f>
        <v>0</v>
      </c>
      <c r="K2052" t="str" cm="1">
        <f t="array" ref="K2052">sentimentCategory(J2052)</f>
        <v>Neutral</v>
      </c>
    </row>
    <row r="2053" spans="1:11" ht="17" x14ac:dyDescent="0.2">
      <c r="A2053" t="s">
        <v>6299</v>
      </c>
      <c r="B2053" s="1" t="s">
        <v>6300</v>
      </c>
      <c r="C2053" t="s">
        <v>995</v>
      </c>
      <c r="D2053" s="1" t="s">
        <v>2</v>
      </c>
      <c r="E2053" t="b">
        <v>0</v>
      </c>
      <c r="F2053">
        <v>23</v>
      </c>
      <c r="G2053">
        <v>7</v>
      </c>
      <c r="H2053" t="s">
        <v>11</v>
      </c>
      <c r="I2053" t="b">
        <v>0</v>
      </c>
      <c r="J2053" cm="1">
        <f t="array" ref="J2053">sentimentCalc(B2053)</f>
        <v>0</v>
      </c>
      <c r="K2053" t="str" cm="1">
        <f t="array" ref="K2053">sentimentCategory(J2053)</f>
        <v>Neutral</v>
      </c>
    </row>
    <row r="2054" spans="1:11" ht="17" x14ac:dyDescent="0.2">
      <c r="A2054" t="s">
        <v>5376</v>
      </c>
      <c r="B2054" s="1" t="s">
        <v>5377</v>
      </c>
      <c r="C2054" t="s">
        <v>5378</v>
      </c>
      <c r="D2054" s="1" t="s">
        <v>5379</v>
      </c>
      <c r="E2054" t="b">
        <v>0</v>
      </c>
      <c r="F2054">
        <v>377</v>
      </c>
      <c r="G2054">
        <v>1119</v>
      </c>
      <c r="H2054" t="s">
        <v>11</v>
      </c>
      <c r="I2054" t="b">
        <v>0</v>
      </c>
      <c r="J2054" cm="1">
        <f t="array" ref="J2054">sentimentCalc(B2054)</f>
        <v>0</v>
      </c>
      <c r="K2054" t="str" cm="1">
        <f t="array" ref="K2054">sentimentCategory(J2054)</f>
        <v>Neutral</v>
      </c>
    </row>
    <row r="2055" spans="1:11" ht="17" x14ac:dyDescent="0.2">
      <c r="A2055" t="s">
        <v>4870</v>
      </c>
      <c r="B2055" s="1" t="s">
        <v>4871</v>
      </c>
      <c r="C2055" t="s">
        <v>4872</v>
      </c>
      <c r="D2055" s="1" t="s">
        <v>4873</v>
      </c>
      <c r="E2055" t="b">
        <v>0</v>
      </c>
      <c r="F2055">
        <v>90</v>
      </c>
      <c r="G2055">
        <v>447</v>
      </c>
      <c r="H2055" t="s">
        <v>11</v>
      </c>
      <c r="I2055" t="b">
        <v>0</v>
      </c>
      <c r="J2055" cm="1">
        <f t="array" ref="J2055">sentimentCalc(B2055)</f>
        <v>0</v>
      </c>
      <c r="K2055" t="str" cm="1">
        <f t="array" ref="K2055">sentimentCategory(J2055)</f>
        <v>Neutral</v>
      </c>
    </row>
    <row r="2056" spans="1:11" ht="17" x14ac:dyDescent="0.2">
      <c r="A2056" t="s">
        <v>5779</v>
      </c>
      <c r="B2056" s="1" t="s">
        <v>5780</v>
      </c>
      <c r="C2056" t="s">
        <v>736</v>
      </c>
      <c r="D2056" s="1" t="s">
        <v>5781</v>
      </c>
      <c r="E2056" t="b">
        <v>1</v>
      </c>
      <c r="F2056">
        <v>172963</v>
      </c>
      <c r="G2056">
        <v>217</v>
      </c>
      <c r="H2056" t="s">
        <v>11</v>
      </c>
      <c r="I2056" t="b">
        <v>0</v>
      </c>
      <c r="J2056" cm="1">
        <f t="array" ref="J2056">sentimentCalc(B2056)</f>
        <v>0</v>
      </c>
      <c r="K2056" t="str" cm="1">
        <f t="array" ref="K2056">sentimentCategory(J2056)</f>
        <v>Neutral</v>
      </c>
    </row>
    <row r="2057" spans="1:11" ht="17" x14ac:dyDescent="0.2">
      <c r="A2057" t="s">
        <v>5047</v>
      </c>
      <c r="B2057" s="1" t="s">
        <v>5048</v>
      </c>
      <c r="C2057" t="s">
        <v>1506</v>
      </c>
      <c r="D2057" s="1" t="s">
        <v>5049</v>
      </c>
      <c r="E2057" t="b">
        <v>0</v>
      </c>
      <c r="F2057">
        <v>136</v>
      </c>
      <c r="G2057">
        <v>115</v>
      </c>
      <c r="H2057" t="s">
        <v>11</v>
      </c>
      <c r="I2057" t="b">
        <v>0</v>
      </c>
      <c r="J2057" cm="1">
        <f t="array" ref="J2057">sentimentCalc(B2057)</f>
        <v>0</v>
      </c>
      <c r="K2057" t="str" cm="1">
        <f t="array" ref="K2057">sentimentCategory(J2057)</f>
        <v>Neutral</v>
      </c>
    </row>
    <row r="2058" spans="1:11" ht="17" x14ac:dyDescent="0.2">
      <c r="A2058" t="s">
        <v>1357</v>
      </c>
      <c r="B2058" s="1" t="s">
        <v>1360</v>
      </c>
      <c r="C2058" t="s">
        <v>1361</v>
      </c>
      <c r="D2058" s="1" t="s">
        <v>1362</v>
      </c>
      <c r="E2058" t="b">
        <v>0</v>
      </c>
      <c r="F2058">
        <v>188</v>
      </c>
      <c r="G2058">
        <v>9</v>
      </c>
      <c r="H2058" t="s">
        <v>11</v>
      </c>
      <c r="I2058" t="b">
        <v>0</v>
      </c>
      <c r="J2058" cm="1">
        <f t="array" ref="J2058">sentimentCalc(B2058)</f>
        <v>0</v>
      </c>
      <c r="K2058" t="str" cm="1">
        <f t="array" ref="K2058">sentimentCategory(J2058)</f>
        <v>Neutral</v>
      </c>
    </row>
    <row r="2059" spans="1:11" ht="17" x14ac:dyDescent="0.2">
      <c r="A2059" t="s">
        <v>1967</v>
      </c>
      <c r="B2059" s="1" t="s">
        <v>1968</v>
      </c>
      <c r="C2059" t="s">
        <v>1324</v>
      </c>
      <c r="D2059" s="1" t="s">
        <v>1969</v>
      </c>
      <c r="E2059" t="b">
        <v>0</v>
      </c>
      <c r="F2059">
        <v>30874</v>
      </c>
      <c r="G2059">
        <v>5408</v>
      </c>
      <c r="H2059" t="s">
        <v>11</v>
      </c>
      <c r="I2059" t="b">
        <v>0</v>
      </c>
      <c r="J2059" cm="1">
        <f t="array" ref="J2059">sentimentCalc(B2059)</f>
        <v>0</v>
      </c>
      <c r="K2059" t="str" cm="1">
        <f t="array" ref="K2059">sentimentCategory(J2059)</f>
        <v>Neutral</v>
      </c>
    </row>
    <row r="2060" spans="1:11" ht="17" x14ac:dyDescent="0.2">
      <c r="A2060" t="s">
        <v>5802</v>
      </c>
      <c r="B2060" s="1" t="s">
        <v>5803</v>
      </c>
      <c r="C2060" t="s">
        <v>4082</v>
      </c>
      <c r="D2060" s="1" t="s">
        <v>2</v>
      </c>
      <c r="E2060" t="b">
        <v>0</v>
      </c>
      <c r="F2060">
        <v>2295</v>
      </c>
      <c r="G2060">
        <v>1650</v>
      </c>
      <c r="H2060" t="s">
        <v>11</v>
      </c>
      <c r="I2060" t="b">
        <v>0</v>
      </c>
      <c r="J2060" cm="1">
        <f t="array" ref="J2060">sentimentCalc(B2060)</f>
        <v>-1</v>
      </c>
      <c r="K2060" t="str" cm="1">
        <f t="array" ref="K2060">sentimentCategory(J2060)</f>
        <v>Negative</v>
      </c>
    </row>
    <row r="2061" spans="1:11" ht="17" x14ac:dyDescent="0.2">
      <c r="A2061" t="s">
        <v>4880</v>
      </c>
      <c r="B2061" s="1" t="s">
        <v>4881</v>
      </c>
      <c r="C2061" t="s">
        <v>406</v>
      </c>
      <c r="D2061" s="1" t="s">
        <v>2099</v>
      </c>
      <c r="E2061" t="b">
        <v>0</v>
      </c>
      <c r="F2061">
        <v>12</v>
      </c>
      <c r="G2061">
        <v>104</v>
      </c>
      <c r="H2061" t="s">
        <v>11</v>
      </c>
      <c r="I2061" t="b">
        <v>0</v>
      </c>
      <c r="J2061" cm="1">
        <f t="array" ref="J2061">sentimentCalc(B2061)</f>
        <v>0</v>
      </c>
      <c r="K2061" t="str" cm="1">
        <f t="array" ref="K2061">sentimentCategory(J2061)</f>
        <v>Neutral</v>
      </c>
    </row>
    <row r="2062" spans="1:11" ht="17" x14ac:dyDescent="0.2">
      <c r="A2062" t="s">
        <v>6196</v>
      </c>
      <c r="B2062" s="1" t="s">
        <v>6197</v>
      </c>
      <c r="C2062" t="s">
        <v>564</v>
      </c>
      <c r="D2062" s="1" t="s">
        <v>2</v>
      </c>
      <c r="E2062" t="b">
        <v>0</v>
      </c>
      <c r="F2062">
        <v>46</v>
      </c>
      <c r="G2062">
        <v>83</v>
      </c>
      <c r="H2062" t="s">
        <v>11</v>
      </c>
      <c r="I2062" t="b">
        <v>0</v>
      </c>
      <c r="J2062" cm="1">
        <f t="array" ref="J2062">sentimentCalc(B2062)</f>
        <v>0</v>
      </c>
      <c r="K2062" t="str" cm="1">
        <f t="array" ref="K2062">sentimentCategory(J2062)</f>
        <v>Neutral</v>
      </c>
    </row>
    <row r="2063" spans="1:11" ht="17" x14ac:dyDescent="0.2">
      <c r="A2063" t="s">
        <v>12</v>
      </c>
      <c r="B2063" s="1" t="s">
        <v>13</v>
      </c>
      <c r="C2063" t="s">
        <v>14</v>
      </c>
      <c r="D2063" s="1" t="s">
        <v>15</v>
      </c>
      <c r="E2063" t="b">
        <v>0</v>
      </c>
      <c r="F2063">
        <v>1996</v>
      </c>
      <c r="G2063">
        <v>1967</v>
      </c>
      <c r="H2063" t="s">
        <v>11</v>
      </c>
      <c r="I2063" t="b">
        <v>0</v>
      </c>
      <c r="J2063" cm="1">
        <f t="array" ref="J2063">sentimentCalc(B2063)</f>
        <v>1</v>
      </c>
      <c r="K2063" t="str" cm="1">
        <f t="array" ref="K2063">sentimentCategory(J2063)</f>
        <v>Positive</v>
      </c>
    </row>
    <row r="2064" spans="1:11" ht="17" x14ac:dyDescent="0.2">
      <c r="A2064" t="s">
        <v>5326</v>
      </c>
      <c r="B2064" s="1" t="s">
        <v>5327</v>
      </c>
      <c r="C2064" t="s">
        <v>1148</v>
      </c>
      <c r="D2064" s="1" t="s">
        <v>2</v>
      </c>
      <c r="E2064" t="b">
        <v>0</v>
      </c>
      <c r="F2064">
        <v>12352</v>
      </c>
      <c r="G2064">
        <v>539</v>
      </c>
      <c r="H2064" t="s">
        <v>11</v>
      </c>
      <c r="I2064" t="b">
        <v>0</v>
      </c>
      <c r="J2064" cm="1">
        <f t="array" ref="J2064">sentimentCalc(B2064)</f>
        <v>0</v>
      </c>
      <c r="K2064" t="str" cm="1">
        <f t="array" ref="K2064">sentimentCategory(J2064)</f>
        <v>Neutral</v>
      </c>
    </row>
    <row r="2065" spans="1:11" ht="17" x14ac:dyDescent="0.2">
      <c r="A2065" t="s">
        <v>1691</v>
      </c>
      <c r="B2065" s="1" t="s">
        <v>1692</v>
      </c>
      <c r="C2065" t="s">
        <v>1693</v>
      </c>
      <c r="D2065" s="1" t="s">
        <v>1694</v>
      </c>
      <c r="E2065" t="b">
        <v>0</v>
      </c>
      <c r="F2065">
        <v>516</v>
      </c>
      <c r="G2065">
        <v>499</v>
      </c>
      <c r="H2065" t="s">
        <v>11</v>
      </c>
      <c r="I2065" t="b">
        <v>0</v>
      </c>
      <c r="J2065" cm="1">
        <f t="array" ref="J2065">sentimentCalc(B2065)</f>
        <v>-1</v>
      </c>
      <c r="K2065" t="str" cm="1">
        <f t="array" ref="K2065">sentimentCategory(J2065)</f>
        <v>Negative</v>
      </c>
    </row>
    <row r="2066" spans="1:11" ht="17" x14ac:dyDescent="0.2">
      <c r="A2066" t="s">
        <v>6159</v>
      </c>
      <c r="B2066" s="1" t="s">
        <v>6160</v>
      </c>
      <c r="C2066" t="s">
        <v>564</v>
      </c>
      <c r="D2066" s="1" t="s">
        <v>2</v>
      </c>
      <c r="E2066" t="b">
        <v>0</v>
      </c>
      <c r="F2066">
        <v>46</v>
      </c>
      <c r="G2066">
        <v>83</v>
      </c>
      <c r="H2066" t="s">
        <v>11</v>
      </c>
      <c r="I2066" t="b">
        <v>0</v>
      </c>
      <c r="J2066" cm="1">
        <f t="array" ref="J2066">sentimentCalc(B2066)</f>
        <v>0</v>
      </c>
      <c r="K2066" t="str" cm="1">
        <f t="array" ref="K2066">sentimentCategory(J2066)</f>
        <v>Neutral</v>
      </c>
    </row>
    <row r="2067" spans="1:11" ht="17" x14ac:dyDescent="0.2">
      <c r="A2067" t="s">
        <v>6208</v>
      </c>
      <c r="B2067" s="1" t="s">
        <v>6209</v>
      </c>
      <c r="C2067" t="s">
        <v>3848</v>
      </c>
      <c r="D2067" s="1" t="s">
        <v>1348</v>
      </c>
      <c r="E2067" t="b">
        <v>0</v>
      </c>
      <c r="F2067">
        <v>123</v>
      </c>
      <c r="G2067">
        <v>188</v>
      </c>
      <c r="H2067" t="s">
        <v>122</v>
      </c>
      <c r="I2067" t="b">
        <v>0</v>
      </c>
      <c r="J2067" cm="1">
        <f t="array" ref="J2067">sentimentCalc(B2067)</f>
        <v>0</v>
      </c>
      <c r="K2067" t="str" cm="1">
        <f t="array" ref="K2067">sentimentCategory(J2067)</f>
        <v>Neutral</v>
      </c>
    </row>
    <row r="2068" spans="1:11" ht="34" x14ac:dyDescent="0.2">
      <c r="A2068" t="s">
        <v>7120</v>
      </c>
      <c r="B2068" s="1" t="s">
        <v>7121</v>
      </c>
      <c r="C2068" t="s">
        <v>7122</v>
      </c>
      <c r="D2068" s="1" t="s">
        <v>7123</v>
      </c>
      <c r="E2068" t="b">
        <v>0</v>
      </c>
      <c r="F2068">
        <v>42</v>
      </c>
      <c r="G2068">
        <v>22</v>
      </c>
      <c r="H2068" t="s">
        <v>11</v>
      </c>
      <c r="I2068" t="b">
        <v>0</v>
      </c>
      <c r="J2068" cm="1">
        <f t="array" ref="J2068">sentimentCalc(B2068)</f>
        <v>0</v>
      </c>
      <c r="K2068" t="str" cm="1">
        <f t="array" ref="K2068">sentimentCategory(J2068)</f>
        <v>Neutral</v>
      </c>
    </row>
    <row r="2069" spans="1:11" ht="17" x14ac:dyDescent="0.2">
      <c r="A2069" t="s">
        <v>5851</v>
      </c>
      <c r="B2069" s="1" t="s">
        <v>5852</v>
      </c>
      <c r="C2069" t="s">
        <v>34</v>
      </c>
      <c r="D2069" s="1" t="s">
        <v>5853</v>
      </c>
      <c r="E2069" t="b">
        <v>0</v>
      </c>
      <c r="F2069">
        <v>3250</v>
      </c>
      <c r="G2069">
        <v>1002</v>
      </c>
      <c r="H2069" t="s">
        <v>11</v>
      </c>
      <c r="I2069" t="b">
        <v>0</v>
      </c>
      <c r="J2069" cm="1">
        <f t="array" ref="J2069">sentimentCalc(B2069)</f>
        <v>0</v>
      </c>
      <c r="K2069" t="str" cm="1">
        <f t="array" ref="K2069">sentimentCategory(J2069)</f>
        <v>Neutral</v>
      </c>
    </row>
    <row r="2070" spans="1:11" ht="17" x14ac:dyDescent="0.2">
      <c r="A2070" t="s">
        <v>3551</v>
      </c>
      <c r="B2070" s="1" t="s">
        <v>3552</v>
      </c>
      <c r="C2070" t="s">
        <v>3553</v>
      </c>
      <c r="D2070" s="1" t="s">
        <v>2</v>
      </c>
      <c r="E2070" t="b">
        <v>0</v>
      </c>
      <c r="F2070">
        <v>58</v>
      </c>
      <c r="G2070">
        <v>32</v>
      </c>
      <c r="H2070" t="s">
        <v>11</v>
      </c>
      <c r="I2070" t="b">
        <v>0</v>
      </c>
      <c r="J2070" cm="1">
        <f t="array" ref="J2070">sentimentCalc(B2070)</f>
        <v>0</v>
      </c>
      <c r="K2070" t="str" cm="1">
        <f t="array" ref="K2070">sentimentCategory(J2070)</f>
        <v>Neutral</v>
      </c>
    </row>
    <row r="2071" spans="1:11" ht="34" x14ac:dyDescent="0.2">
      <c r="A2071" t="s">
        <v>1349</v>
      </c>
      <c r="B2071" s="1" t="s">
        <v>1350</v>
      </c>
      <c r="C2071" t="s">
        <v>557</v>
      </c>
      <c r="D2071" s="1" t="s">
        <v>659</v>
      </c>
      <c r="E2071" t="b">
        <v>0</v>
      </c>
      <c r="F2071">
        <v>222</v>
      </c>
      <c r="G2071">
        <v>793</v>
      </c>
      <c r="H2071" t="s">
        <v>11</v>
      </c>
      <c r="I2071" t="b">
        <v>0</v>
      </c>
      <c r="J2071" cm="1">
        <f t="array" ref="J2071">sentimentCalc(B2071)</f>
        <v>0</v>
      </c>
      <c r="K2071" t="str" cm="1">
        <f t="array" ref="K2071">sentimentCategory(J2071)</f>
        <v>Neutral</v>
      </c>
    </row>
    <row r="2072" spans="1:11" ht="17" x14ac:dyDescent="0.2">
      <c r="A2072" t="s">
        <v>2337</v>
      </c>
      <c r="B2072" s="1" t="s">
        <v>2338</v>
      </c>
      <c r="C2072" t="s">
        <v>1015</v>
      </c>
      <c r="D2072" s="1" t="s">
        <v>2339</v>
      </c>
      <c r="E2072" t="b">
        <v>0</v>
      </c>
      <c r="F2072">
        <v>98</v>
      </c>
      <c r="G2072">
        <v>134</v>
      </c>
      <c r="H2072" t="s">
        <v>11</v>
      </c>
      <c r="I2072" t="b">
        <v>0</v>
      </c>
      <c r="J2072" cm="1">
        <f t="array" ref="J2072">sentimentCalc(B2072)</f>
        <v>1</v>
      </c>
      <c r="K2072" t="str" cm="1">
        <f t="array" ref="K2072">sentimentCategory(J2072)</f>
        <v>Positive</v>
      </c>
    </row>
    <row r="2073" spans="1:11" ht="17" x14ac:dyDescent="0.2">
      <c r="A2073" t="s">
        <v>6848</v>
      </c>
      <c r="B2073" s="1" t="s">
        <v>6849</v>
      </c>
      <c r="C2073" t="s">
        <v>2729</v>
      </c>
      <c r="D2073" s="1" t="s">
        <v>2</v>
      </c>
      <c r="E2073" t="b">
        <v>0</v>
      </c>
      <c r="F2073">
        <v>526</v>
      </c>
      <c r="G2073">
        <v>568</v>
      </c>
      <c r="H2073" t="s">
        <v>11</v>
      </c>
      <c r="I2073" t="b">
        <v>0</v>
      </c>
      <c r="J2073" cm="1">
        <f t="array" ref="J2073">sentimentCalc(B2073)</f>
        <v>0</v>
      </c>
      <c r="K2073" t="str" cm="1">
        <f t="array" ref="K2073">sentimentCategory(J2073)</f>
        <v>Neutral</v>
      </c>
    </row>
    <row r="2074" spans="1:11" ht="17" x14ac:dyDescent="0.2">
      <c r="A2074" t="s">
        <v>5998</v>
      </c>
      <c r="B2074" s="1" t="s">
        <v>5999</v>
      </c>
      <c r="C2074" t="s">
        <v>682</v>
      </c>
      <c r="D2074" s="1" t="s">
        <v>6000</v>
      </c>
      <c r="E2074" t="b">
        <v>0</v>
      </c>
      <c r="F2074">
        <v>34</v>
      </c>
      <c r="G2074">
        <v>225</v>
      </c>
      <c r="H2074" t="s">
        <v>11</v>
      </c>
      <c r="I2074" t="b">
        <v>0</v>
      </c>
      <c r="J2074" cm="1">
        <f t="array" ref="J2074">sentimentCalc(B2074)</f>
        <v>0</v>
      </c>
      <c r="K2074" t="str" cm="1">
        <f t="array" ref="K2074">sentimentCategory(J2074)</f>
        <v>Neutral</v>
      </c>
    </row>
    <row r="2075" spans="1:11" ht="17" x14ac:dyDescent="0.2">
      <c r="A2075" t="s">
        <v>2913</v>
      </c>
      <c r="B2075" s="1" t="s">
        <v>2914</v>
      </c>
      <c r="C2075" t="s">
        <v>2915</v>
      </c>
      <c r="D2075" s="1" t="s">
        <v>1844</v>
      </c>
      <c r="E2075" t="b">
        <v>0</v>
      </c>
      <c r="F2075">
        <v>1415</v>
      </c>
      <c r="G2075">
        <v>472</v>
      </c>
      <c r="H2075" t="s">
        <v>11</v>
      </c>
      <c r="I2075" t="b">
        <v>0</v>
      </c>
      <c r="J2075" cm="1">
        <f t="array" ref="J2075">sentimentCalc(B2075)</f>
        <v>0</v>
      </c>
      <c r="K2075" t="str" cm="1">
        <f t="array" ref="K2075">sentimentCategory(J2075)</f>
        <v>Neutral</v>
      </c>
    </row>
    <row r="2076" spans="1:11" ht="34" x14ac:dyDescent="0.2">
      <c r="A2076" t="s">
        <v>780</v>
      </c>
      <c r="B2076" s="1" t="s">
        <v>781</v>
      </c>
      <c r="C2076" t="s">
        <v>782</v>
      </c>
      <c r="D2076" s="1" t="s">
        <v>2</v>
      </c>
      <c r="E2076" t="b">
        <v>0</v>
      </c>
      <c r="F2076">
        <v>17</v>
      </c>
      <c r="G2076">
        <v>167</v>
      </c>
      <c r="H2076" t="s">
        <v>11</v>
      </c>
      <c r="I2076" t="b">
        <v>0</v>
      </c>
      <c r="J2076" cm="1">
        <f t="array" ref="J2076">sentimentCalc(B2076)</f>
        <v>2</v>
      </c>
      <c r="K2076" t="str" cm="1">
        <f t="array" ref="K2076">sentimentCategory(J2076)</f>
        <v>Positive</v>
      </c>
    </row>
    <row r="2077" spans="1:11" ht="17" x14ac:dyDescent="0.2">
      <c r="A2077" t="s">
        <v>3958</v>
      </c>
      <c r="B2077" s="1" t="s">
        <v>3959</v>
      </c>
      <c r="C2077" t="s">
        <v>1099</v>
      </c>
      <c r="D2077" s="1" t="s">
        <v>2167</v>
      </c>
      <c r="E2077" t="b">
        <v>0</v>
      </c>
      <c r="F2077">
        <v>5</v>
      </c>
      <c r="G2077">
        <v>24</v>
      </c>
      <c r="H2077" t="s">
        <v>11</v>
      </c>
      <c r="I2077" t="b">
        <v>0</v>
      </c>
      <c r="J2077" cm="1">
        <f t="array" ref="J2077">sentimentCalc(B2077)</f>
        <v>1</v>
      </c>
      <c r="K2077" t="str" cm="1">
        <f t="array" ref="K2077">sentimentCategory(J2077)</f>
        <v>Positive</v>
      </c>
    </row>
    <row r="2078" spans="1:11" ht="17" x14ac:dyDescent="0.2">
      <c r="A2078" t="s">
        <v>213</v>
      </c>
      <c r="B2078" s="1" t="s">
        <v>214</v>
      </c>
      <c r="C2078" t="s">
        <v>215</v>
      </c>
      <c r="D2078" s="1" t="s">
        <v>216</v>
      </c>
      <c r="E2078" t="b">
        <v>0</v>
      </c>
      <c r="F2078">
        <v>61</v>
      </c>
      <c r="G2078">
        <v>121</v>
      </c>
      <c r="H2078" t="s">
        <v>11</v>
      </c>
      <c r="I2078" t="b">
        <v>0</v>
      </c>
      <c r="J2078" cm="1">
        <f t="array" ref="J2078">sentimentCalc(B2078)</f>
        <v>0</v>
      </c>
      <c r="K2078" t="str" cm="1">
        <f t="array" ref="K2078">sentimentCategory(J2078)</f>
        <v>Neutral</v>
      </c>
    </row>
    <row r="2079" spans="1:11" ht="34" x14ac:dyDescent="0.2">
      <c r="A2079" t="s">
        <v>4716</v>
      </c>
      <c r="B2079" s="1" t="s">
        <v>4717</v>
      </c>
      <c r="C2079" t="s">
        <v>4718</v>
      </c>
      <c r="D2079" s="1" t="s">
        <v>3814</v>
      </c>
      <c r="E2079" t="b">
        <v>0</v>
      </c>
      <c r="F2079">
        <v>90</v>
      </c>
      <c r="G2079">
        <v>444</v>
      </c>
      <c r="H2079" t="s">
        <v>11</v>
      </c>
      <c r="I2079" t="b">
        <v>0</v>
      </c>
      <c r="J2079" cm="1">
        <f t="array" ref="J2079">sentimentCalc(B2079)</f>
        <v>1</v>
      </c>
      <c r="K2079" t="str" cm="1">
        <f t="array" ref="K2079">sentimentCategory(J2079)</f>
        <v>Positive</v>
      </c>
    </row>
    <row r="2080" spans="1:11" ht="34" x14ac:dyDescent="0.2">
      <c r="A2080" t="s">
        <v>6088</v>
      </c>
      <c r="B2080" s="1" t="s">
        <v>6089</v>
      </c>
      <c r="C2080" t="s">
        <v>1287</v>
      </c>
      <c r="D2080" s="1" t="s">
        <v>6090</v>
      </c>
      <c r="E2080" t="b">
        <v>0</v>
      </c>
      <c r="F2080">
        <v>118</v>
      </c>
      <c r="G2080">
        <v>180</v>
      </c>
      <c r="H2080" t="s">
        <v>11</v>
      </c>
      <c r="I2080" t="b">
        <v>0</v>
      </c>
      <c r="J2080" cm="1">
        <f t="array" ref="J2080">sentimentCalc(B2080)</f>
        <v>0</v>
      </c>
      <c r="K2080" t="str" cm="1">
        <f t="array" ref="K2080">sentimentCategory(J2080)</f>
        <v>Neutral</v>
      </c>
    </row>
    <row r="2081" spans="1:11" ht="17" x14ac:dyDescent="0.2">
      <c r="A2081" t="s">
        <v>1922</v>
      </c>
      <c r="B2081" s="1" t="s">
        <v>1923</v>
      </c>
      <c r="C2081" t="s">
        <v>1924</v>
      </c>
      <c r="D2081" s="1" t="s">
        <v>2</v>
      </c>
      <c r="E2081" t="b">
        <v>0</v>
      </c>
      <c r="F2081">
        <v>5841</v>
      </c>
      <c r="G2081">
        <v>5841</v>
      </c>
      <c r="H2081" t="s">
        <v>3</v>
      </c>
      <c r="I2081" t="b">
        <v>0</v>
      </c>
      <c r="J2081" cm="1">
        <f t="array" ref="J2081">sentimentCalc(B2081)</f>
        <v>0</v>
      </c>
      <c r="K2081" t="str" cm="1">
        <f t="array" ref="K2081">sentimentCategory(J2081)</f>
        <v>Neutral</v>
      </c>
    </row>
    <row r="2082" spans="1:11" ht="17" x14ac:dyDescent="0.2">
      <c r="A2082" t="s">
        <v>503</v>
      </c>
      <c r="B2082" s="1" t="s">
        <v>504</v>
      </c>
      <c r="C2082" t="s">
        <v>505</v>
      </c>
      <c r="D2082" s="1" t="s">
        <v>506</v>
      </c>
      <c r="E2082" t="b">
        <v>0</v>
      </c>
      <c r="F2082">
        <v>95</v>
      </c>
      <c r="G2082">
        <v>285</v>
      </c>
      <c r="H2082" t="s">
        <v>11</v>
      </c>
      <c r="I2082" t="b">
        <v>0</v>
      </c>
      <c r="J2082" cm="1">
        <f t="array" ref="J2082">sentimentCalc(B2082)</f>
        <v>0</v>
      </c>
      <c r="K2082" t="str" cm="1">
        <f t="array" ref="K2082">sentimentCategory(J2082)</f>
        <v>Neutral</v>
      </c>
    </row>
    <row r="2083" spans="1:11" ht="17" x14ac:dyDescent="0.2">
      <c r="A2083" t="s">
        <v>1577</v>
      </c>
      <c r="B2083" s="1" t="s">
        <v>1578</v>
      </c>
      <c r="C2083" t="s">
        <v>1579</v>
      </c>
      <c r="D2083" s="1" t="s">
        <v>2</v>
      </c>
      <c r="E2083" t="b">
        <v>0</v>
      </c>
      <c r="F2083">
        <v>57</v>
      </c>
      <c r="G2083">
        <v>108</v>
      </c>
      <c r="H2083" t="s">
        <v>1580</v>
      </c>
      <c r="I2083" t="b">
        <v>0</v>
      </c>
      <c r="J2083" cm="1">
        <f t="array" ref="J2083">sentimentCalc(B2083)</f>
        <v>0</v>
      </c>
      <c r="K2083" t="str" cm="1">
        <f t="array" ref="K2083">sentimentCategory(J2083)</f>
        <v>Neutral</v>
      </c>
    </row>
    <row r="2084" spans="1:11" ht="17" x14ac:dyDescent="0.2">
      <c r="A2084" t="s">
        <v>1655</v>
      </c>
      <c r="B2084" s="1" t="s">
        <v>1656</v>
      </c>
      <c r="C2084" t="s">
        <v>1657</v>
      </c>
      <c r="D2084" s="1" t="s">
        <v>2</v>
      </c>
      <c r="E2084" t="b">
        <v>0</v>
      </c>
      <c r="F2084">
        <v>97</v>
      </c>
      <c r="G2084">
        <v>727</v>
      </c>
      <c r="H2084" t="s">
        <v>11</v>
      </c>
      <c r="I2084" t="b">
        <v>0</v>
      </c>
      <c r="J2084" cm="1">
        <f t="array" ref="J2084">sentimentCalc(B2084)</f>
        <v>0</v>
      </c>
      <c r="K2084" t="str" cm="1">
        <f t="array" ref="K2084">sentimentCategory(J2084)</f>
        <v>Neutral</v>
      </c>
    </row>
    <row r="2085" spans="1:11" ht="34" x14ac:dyDescent="0.2">
      <c r="A2085" t="s">
        <v>964</v>
      </c>
      <c r="B2085" s="1" t="s">
        <v>965</v>
      </c>
      <c r="C2085" t="s">
        <v>564</v>
      </c>
      <c r="D2085" s="1" t="s">
        <v>2</v>
      </c>
      <c r="E2085" t="b">
        <v>0</v>
      </c>
      <c r="F2085">
        <v>7</v>
      </c>
      <c r="G2085">
        <v>78</v>
      </c>
      <c r="H2085" t="s">
        <v>11</v>
      </c>
      <c r="I2085" t="b">
        <v>0</v>
      </c>
      <c r="J2085" cm="1">
        <f t="array" ref="J2085">sentimentCalc(B2085)</f>
        <v>1</v>
      </c>
      <c r="K2085" t="str" cm="1">
        <f t="array" ref="K2085">sentimentCategory(J2085)</f>
        <v>Positive</v>
      </c>
    </row>
    <row r="2086" spans="1:11" ht="34" x14ac:dyDescent="0.2">
      <c r="A2086" t="s">
        <v>662</v>
      </c>
      <c r="B2086" s="1" t="s">
        <v>663</v>
      </c>
      <c r="C2086" t="s">
        <v>181</v>
      </c>
      <c r="D2086" s="1" t="s">
        <v>664</v>
      </c>
      <c r="E2086" t="b">
        <v>1</v>
      </c>
      <c r="F2086">
        <v>46227</v>
      </c>
      <c r="G2086">
        <v>2125</v>
      </c>
      <c r="H2086" t="s">
        <v>11</v>
      </c>
      <c r="I2086" t="b">
        <v>0</v>
      </c>
      <c r="J2086" cm="1">
        <f t="array" ref="J2086">sentimentCalc(B2086)</f>
        <v>0</v>
      </c>
      <c r="K2086" t="str" cm="1">
        <f t="array" ref="K2086">sentimentCategory(J2086)</f>
        <v>Neutral</v>
      </c>
    </row>
    <row r="2087" spans="1:11" ht="17" x14ac:dyDescent="0.2">
      <c r="A2087" t="s">
        <v>1941</v>
      </c>
      <c r="B2087" s="1" t="s">
        <v>1942</v>
      </c>
      <c r="C2087" t="s">
        <v>1943</v>
      </c>
      <c r="D2087" s="1" t="s">
        <v>1348</v>
      </c>
      <c r="E2087" t="b">
        <v>0</v>
      </c>
      <c r="F2087">
        <v>6738</v>
      </c>
      <c r="G2087">
        <v>7165</v>
      </c>
      <c r="H2087" t="s">
        <v>3</v>
      </c>
      <c r="I2087" t="b">
        <v>0</v>
      </c>
      <c r="J2087" cm="1">
        <f t="array" ref="J2087">sentimentCalc(B2087)</f>
        <v>1</v>
      </c>
      <c r="K2087" t="str" cm="1">
        <f t="array" ref="K2087">sentimentCategory(J2087)</f>
        <v>Positive</v>
      </c>
    </row>
    <row r="2088" spans="1:11" ht="17" x14ac:dyDescent="0.2">
      <c r="A2088" t="s">
        <v>3821</v>
      </c>
      <c r="B2088" s="1" t="s">
        <v>3822</v>
      </c>
      <c r="C2088" t="s">
        <v>3072</v>
      </c>
      <c r="D2088" s="1" t="s">
        <v>61</v>
      </c>
      <c r="E2088" t="b">
        <v>0</v>
      </c>
      <c r="F2088">
        <v>31</v>
      </c>
      <c r="G2088">
        <v>116</v>
      </c>
      <c r="H2088" t="s">
        <v>11</v>
      </c>
      <c r="I2088" t="b">
        <v>0</v>
      </c>
      <c r="J2088" cm="1">
        <f t="array" ref="J2088">sentimentCalc(B2088)</f>
        <v>0</v>
      </c>
      <c r="K2088" t="str" cm="1">
        <f t="array" ref="K2088">sentimentCategory(J2088)</f>
        <v>Neutral</v>
      </c>
    </row>
    <row r="2089" spans="1:11" ht="17" x14ac:dyDescent="0.2">
      <c r="A2089" t="s">
        <v>2961</v>
      </c>
      <c r="B2089" s="1" t="s">
        <v>2962</v>
      </c>
      <c r="C2089" t="s">
        <v>265</v>
      </c>
      <c r="D2089" s="1" t="s">
        <v>2</v>
      </c>
      <c r="E2089" t="b">
        <v>0</v>
      </c>
      <c r="F2089">
        <v>15</v>
      </c>
      <c r="G2089">
        <v>139</v>
      </c>
      <c r="H2089" t="s">
        <v>370</v>
      </c>
      <c r="I2089" t="b">
        <v>0</v>
      </c>
      <c r="J2089" cm="1">
        <f t="array" ref="J2089">sentimentCalc(B2089)</f>
        <v>0</v>
      </c>
      <c r="K2089" t="str" cm="1">
        <f t="array" ref="K2089">sentimentCategory(J2089)</f>
        <v>Neutral</v>
      </c>
    </row>
    <row r="2090" spans="1:11" ht="17" x14ac:dyDescent="0.2">
      <c r="A2090" t="s">
        <v>4889</v>
      </c>
      <c r="B2090" s="1" t="s">
        <v>4890</v>
      </c>
      <c r="C2090" t="s">
        <v>4891</v>
      </c>
      <c r="D2090" s="1" t="s">
        <v>2</v>
      </c>
      <c r="E2090" t="b">
        <v>0</v>
      </c>
      <c r="F2090">
        <v>1061</v>
      </c>
      <c r="G2090">
        <v>792</v>
      </c>
      <c r="H2090" t="s">
        <v>11</v>
      </c>
      <c r="I2090" t="b">
        <v>0</v>
      </c>
      <c r="J2090" cm="1">
        <f t="array" ref="J2090">sentimentCalc(B2090)</f>
        <v>0</v>
      </c>
      <c r="K2090" t="str" cm="1">
        <f t="array" ref="K2090">sentimentCategory(J2090)</f>
        <v>Neutral</v>
      </c>
    </row>
    <row r="2091" spans="1:11" ht="17" x14ac:dyDescent="0.2">
      <c r="A2091" t="s">
        <v>7260</v>
      </c>
      <c r="B2091" s="1" t="s">
        <v>0</v>
      </c>
      <c r="C2091" t="s">
        <v>1</v>
      </c>
      <c r="D2091" s="1" t="s">
        <v>2</v>
      </c>
      <c r="E2091" t="b">
        <v>0</v>
      </c>
      <c r="F2091">
        <v>1597</v>
      </c>
      <c r="G2091">
        <v>17</v>
      </c>
      <c r="H2091" t="s">
        <v>3</v>
      </c>
      <c r="I2091" t="b">
        <v>0</v>
      </c>
      <c r="J2091" cm="1">
        <f t="array" ref="J2091">sentimentCalc(B2091)</f>
        <v>1</v>
      </c>
      <c r="K2091" t="str" cm="1">
        <f t="array" ref="K2091">sentimentCategory(J2091)</f>
        <v>Positive</v>
      </c>
    </row>
    <row r="2092" spans="1:11" ht="17" x14ac:dyDescent="0.2">
      <c r="A2092" t="s">
        <v>1945</v>
      </c>
      <c r="B2092" s="1" t="s">
        <v>1946</v>
      </c>
      <c r="C2092" t="s">
        <v>1947</v>
      </c>
      <c r="D2092" s="1" t="s">
        <v>2</v>
      </c>
      <c r="E2092" t="b">
        <v>0</v>
      </c>
      <c r="F2092">
        <v>178</v>
      </c>
      <c r="G2092">
        <v>814</v>
      </c>
      <c r="H2092" t="s">
        <v>11</v>
      </c>
      <c r="I2092" t="b">
        <v>0</v>
      </c>
      <c r="J2092" cm="1">
        <f t="array" ref="J2092">sentimentCalc(B2092)</f>
        <v>0</v>
      </c>
      <c r="K2092" t="str" cm="1">
        <f t="array" ref="K2092">sentimentCategory(J2092)</f>
        <v>Neutral</v>
      </c>
    </row>
    <row r="2093" spans="1:11" ht="17" x14ac:dyDescent="0.2">
      <c r="A2093" t="s">
        <v>16</v>
      </c>
      <c r="B2093" s="1" t="s">
        <v>17</v>
      </c>
      <c r="C2093" t="s">
        <v>18</v>
      </c>
      <c r="D2093" s="1" t="s">
        <v>19</v>
      </c>
      <c r="E2093" t="b">
        <v>0</v>
      </c>
      <c r="F2093">
        <v>1164</v>
      </c>
      <c r="G2093">
        <v>1998</v>
      </c>
      <c r="H2093" t="s">
        <v>11</v>
      </c>
      <c r="I2093" t="b">
        <v>0</v>
      </c>
      <c r="J2093" cm="1">
        <f t="array" ref="J2093">sentimentCalc(B2093)</f>
        <v>0</v>
      </c>
      <c r="K2093" t="str" cm="1">
        <f t="array" ref="K2093">sentimentCategory(J2093)</f>
        <v>Neutral</v>
      </c>
    </row>
    <row r="2094" spans="1:11" ht="17" x14ac:dyDescent="0.2">
      <c r="A2094" t="s">
        <v>5574</v>
      </c>
      <c r="B2094" s="1" t="s">
        <v>5575</v>
      </c>
      <c r="C2094" t="s">
        <v>4601</v>
      </c>
      <c r="D2094" s="1" t="s">
        <v>5576</v>
      </c>
      <c r="E2094" t="b">
        <v>0</v>
      </c>
      <c r="F2094">
        <v>517</v>
      </c>
      <c r="G2094">
        <v>850</v>
      </c>
      <c r="H2094" t="s">
        <v>11</v>
      </c>
      <c r="I2094" t="b">
        <v>0</v>
      </c>
      <c r="J2094" cm="1">
        <f t="array" ref="J2094">sentimentCalc(B2094)</f>
        <v>1</v>
      </c>
      <c r="K2094" t="str" cm="1">
        <f t="array" ref="K2094">sentimentCategory(J2094)</f>
        <v>Positive</v>
      </c>
    </row>
    <row r="2095" spans="1:11" ht="34" x14ac:dyDescent="0.2">
      <c r="A2095" t="s">
        <v>5623</v>
      </c>
      <c r="B2095" s="1" t="s">
        <v>5624</v>
      </c>
      <c r="C2095" t="s">
        <v>584</v>
      </c>
      <c r="D2095" s="1" t="s">
        <v>2</v>
      </c>
      <c r="E2095" t="b">
        <v>0</v>
      </c>
      <c r="F2095">
        <v>8724</v>
      </c>
      <c r="G2095">
        <v>268</v>
      </c>
      <c r="H2095" t="s">
        <v>11</v>
      </c>
      <c r="I2095" t="b">
        <v>0</v>
      </c>
      <c r="J2095" cm="1">
        <f t="array" ref="J2095">sentimentCalc(B2095)</f>
        <v>0</v>
      </c>
      <c r="K2095" t="str" cm="1">
        <f t="array" ref="K2095">sentimentCategory(J2095)</f>
        <v>Neutral</v>
      </c>
    </row>
    <row r="2096" spans="1:11" ht="17" x14ac:dyDescent="0.2">
      <c r="A2096" t="s">
        <v>4450</v>
      </c>
      <c r="B2096" s="1" t="s">
        <v>4451</v>
      </c>
      <c r="C2096" t="s">
        <v>4452</v>
      </c>
      <c r="D2096" s="1" t="s">
        <v>4453</v>
      </c>
      <c r="E2096" t="b">
        <v>0</v>
      </c>
      <c r="F2096">
        <v>2685</v>
      </c>
      <c r="G2096">
        <v>1091</v>
      </c>
      <c r="H2096" t="s">
        <v>11</v>
      </c>
      <c r="I2096" t="b">
        <v>0</v>
      </c>
      <c r="J2096" cm="1">
        <f t="array" ref="J2096">sentimentCalc(B2096)</f>
        <v>0</v>
      </c>
      <c r="K2096" t="str" cm="1">
        <f t="array" ref="K2096">sentimentCategory(J2096)</f>
        <v>Neutral</v>
      </c>
    </row>
    <row r="2097" spans="1:11" ht="34" x14ac:dyDescent="0.2">
      <c r="A2097" t="s">
        <v>4332</v>
      </c>
      <c r="B2097" s="1" t="s">
        <v>4333</v>
      </c>
      <c r="C2097" t="s">
        <v>1564</v>
      </c>
      <c r="D2097" s="1" t="s">
        <v>4334</v>
      </c>
      <c r="E2097" t="b">
        <v>0</v>
      </c>
      <c r="F2097">
        <v>21</v>
      </c>
      <c r="G2097">
        <v>132</v>
      </c>
      <c r="H2097" t="s">
        <v>11</v>
      </c>
      <c r="I2097" t="b">
        <v>0</v>
      </c>
      <c r="J2097" cm="1">
        <f t="array" ref="J2097">sentimentCalc(B2097)</f>
        <v>0</v>
      </c>
      <c r="K2097" t="str" cm="1">
        <f t="array" ref="K2097">sentimentCategory(J2097)</f>
        <v>Neutral</v>
      </c>
    </row>
    <row r="2098" spans="1:11" ht="17" x14ac:dyDescent="0.2">
      <c r="A2098" t="s">
        <v>6511</v>
      </c>
      <c r="B2098" s="1" t="s">
        <v>6512</v>
      </c>
      <c r="C2098" t="s">
        <v>2554</v>
      </c>
      <c r="D2098" s="1" t="s">
        <v>2</v>
      </c>
      <c r="E2098" t="b">
        <v>0</v>
      </c>
      <c r="F2098">
        <v>38</v>
      </c>
      <c r="G2098">
        <v>274</v>
      </c>
      <c r="H2098" t="s">
        <v>863</v>
      </c>
      <c r="I2098" t="b">
        <v>0</v>
      </c>
      <c r="J2098" cm="1">
        <f t="array" ref="J2098">sentimentCalc(B2098)</f>
        <v>0</v>
      </c>
      <c r="K2098" t="str" cm="1">
        <f t="array" ref="K2098">sentimentCategory(J2098)</f>
        <v>Neutral</v>
      </c>
    </row>
    <row r="2099" spans="1:11" ht="17" x14ac:dyDescent="0.2">
      <c r="A2099" t="s">
        <v>3918</v>
      </c>
      <c r="B2099" s="1" t="s">
        <v>3919</v>
      </c>
      <c r="C2099" t="s">
        <v>244</v>
      </c>
      <c r="D2099" s="1" t="s">
        <v>3920</v>
      </c>
      <c r="E2099" t="b">
        <v>0</v>
      </c>
      <c r="F2099">
        <v>139</v>
      </c>
      <c r="G2099">
        <v>447</v>
      </c>
      <c r="H2099" t="s">
        <v>338</v>
      </c>
      <c r="I2099" t="b">
        <v>0</v>
      </c>
      <c r="J2099" cm="1">
        <f t="array" ref="J2099">sentimentCalc(B2099)</f>
        <v>1</v>
      </c>
      <c r="K2099" t="str" cm="1">
        <f t="array" ref="K2099">sentimentCategory(J2099)</f>
        <v>Positive</v>
      </c>
    </row>
    <row r="2100" spans="1:11" ht="34" x14ac:dyDescent="0.2">
      <c r="A2100" t="s">
        <v>3803</v>
      </c>
      <c r="B2100" s="1" t="s">
        <v>3804</v>
      </c>
      <c r="C2100" t="s">
        <v>3805</v>
      </c>
      <c r="D2100" s="1" t="s">
        <v>2</v>
      </c>
      <c r="E2100" t="b">
        <v>0</v>
      </c>
      <c r="F2100">
        <v>500</v>
      </c>
      <c r="G2100">
        <v>510</v>
      </c>
      <c r="H2100" t="s">
        <v>11</v>
      </c>
      <c r="I2100" t="b">
        <v>0</v>
      </c>
      <c r="J2100" cm="1">
        <f t="array" ref="J2100">sentimentCalc(B2100)</f>
        <v>1</v>
      </c>
      <c r="K2100" t="str" cm="1">
        <f t="array" ref="K2100">sentimentCategory(J2100)</f>
        <v>Positive</v>
      </c>
    </row>
    <row r="2101" spans="1:11" ht="17" x14ac:dyDescent="0.2">
      <c r="A2101" t="s">
        <v>5960</v>
      </c>
      <c r="B2101" s="1" t="s">
        <v>5961</v>
      </c>
      <c r="C2101" t="s">
        <v>5962</v>
      </c>
      <c r="D2101" s="1" t="s">
        <v>5963</v>
      </c>
      <c r="E2101" t="b">
        <v>0</v>
      </c>
      <c r="F2101">
        <v>58</v>
      </c>
      <c r="G2101">
        <v>32</v>
      </c>
      <c r="H2101" t="s">
        <v>11</v>
      </c>
      <c r="I2101" t="b">
        <v>0</v>
      </c>
      <c r="J2101" cm="1">
        <f t="array" ref="J2101">sentimentCalc(B2101)</f>
        <v>0</v>
      </c>
      <c r="K2101" t="str" cm="1">
        <f t="array" ref="K2101">sentimentCategory(J2101)</f>
        <v>Neutral</v>
      </c>
    </row>
    <row r="2102" spans="1:11" ht="17" x14ac:dyDescent="0.2">
      <c r="A2102" t="s">
        <v>1776</v>
      </c>
      <c r="B2102" s="1" t="s">
        <v>1777</v>
      </c>
      <c r="C2102" t="s">
        <v>289</v>
      </c>
      <c r="D2102" s="1" t="s">
        <v>2</v>
      </c>
      <c r="E2102" t="b">
        <v>0</v>
      </c>
      <c r="F2102">
        <v>3633</v>
      </c>
      <c r="G2102">
        <v>3731</v>
      </c>
      <c r="H2102" t="s">
        <v>11</v>
      </c>
      <c r="I2102" t="b">
        <v>0</v>
      </c>
      <c r="J2102" cm="1">
        <f t="array" ref="J2102">sentimentCalc(B2102)</f>
        <v>0</v>
      </c>
      <c r="K2102" t="str" cm="1">
        <f t="array" ref="K2102">sentimentCategory(J2102)</f>
        <v>Neutral</v>
      </c>
    </row>
    <row r="2103" spans="1:11" ht="17" x14ac:dyDescent="0.2">
      <c r="A2103" t="s">
        <v>3599</v>
      </c>
      <c r="B2103" s="1" t="s">
        <v>3600</v>
      </c>
      <c r="C2103" t="s">
        <v>275</v>
      </c>
      <c r="D2103" s="1" t="s">
        <v>3601</v>
      </c>
      <c r="E2103" t="b">
        <v>0</v>
      </c>
      <c r="F2103">
        <v>1</v>
      </c>
      <c r="G2103">
        <v>9</v>
      </c>
      <c r="H2103" t="s">
        <v>11</v>
      </c>
      <c r="I2103" t="b">
        <v>0</v>
      </c>
      <c r="J2103" cm="1">
        <f t="array" ref="J2103">sentimentCalc(B2103)</f>
        <v>0</v>
      </c>
      <c r="K2103" t="str" cm="1">
        <f t="array" ref="K2103">sentimentCategory(J2103)</f>
        <v>Neutral</v>
      </c>
    </row>
    <row r="2104" spans="1:11" ht="34" x14ac:dyDescent="0.2">
      <c r="A2104" t="s">
        <v>4175</v>
      </c>
      <c r="B2104" s="1" t="s">
        <v>4176</v>
      </c>
      <c r="C2104" t="s">
        <v>2486</v>
      </c>
      <c r="D2104" s="1" t="s">
        <v>4177</v>
      </c>
      <c r="E2104" t="b">
        <v>1</v>
      </c>
      <c r="F2104">
        <v>26488</v>
      </c>
      <c r="G2104">
        <v>4858</v>
      </c>
      <c r="H2104" t="s">
        <v>11</v>
      </c>
      <c r="I2104" t="b">
        <v>0</v>
      </c>
      <c r="J2104" cm="1">
        <f t="array" ref="J2104">sentimentCalc(B2104)</f>
        <v>0</v>
      </c>
      <c r="K2104" t="str" cm="1">
        <f t="array" ref="K2104">sentimentCategory(J2104)</f>
        <v>Neutral</v>
      </c>
    </row>
    <row r="2105" spans="1:11" ht="17" x14ac:dyDescent="0.2">
      <c r="A2105" t="s">
        <v>4212</v>
      </c>
      <c r="B2105" s="1" t="s">
        <v>4213</v>
      </c>
      <c r="C2105" t="s">
        <v>4214</v>
      </c>
      <c r="D2105" s="1" t="s">
        <v>4215</v>
      </c>
      <c r="E2105" t="b">
        <v>0</v>
      </c>
      <c r="F2105">
        <v>9</v>
      </c>
      <c r="G2105">
        <v>47</v>
      </c>
      <c r="H2105" t="s">
        <v>11</v>
      </c>
      <c r="I2105" t="b">
        <v>0</v>
      </c>
      <c r="J2105" cm="1">
        <f t="array" ref="J2105">sentimentCalc(B2105)</f>
        <v>0</v>
      </c>
      <c r="K2105" t="str" cm="1">
        <f t="array" ref="K2105">sentimentCategory(J2105)</f>
        <v>Neutral</v>
      </c>
    </row>
    <row r="2106" spans="1:11" ht="17" x14ac:dyDescent="0.2">
      <c r="A2106" t="s">
        <v>6796</v>
      </c>
      <c r="B2106" s="1" t="s">
        <v>6797</v>
      </c>
      <c r="C2106" t="s">
        <v>6798</v>
      </c>
      <c r="D2106" s="1" t="s">
        <v>6799</v>
      </c>
      <c r="E2106" t="b">
        <v>0</v>
      </c>
      <c r="F2106">
        <v>1</v>
      </c>
      <c r="G2106">
        <v>3</v>
      </c>
      <c r="H2106" t="s">
        <v>11</v>
      </c>
      <c r="I2106" t="b">
        <v>0</v>
      </c>
      <c r="J2106" cm="1">
        <f t="array" ref="J2106">sentimentCalc(B2106)</f>
        <v>0</v>
      </c>
      <c r="K2106" t="str" cm="1">
        <f t="array" ref="K2106">sentimentCategory(J2106)</f>
        <v>Neutral</v>
      </c>
    </row>
    <row r="2107" spans="1:11" ht="17" x14ac:dyDescent="0.2">
      <c r="A2107" t="s">
        <v>6976</v>
      </c>
      <c r="B2107" s="1" t="s">
        <v>6977</v>
      </c>
      <c r="C2107" t="s">
        <v>1226</v>
      </c>
      <c r="D2107" s="1" t="s">
        <v>6932</v>
      </c>
      <c r="E2107" t="b">
        <v>0</v>
      </c>
      <c r="F2107">
        <v>485</v>
      </c>
      <c r="G2107">
        <v>1409</v>
      </c>
      <c r="H2107" t="s">
        <v>11</v>
      </c>
      <c r="I2107" t="b">
        <v>0</v>
      </c>
      <c r="J2107" cm="1">
        <f t="array" ref="J2107">sentimentCalc(B2107)</f>
        <v>0</v>
      </c>
      <c r="K2107" t="str" cm="1">
        <f t="array" ref="K2107">sentimentCategory(J2107)</f>
        <v>Neutral</v>
      </c>
    </row>
    <row r="2108" spans="1:11" ht="17" x14ac:dyDescent="0.2">
      <c r="A2108" t="s">
        <v>6552</v>
      </c>
      <c r="B2108" s="1" t="s">
        <v>6553</v>
      </c>
      <c r="C2108" t="s">
        <v>992</v>
      </c>
      <c r="D2108" s="1" t="s">
        <v>1073</v>
      </c>
      <c r="E2108" t="b">
        <v>0</v>
      </c>
      <c r="F2108">
        <v>28369</v>
      </c>
      <c r="G2108">
        <v>186</v>
      </c>
      <c r="H2108" t="s">
        <v>11</v>
      </c>
      <c r="I2108" t="b">
        <v>0</v>
      </c>
      <c r="J2108" cm="1">
        <f t="array" ref="J2108">sentimentCalc(B2108)</f>
        <v>0</v>
      </c>
      <c r="K2108" t="str" cm="1">
        <f t="array" ref="K2108">sentimentCategory(J2108)</f>
        <v>Neutral</v>
      </c>
    </row>
    <row r="2109" spans="1:11" ht="17" x14ac:dyDescent="0.2">
      <c r="A2109" t="s">
        <v>4621</v>
      </c>
      <c r="B2109" s="1" t="s">
        <v>4622</v>
      </c>
      <c r="C2109" t="s">
        <v>708</v>
      </c>
      <c r="D2109" s="1" t="s">
        <v>61</v>
      </c>
      <c r="E2109" t="b">
        <v>0</v>
      </c>
      <c r="F2109">
        <v>1944</v>
      </c>
      <c r="G2109">
        <v>2200</v>
      </c>
      <c r="H2109" t="s">
        <v>11</v>
      </c>
      <c r="I2109" t="b">
        <v>0</v>
      </c>
      <c r="J2109" cm="1">
        <f t="array" ref="J2109">sentimentCalc(B2109)</f>
        <v>0</v>
      </c>
      <c r="K2109" t="str" cm="1">
        <f t="array" ref="K2109">sentimentCategory(J2109)</f>
        <v>Neutral</v>
      </c>
    </row>
    <row r="2110" spans="1:11" ht="17" x14ac:dyDescent="0.2">
      <c r="A2110" t="s">
        <v>6301</v>
      </c>
      <c r="B2110" s="1" t="s">
        <v>6302</v>
      </c>
      <c r="C2110" t="s">
        <v>26</v>
      </c>
      <c r="D2110" s="1" t="s">
        <v>2</v>
      </c>
      <c r="E2110" t="b">
        <v>0</v>
      </c>
      <c r="F2110">
        <v>92</v>
      </c>
      <c r="G2110">
        <v>161</v>
      </c>
      <c r="H2110" t="s">
        <v>83</v>
      </c>
      <c r="I2110" t="b">
        <v>0</v>
      </c>
      <c r="J2110" cm="1">
        <f t="array" ref="J2110">sentimentCalc(B2110)</f>
        <v>0</v>
      </c>
      <c r="K2110" t="str" cm="1">
        <f t="array" ref="K2110">sentimentCategory(J2110)</f>
        <v>Neutral</v>
      </c>
    </row>
    <row r="2111" spans="1:11" ht="34" x14ac:dyDescent="0.2">
      <c r="A2111" t="s">
        <v>2843</v>
      </c>
      <c r="B2111" s="1" t="s">
        <v>2844</v>
      </c>
      <c r="C2111" t="s">
        <v>2600</v>
      </c>
      <c r="D2111" s="1" t="s">
        <v>2601</v>
      </c>
      <c r="E2111" t="b">
        <v>0</v>
      </c>
      <c r="F2111">
        <v>504</v>
      </c>
      <c r="G2111">
        <v>673</v>
      </c>
      <c r="H2111" t="s">
        <v>47</v>
      </c>
      <c r="I2111" t="b">
        <v>0</v>
      </c>
      <c r="J2111" cm="1">
        <f t="array" ref="J2111">sentimentCalc(B2111)</f>
        <v>0</v>
      </c>
      <c r="K2111" t="str" cm="1">
        <f t="array" ref="K2111">sentimentCategory(J2111)</f>
        <v>Neutral</v>
      </c>
    </row>
    <row r="2112" spans="1:11" ht="34" x14ac:dyDescent="0.2">
      <c r="A2112" t="s">
        <v>4092</v>
      </c>
      <c r="B2112" s="1" t="s">
        <v>4093</v>
      </c>
      <c r="C2112" t="s">
        <v>898</v>
      </c>
      <c r="D2112" s="1" t="s">
        <v>2</v>
      </c>
      <c r="E2112" t="b">
        <v>0</v>
      </c>
      <c r="F2112">
        <v>9</v>
      </c>
      <c r="G2112">
        <v>43</v>
      </c>
      <c r="H2112" t="s">
        <v>11</v>
      </c>
      <c r="I2112" t="b">
        <v>0</v>
      </c>
      <c r="J2112" cm="1">
        <f t="array" ref="J2112">sentimentCalc(B2112)</f>
        <v>0</v>
      </c>
      <c r="K2112" t="str" cm="1">
        <f t="array" ref="K2112">sentimentCategory(J2112)</f>
        <v>Neutral</v>
      </c>
    </row>
    <row r="2113" spans="1:11" ht="17" x14ac:dyDescent="0.2">
      <c r="A2113" t="s">
        <v>2462</v>
      </c>
      <c r="B2113" s="1" t="s">
        <v>2463</v>
      </c>
      <c r="C2113" t="s">
        <v>1158</v>
      </c>
      <c r="D2113" s="1" t="s">
        <v>2</v>
      </c>
      <c r="E2113" t="b">
        <v>0</v>
      </c>
      <c r="F2113">
        <v>270</v>
      </c>
      <c r="G2113">
        <v>96</v>
      </c>
      <c r="H2113" t="s">
        <v>641</v>
      </c>
      <c r="I2113" t="b">
        <v>0</v>
      </c>
      <c r="J2113" cm="1">
        <f t="array" ref="J2113">sentimentCalc(B2113)</f>
        <v>0</v>
      </c>
      <c r="K2113" t="str" cm="1">
        <f t="array" ref="K2113">sentimentCategory(J2113)</f>
        <v>Neutral</v>
      </c>
    </row>
    <row r="2114" spans="1:11" ht="34" x14ac:dyDescent="0.2">
      <c r="A2114" t="s">
        <v>6758</v>
      </c>
      <c r="B2114" s="1" t="s">
        <v>6761</v>
      </c>
      <c r="C2114" t="s">
        <v>6762</v>
      </c>
      <c r="D2114" s="1" t="s">
        <v>2</v>
      </c>
      <c r="E2114" t="b">
        <v>0</v>
      </c>
      <c r="F2114">
        <v>57</v>
      </c>
      <c r="G2114">
        <v>41</v>
      </c>
      <c r="H2114" t="s">
        <v>11</v>
      </c>
      <c r="I2114" t="b">
        <v>0</v>
      </c>
      <c r="J2114" cm="1">
        <f t="array" ref="J2114">sentimentCalc(B2114)</f>
        <v>0</v>
      </c>
      <c r="K2114" t="str" cm="1">
        <f t="array" ref="K2114">sentimentCategory(J2114)</f>
        <v>Neutral</v>
      </c>
    </row>
    <row r="2115" spans="1:11" ht="17" x14ac:dyDescent="0.2">
      <c r="A2115" t="s">
        <v>4097</v>
      </c>
      <c r="B2115" s="1" t="s">
        <v>4099</v>
      </c>
      <c r="C2115" t="s">
        <v>4100</v>
      </c>
      <c r="D2115" s="1" t="s">
        <v>4101</v>
      </c>
      <c r="E2115" t="b">
        <v>0</v>
      </c>
      <c r="F2115">
        <v>1840</v>
      </c>
      <c r="G2115">
        <v>1255</v>
      </c>
      <c r="H2115" t="s">
        <v>11</v>
      </c>
      <c r="I2115" t="b">
        <v>0</v>
      </c>
      <c r="J2115" cm="1">
        <f t="array" ref="J2115">sentimentCalc(B2115)</f>
        <v>0</v>
      </c>
      <c r="K2115" t="str" cm="1">
        <f t="array" ref="K2115">sentimentCategory(J2115)</f>
        <v>Neutral</v>
      </c>
    </row>
    <row r="2116" spans="1:11" ht="17" x14ac:dyDescent="0.2">
      <c r="A2116" t="s">
        <v>3595</v>
      </c>
      <c r="B2116" s="1" t="s">
        <v>3596</v>
      </c>
      <c r="C2116" t="s">
        <v>3597</v>
      </c>
      <c r="D2116" s="1" t="s">
        <v>3598</v>
      </c>
      <c r="E2116" t="b">
        <v>0</v>
      </c>
      <c r="F2116">
        <v>527</v>
      </c>
      <c r="G2116">
        <v>274</v>
      </c>
      <c r="H2116" t="s">
        <v>11</v>
      </c>
      <c r="I2116" t="b">
        <v>0</v>
      </c>
      <c r="J2116" cm="1">
        <f t="array" ref="J2116">sentimentCalc(B2116)</f>
        <v>0</v>
      </c>
      <c r="K2116" t="str" cm="1">
        <f t="array" ref="K2116">sentimentCategory(J2116)</f>
        <v>Neutral</v>
      </c>
    </row>
    <row r="2117" spans="1:11" ht="34" x14ac:dyDescent="0.2">
      <c r="A2117" t="s">
        <v>6991</v>
      </c>
      <c r="B2117" s="1" t="s">
        <v>6992</v>
      </c>
      <c r="C2117" t="s">
        <v>1564</v>
      </c>
      <c r="D2117" s="1" t="s">
        <v>4334</v>
      </c>
      <c r="E2117" t="b">
        <v>0</v>
      </c>
      <c r="F2117">
        <v>21</v>
      </c>
      <c r="G2117">
        <v>130</v>
      </c>
      <c r="H2117" t="s">
        <v>11</v>
      </c>
      <c r="I2117" t="b">
        <v>0</v>
      </c>
      <c r="J2117" cm="1">
        <f t="array" ref="J2117">sentimentCalc(B2117)</f>
        <v>0</v>
      </c>
      <c r="K2117" t="str" cm="1">
        <f t="array" ref="K2117">sentimentCategory(J2117)</f>
        <v>Neutral</v>
      </c>
    </row>
    <row r="2118" spans="1:11" ht="17" x14ac:dyDescent="0.2">
      <c r="A2118" t="s">
        <v>1798</v>
      </c>
      <c r="B2118" s="1" t="s">
        <v>1799</v>
      </c>
      <c r="C2118" t="s">
        <v>82</v>
      </c>
      <c r="D2118" s="1" t="s">
        <v>2</v>
      </c>
      <c r="E2118" t="b">
        <v>0</v>
      </c>
      <c r="F2118">
        <v>4</v>
      </c>
      <c r="G2118">
        <v>58</v>
      </c>
      <c r="H2118" t="s">
        <v>11</v>
      </c>
      <c r="I2118" t="b">
        <v>0</v>
      </c>
      <c r="J2118" cm="1">
        <f t="array" ref="J2118">sentimentCalc(B2118)</f>
        <v>0</v>
      </c>
      <c r="K2118" t="str" cm="1">
        <f t="array" ref="K2118">sentimentCategory(J2118)</f>
        <v>Neutral</v>
      </c>
    </row>
    <row r="2119" spans="1:11" ht="34" x14ac:dyDescent="0.2">
      <c r="A2119" t="s">
        <v>945</v>
      </c>
      <c r="B2119" s="1" t="s">
        <v>946</v>
      </c>
      <c r="C2119" t="s">
        <v>817</v>
      </c>
      <c r="D2119" s="1" t="s">
        <v>178</v>
      </c>
      <c r="E2119" t="b">
        <v>0</v>
      </c>
      <c r="F2119">
        <v>691</v>
      </c>
      <c r="G2119">
        <v>1513</v>
      </c>
      <c r="H2119" t="s">
        <v>11</v>
      </c>
      <c r="I2119" t="b">
        <v>0</v>
      </c>
      <c r="J2119" cm="1">
        <f t="array" ref="J2119">sentimentCalc(B2119)</f>
        <v>1</v>
      </c>
      <c r="K2119" t="str" cm="1">
        <f t="array" ref="K2119">sentimentCategory(J2119)</f>
        <v>Positive</v>
      </c>
    </row>
    <row r="2120" spans="1:11" ht="34" x14ac:dyDescent="0.2">
      <c r="A2120" t="s">
        <v>7207</v>
      </c>
      <c r="B2120" s="1" t="s">
        <v>7208</v>
      </c>
      <c r="C2120" t="s">
        <v>143</v>
      </c>
      <c r="D2120" s="1" t="s">
        <v>2804</v>
      </c>
      <c r="E2120" t="b">
        <v>0</v>
      </c>
      <c r="F2120">
        <v>227</v>
      </c>
      <c r="G2120">
        <v>219</v>
      </c>
      <c r="H2120" t="s">
        <v>11</v>
      </c>
      <c r="I2120" t="b">
        <v>0</v>
      </c>
      <c r="J2120" cm="1">
        <f t="array" ref="J2120">sentimentCalc(B2120)</f>
        <v>0</v>
      </c>
      <c r="K2120" t="str" cm="1">
        <f t="array" ref="K2120">sentimentCategory(J2120)</f>
        <v>Neutral</v>
      </c>
    </row>
    <row r="2121" spans="1:11" ht="34" x14ac:dyDescent="0.2">
      <c r="A2121" t="s">
        <v>6959</v>
      </c>
      <c r="B2121" s="1" t="s">
        <v>6960</v>
      </c>
      <c r="C2121" t="s">
        <v>1902</v>
      </c>
      <c r="D2121" s="1" t="s">
        <v>6961</v>
      </c>
      <c r="E2121" t="b">
        <v>0</v>
      </c>
      <c r="F2121">
        <v>257</v>
      </c>
      <c r="G2121">
        <v>524</v>
      </c>
      <c r="H2121" t="s">
        <v>11</v>
      </c>
      <c r="I2121" t="b">
        <v>0</v>
      </c>
      <c r="J2121" cm="1">
        <f t="array" ref="J2121">sentimentCalc(B2121)</f>
        <v>0</v>
      </c>
      <c r="K2121" t="str" cm="1">
        <f t="array" ref="K2121">sentimentCategory(J2121)</f>
        <v>Neutral</v>
      </c>
    </row>
    <row r="2122" spans="1:11" ht="34" x14ac:dyDescent="0.2">
      <c r="A2122" t="s">
        <v>6014</v>
      </c>
      <c r="B2122" s="1" t="s">
        <v>6015</v>
      </c>
      <c r="C2122" t="s">
        <v>1189</v>
      </c>
      <c r="D2122" s="1" t="s">
        <v>1190</v>
      </c>
      <c r="E2122" t="b">
        <v>0</v>
      </c>
      <c r="F2122">
        <v>7990</v>
      </c>
      <c r="G2122">
        <v>410</v>
      </c>
      <c r="H2122" t="s">
        <v>11</v>
      </c>
      <c r="I2122" t="b">
        <v>0</v>
      </c>
      <c r="J2122" cm="1">
        <f t="array" ref="J2122">sentimentCalc(B2122)</f>
        <v>0</v>
      </c>
      <c r="K2122" t="str" cm="1">
        <f t="array" ref="K2122">sentimentCategory(J2122)</f>
        <v>Neutral</v>
      </c>
    </row>
    <row r="2123" spans="1:11" ht="17" x14ac:dyDescent="0.2">
      <c r="A2123" t="s">
        <v>628</v>
      </c>
      <c r="B2123" s="1" t="s">
        <v>629</v>
      </c>
      <c r="C2123" t="s">
        <v>630</v>
      </c>
      <c r="D2123" s="1" t="s">
        <v>2</v>
      </c>
      <c r="E2123" t="b">
        <v>0</v>
      </c>
      <c r="F2123">
        <v>192</v>
      </c>
      <c r="G2123">
        <v>28</v>
      </c>
      <c r="H2123" t="s">
        <v>11</v>
      </c>
      <c r="I2123" t="b">
        <v>0</v>
      </c>
      <c r="J2123" cm="1">
        <f t="array" ref="J2123">sentimentCalc(B2123)</f>
        <v>0</v>
      </c>
      <c r="K2123" t="str" cm="1">
        <f t="array" ref="K2123">sentimentCategory(J2123)</f>
        <v>Neutral</v>
      </c>
    </row>
    <row r="2124" spans="1:11" ht="17" x14ac:dyDescent="0.2">
      <c r="A2124" t="s">
        <v>6802</v>
      </c>
      <c r="B2124" s="1" t="s">
        <v>6803</v>
      </c>
      <c r="C2124" t="s">
        <v>6804</v>
      </c>
      <c r="D2124" s="1" t="s">
        <v>2</v>
      </c>
      <c r="E2124" t="b">
        <v>0</v>
      </c>
      <c r="F2124">
        <v>101</v>
      </c>
      <c r="G2124">
        <v>198</v>
      </c>
      <c r="H2124" t="s">
        <v>11</v>
      </c>
      <c r="I2124" t="b">
        <v>0</v>
      </c>
      <c r="J2124" cm="1">
        <f t="array" ref="J2124">sentimentCalc(B2124)</f>
        <v>0</v>
      </c>
      <c r="K2124" t="str" cm="1">
        <f t="array" ref="K2124">sentimentCategory(J2124)</f>
        <v>Neutral</v>
      </c>
    </row>
    <row r="2125" spans="1:11" ht="17" x14ac:dyDescent="0.2">
      <c r="A2125" t="s">
        <v>2475</v>
      </c>
      <c r="B2125" s="1" t="s">
        <v>2476</v>
      </c>
      <c r="C2125" t="s">
        <v>1824</v>
      </c>
      <c r="D2125" s="1" t="s">
        <v>61</v>
      </c>
      <c r="E2125" t="b">
        <v>0</v>
      </c>
      <c r="F2125">
        <v>142</v>
      </c>
      <c r="G2125">
        <v>313</v>
      </c>
      <c r="H2125" t="s">
        <v>11</v>
      </c>
      <c r="I2125" t="b">
        <v>0</v>
      </c>
      <c r="J2125" cm="1">
        <f t="array" ref="J2125">sentimentCalc(B2125)</f>
        <v>1</v>
      </c>
      <c r="K2125" t="str" cm="1">
        <f t="array" ref="K2125">sentimentCategory(J2125)</f>
        <v>Positive</v>
      </c>
    </row>
    <row r="2126" spans="1:11" ht="17" x14ac:dyDescent="0.2">
      <c r="A2126" t="s">
        <v>4911</v>
      </c>
      <c r="B2126" s="1" t="s">
        <v>4912</v>
      </c>
      <c r="C2126" t="s">
        <v>4750</v>
      </c>
      <c r="D2126" s="1" t="s">
        <v>2</v>
      </c>
      <c r="E2126" t="b">
        <v>0</v>
      </c>
      <c r="F2126">
        <v>18</v>
      </c>
      <c r="G2126">
        <v>107</v>
      </c>
      <c r="H2126" t="s">
        <v>11</v>
      </c>
      <c r="I2126" t="b">
        <v>0</v>
      </c>
      <c r="J2126" cm="1">
        <f t="array" ref="J2126">sentimentCalc(B2126)</f>
        <v>0</v>
      </c>
      <c r="K2126" t="str" cm="1">
        <f t="array" ref="K2126">sentimentCategory(J2126)</f>
        <v>Neutral</v>
      </c>
    </row>
    <row r="2127" spans="1:11" ht="34" x14ac:dyDescent="0.2">
      <c r="A2127" t="s">
        <v>3879</v>
      </c>
      <c r="B2127" s="1" t="s">
        <v>3880</v>
      </c>
      <c r="C2127" t="s">
        <v>3881</v>
      </c>
      <c r="D2127" s="1" t="s">
        <v>2</v>
      </c>
      <c r="E2127" t="b">
        <v>0</v>
      </c>
      <c r="F2127">
        <v>20</v>
      </c>
      <c r="G2127">
        <v>89</v>
      </c>
      <c r="H2127" t="s">
        <v>11</v>
      </c>
      <c r="I2127" t="b">
        <v>0</v>
      </c>
      <c r="J2127" cm="1">
        <f t="array" ref="J2127">sentimentCalc(B2127)</f>
        <v>0</v>
      </c>
      <c r="K2127" t="str" cm="1">
        <f t="array" ref="K2127">sentimentCategory(J2127)</f>
        <v>Neutral</v>
      </c>
    </row>
    <row r="2128" spans="1:11" ht="17" x14ac:dyDescent="0.2">
      <c r="A2128" t="s">
        <v>5282</v>
      </c>
      <c r="B2128" s="1" t="s">
        <v>5283</v>
      </c>
      <c r="C2128" t="s">
        <v>1091</v>
      </c>
      <c r="D2128" s="1" t="s">
        <v>2</v>
      </c>
      <c r="E2128" t="b">
        <v>0</v>
      </c>
      <c r="F2128">
        <v>19</v>
      </c>
      <c r="G2128">
        <v>11</v>
      </c>
      <c r="H2128" t="s">
        <v>11</v>
      </c>
      <c r="I2128" t="b">
        <v>0</v>
      </c>
      <c r="J2128" cm="1">
        <f t="array" ref="J2128">sentimentCalc(B2128)</f>
        <v>0</v>
      </c>
      <c r="K2128" t="str" cm="1">
        <f t="array" ref="K2128">sentimentCategory(J2128)</f>
        <v>Neutral</v>
      </c>
    </row>
    <row r="2129" spans="1:11" ht="34" x14ac:dyDescent="0.2">
      <c r="A2129" t="s">
        <v>6091</v>
      </c>
      <c r="B2129" s="1" t="s">
        <v>6092</v>
      </c>
      <c r="C2129" t="s">
        <v>6093</v>
      </c>
      <c r="D2129" s="1" t="s">
        <v>3570</v>
      </c>
      <c r="E2129" t="b">
        <v>0</v>
      </c>
      <c r="F2129">
        <v>727</v>
      </c>
      <c r="G2129">
        <v>840</v>
      </c>
      <c r="H2129" t="s">
        <v>11</v>
      </c>
      <c r="I2129" t="b">
        <v>0</v>
      </c>
      <c r="J2129" cm="1">
        <f t="array" ref="J2129">sentimentCalc(B2129)</f>
        <v>0</v>
      </c>
      <c r="K2129" t="str" cm="1">
        <f t="array" ref="K2129">sentimentCategory(J2129)</f>
        <v>Neutral</v>
      </c>
    </row>
    <row r="2130" spans="1:11" ht="17" x14ac:dyDescent="0.2">
      <c r="A2130" t="s">
        <v>4193</v>
      </c>
      <c r="B2130" s="1" t="s">
        <v>4194</v>
      </c>
      <c r="C2130" t="s">
        <v>748</v>
      </c>
      <c r="D2130" s="1" t="s">
        <v>749</v>
      </c>
      <c r="E2130" t="b">
        <v>0</v>
      </c>
      <c r="F2130">
        <v>3059</v>
      </c>
      <c r="G2130">
        <v>983</v>
      </c>
      <c r="H2130" t="s">
        <v>11</v>
      </c>
      <c r="I2130" t="b">
        <v>0</v>
      </c>
      <c r="J2130" cm="1">
        <f t="array" ref="J2130">sentimentCalc(B2130)</f>
        <v>0</v>
      </c>
      <c r="K2130" t="str" cm="1">
        <f t="array" ref="K2130">sentimentCategory(J2130)</f>
        <v>Neutral</v>
      </c>
    </row>
    <row r="2131" spans="1:11" ht="34" x14ac:dyDescent="0.2">
      <c r="A2131" t="s">
        <v>5010</v>
      </c>
      <c r="B2131" s="1" t="s">
        <v>5011</v>
      </c>
      <c r="C2131" t="s">
        <v>289</v>
      </c>
      <c r="D2131" s="1" t="s">
        <v>2</v>
      </c>
      <c r="E2131" t="b">
        <v>0</v>
      </c>
      <c r="F2131">
        <v>3634</v>
      </c>
      <c r="G2131">
        <v>3732</v>
      </c>
      <c r="H2131" t="s">
        <v>11</v>
      </c>
      <c r="I2131" t="b">
        <v>0</v>
      </c>
      <c r="J2131" cm="1">
        <f t="array" ref="J2131">sentimentCalc(B2131)</f>
        <v>0</v>
      </c>
      <c r="K2131" t="str" cm="1">
        <f t="array" ref="K2131">sentimentCategory(J2131)</f>
        <v>Neutral</v>
      </c>
    </row>
    <row r="2132" spans="1:11" ht="17" x14ac:dyDescent="0.2">
      <c r="A2132" t="s">
        <v>5973</v>
      </c>
      <c r="B2132" s="1" t="s">
        <v>5974</v>
      </c>
      <c r="C2132" t="s">
        <v>5975</v>
      </c>
      <c r="D2132" s="1" t="s">
        <v>5976</v>
      </c>
      <c r="E2132" t="b">
        <v>0</v>
      </c>
      <c r="F2132">
        <v>490</v>
      </c>
      <c r="G2132">
        <v>649</v>
      </c>
      <c r="H2132" t="s">
        <v>370</v>
      </c>
      <c r="I2132" t="b">
        <v>0</v>
      </c>
      <c r="J2132" cm="1">
        <f t="array" ref="J2132">sentimentCalc(B2132)</f>
        <v>1</v>
      </c>
      <c r="K2132" t="str" cm="1">
        <f t="array" ref="K2132">sentimentCategory(J2132)</f>
        <v>Positive</v>
      </c>
    </row>
    <row r="2133" spans="1:11" ht="17" x14ac:dyDescent="0.2">
      <c r="A2133" t="s">
        <v>2511</v>
      </c>
      <c r="B2133" s="1" t="s">
        <v>2512</v>
      </c>
      <c r="C2133" t="s">
        <v>2513</v>
      </c>
      <c r="D2133" s="1" t="s">
        <v>2</v>
      </c>
      <c r="E2133" t="b">
        <v>0</v>
      </c>
      <c r="F2133">
        <v>1666</v>
      </c>
      <c r="G2133">
        <v>4978</v>
      </c>
      <c r="H2133" t="s">
        <v>3</v>
      </c>
      <c r="I2133" t="b">
        <v>0</v>
      </c>
      <c r="J2133" cm="1">
        <f t="array" ref="J2133">sentimentCalc(B2133)</f>
        <v>2</v>
      </c>
      <c r="K2133" t="str" cm="1">
        <f t="array" ref="K2133">sentimentCategory(J2133)</f>
        <v>Positive</v>
      </c>
    </row>
    <row r="2134" spans="1:11" ht="34" x14ac:dyDescent="0.2">
      <c r="A2134" t="s">
        <v>6413</v>
      </c>
      <c r="B2134" s="1" t="s">
        <v>6414</v>
      </c>
      <c r="C2134" t="s">
        <v>5901</v>
      </c>
      <c r="D2134" s="1" t="s">
        <v>2</v>
      </c>
      <c r="E2134" t="b">
        <v>0</v>
      </c>
      <c r="F2134">
        <v>235</v>
      </c>
      <c r="G2134">
        <v>2</v>
      </c>
      <c r="H2134" t="s">
        <v>11</v>
      </c>
      <c r="I2134" t="b">
        <v>0</v>
      </c>
      <c r="J2134" cm="1">
        <f t="array" ref="J2134">sentimentCalc(B2134)</f>
        <v>0</v>
      </c>
      <c r="K2134" t="str" cm="1">
        <f t="array" ref="K2134">sentimentCategory(J2134)</f>
        <v>Neutral</v>
      </c>
    </row>
    <row r="2135" spans="1:11" ht="17" x14ac:dyDescent="0.2">
      <c r="A2135" t="s">
        <v>6642</v>
      </c>
      <c r="B2135" s="1" t="s">
        <v>6643</v>
      </c>
      <c r="C2135" t="s">
        <v>2980</v>
      </c>
      <c r="D2135" s="1" t="s">
        <v>2</v>
      </c>
      <c r="E2135" t="b">
        <v>0</v>
      </c>
      <c r="F2135">
        <v>1</v>
      </c>
      <c r="G2135">
        <v>28</v>
      </c>
      <c r="H2135" t="s">
        <v>3</v>
      </c>
      <c r="I2135" t="b">
        <v>0</v>
      </c>
      <c r="J2135" cm="1">
        <f t="array" ref="J2135">sentimentCalc(B2135)</f>
        <v>0</v>
      </c>
      <c r="K2135" t="str" cm="1">
        <f t="array" ref="K2135">sentimentCategory(J2135)</f>
        <v>Neutral</v>
      </c>
    </row>
    <row r="2136" spans="1:11" ht="17" x14ac:dyDescent="0.2">
      <c r="A2136" t="s">
        <v>6549</v>
      </c>
      <c r="B2136" s="1" t="s">
        <v>6550</v>
      </c>
      <c r="C2136" t="s">
        <v>1355</v>
      </c>
      <c r="D2136" s="1" t="s">
        <v>6551</v>
      </c>
      <c r="E2136" t="b">
        <v>0</v>
      </c>
      <c r="F2136">
        <v>1314</v>
      </c>
      <c r="G2136">
        <v>224</v>
      </c>
      <c r="H2136" t="s">
        <v>11</v>
      </c>
      <c r="I2136" t="b">
        <v>0</v>
      </c>
      <c r="J2136" cm="1">
        <f t="array" ref="J2136">sentimentCalc(B2136)</f>
        <v>0</v>
      </c>
      <c r="K2136" t="str" cm="1">
        <f t="array" ref="K2136">sentimentCategory(J2136)</f>
        <v>Neutral</v>
      </c>
    </row>
    <row r="2137" spans="1:11" ht="17" x14ac:dyDescent="0.2">
      <c r="A2137" t="s">
        <v>3941</v>
      </c>
      <c r="B2137" s="1" t="s">
        <v>3942</v>
      </c>
      <c r="C2137" t="s">
        <v>1544</v>
      </c>
      <c r="E2137" t="b">
        <v>0</v>
      </c>
      <c r="F2137">
        <v>310</v>
      </c>
      <c r="G2137">
        <v>378</v>
      </c>
      <c r="H2137" t="s">
        <v>31</v>
      </c>
      <c r="I2137" t="b">
        <v>0</v>
      </c>
      <c r="J2137" cm="1">
        <f t="array" ref="J2137">sentimentCalc(B2137)</f>
        <v>0</v>
      </c>
      <c r="K2137" t="str" cm="1">
        <f t="array" ref="K2137">sentimentCategory(J2137)</f>
        <v>Neutral</v>
      </c>
    </row>
    <row r="2138" spans="1:11" ht="17" x14ac:dyDescent="0.2">
      <c r="A2138" t="s">
        <v>2448</v>
      </c>
      <c r="B2138" s="1" t="s">
        <v>2449</v>
      </c>
      <c r="C2138" t="s">
        <v>880</v>
      </c>
      <c r="D2138" s="1" t="s">
        <v>2</v>
      </c>
      <c r="E2138" t="b">
        <v>0</v>
      </c>
      <c r="F2138">
        <v>1870</v>
      </c>
      <c r="G2138">
        <v>988</v>
      </c>
      <c r="H2138" t="s">
        <v>11</v>
      </c>
      <c r="I2138" t="b">
        <v>0</v>
      </c>
      <c r="J2138" cm="1">
        <f t="array" ref="J2138">sentimentCalc(B2138)</f>
        <v>0</v>
      </c>
      <c r="K2138" t="str" cm="1">
        <f t="array" ref="K2138">sentimentCategory(J2138)</f>
        <v>Neutral</v>
      </c>
    </row>
    <row r="2139" spans="1:11" ht="17" x14ac:dyDescent="0.2">
      <c r="A2139" t="s">
        <v>2978</v>
      </c>
      <c r="B2139" s="1" t="s">
        <v>2979</v>
      </c>
      <c r="C2139" t="s">
        <v>2980</v>
      </c>
      <c r="D2139" s="1" t="s">
        <v>2</v>
      </c>
      <c r="E2139" t="b">
        <v>0</v>
      </c>
      <c r="F2139">
        <v>53</v>
      </c>
      <c r="G2139">
        <v>95</v>
      </c>
      <c r="H2139" t="s">
        <v>11</v>
      </c>
      <c r="I2139" t="b">
        <v>0</v>
      </c>
      <c r="J2139" cm="1">
        <f t="array" ref="J2139">sentimentCalc(B2139)</f>
        <v>0</v>
      </c>
      <c r="K2139" t="str" cm="1">
        <f t="array" ref="K2139">sentimentCategory(J2139)</f>
        <v>Neutral</v>
      </c>
    </row>
    <row r="2140" spans="1:11" ht="17" x14ac:dyDescent="0.2">
      <c r="A2140" t="s">
        <v>5759</v>
      </c>
      <c r="B2140" s="1" t="s">
        <v>5760</v>
      </c>
      <c r="C2140" t="s">
        <v>94</v>
      </c>
      <c r="D2140" s="1" t="s">
        <v>5761</v>
      </c>
      <c r="E2140" t="b">
        <v>0</v>
      </c>
      <c r="F2140">
        <v>448</v>
      </c>
      <c r="G2140">
        <v>1336</v>
      </c>
      <c r="H2140" t="s">
        <v>11</v>
      </c>
      <c r="I2140" t="b">
        <v>0</v>
      </c>
      <c r="J2140" cm="1">
        <f t="array" ref="J2140">sentimentCalc(B2140)</f>
        <v>0</v>
      </c>
      <c r="K2140" t="str" cm="1">
        <f t="array" ref="K2140">sentimentCategory(J2140)</f>
        <v>Neutral</v>
      </c>
    </row>
    <row r="2141" spans="1:11" ht="34" x14ac:dyDescent="0.2">
      <c r="A2141" t="s">
        <v>4401</v>
      </c>
      <c r="B2141" s="1" t="s">
        <v>4402</v>
      </c>
      <c r="C2141" t="s">
        <v>4403</v>
      </c>
      <c r="D2141" s="1" t="s">
        <v>2</v>
      </c>
      <c r="E2141" t="b">
        <v>0</v>
      </c>
      <c r="F2141">
        <v>6</v>
      </c>
      <c r="G2141">
        <v>31</v>
      </c>
      <c r="H2141" t="s">
        <v>11</v>
      </c>
      <c r="I2141" t="b">
        <v>0</v>
      </c>
      <c r="J2141" cm="1">
        <f t="array" ref="J2141">sentimentCalc(B2141)</f>
        <v>0</v>
      </c>
      <c r="K2141" t="str" cm="1">
        <f t="array" ref="K2141">sentimentCategory(J2141)</f>
        <v>Neutral</v>
      </c>
    </row>
    <row r="2142" spans="1:11" ht="34" x14ac:dyDescent="0.2">
      <c r="A2142" t="s">
        <v>4684</v>
      </c>
      <c r="B2142" s="1" t="s">
        <v>4685</v>
      </c>
      <c r="C2142" t="s">
        <v>4686</v>
      </c>
      <c r="D2142" s="1" t="s">
        <v>1251</v>
      </c>
      <c r="E2142" t="b">
        <v>0</v>
      </c>
      <c r="F2142">
        <v>46</v>
      </c>
      <c r="G2142">
        <v>21</v>
      </c>
      <c r="H2142" t="s">
        <v>11</v>
      </c>
      <c r="I2142" t="b">
        <v>0</v>
      </c>
      <c r="J2142" cm="1">
        <f t="array" ref="J2142">sentimentCalc(B2142)</f>
        <v>0</v>
      </c>
      <c r="K2142" t="str" cm="1">
        <f t="array" ref="K2142">sentimentCategory(J2142)</f>
        <v>Neutral</v>
      </c>
    </row>
    <row r="2143" spans="1:11" ht="17" x14ac:dyDescent="0.2">
      <c r="A2143" t="s">
        <v>96</v>
      </c>
      <c r="B2143" s="1" t="s">
        <v>97</v>
      </c>
      <c r="C2143" t="s">
        <v>29</v>
      </c>
      <c r="E2143" t="b">
        <v>0</v>
      </c>
      <c r="F2143">
        <v>526</v>
      </c>
      <c r="G2143">
        <v>558</v>
      </c>
      <c r="H2143" t="s">
        <v>31</v>
      </c>
      <c r="I2143" t="b">
        <v>0</v>
      </c>
      <c r="J2143" cm="1">
        <f t="array" ref="J2143">sentimentCalc(B2143)</f>
        <v>1</v>
      </c>
      <c r="K2143" t="str" cm="1">
        <f t="array" ref="K2143">sentimentCategory(J2143)</f>
        <v>Positive</v>
      </c>
    </row>
    <row r="2144" spans="1:11" ht="17" x14ac:dyDescent="0.2">
      <c r="A2144" t="s">
        <v>2696</v>
      </c>
      <c r="B2144" s="1" t="s">
        <v>2697</v>
      </c>
      <c r="C2144" t="s">
        <v>2698</v>
      </c>
      <c r="D2144" s="1" t="s">
        <v>2699</v>
      </c>
      <c r="E2144" t="b">
        <v>0</v>
      </c>
      <c r="F2144">
        <v>25</v>
      </c>
      <c r="G2144">
        <v>7</v>
      </c>
      <c r="H2144" t="s">
        <v>11</v>
      </c>
      <c r="I2144" t="b">
        <v>0</v>
      </c>
      <c r="J2144" cm="1">
        <f t="array" ref="J2144">sentimentCalc(B2144)</f>
        <v>1</v>
      </c>
      <c r="K2144" t="str" cm="1">
        <f t="array" ref="K2144">sentimentCategory(J2144)</f>
        <v>Positive</v>
      </c>
    </row>
    <row r="2145" spans="1:11" ht="17" x14ac:dyDescent="0.2">
      <c r="A2145" t="s">
        <v>6993</v>
      </c>
      <c r="B2145" s="1" t="s">
        <v>6994</v>
      </c>
      <c r="C2145" t="s">
        <v>215</v>
      </c>
      <c r="D2145" s="1" t="s">
        <v>6995</v>
      </c>
      <c r="E2145" t="b">
        <v>0</v>
      </c>
      <c r="F2145">
        <v>352</v>
      </c>
      <c r="G2145">
        <v>81</v>
      </c>
      <c r="H2145" t="s">
        <v>641</v>
      </c>
      <c r="I2145" t="b">
        <v>0</v>
      </c>
      <c r="J2145" cm="1">
        <f t="array" ref="J2145">sentimentCalc(B2145)</f>
        <v>0</v>
      </c>
      <c r="K2145" t="str" cm="1">
        <f t="array" ref="K2145">sentimentCategory(J2145)</f>
        <v>Neutral</v>
      </c>
    </row>
    <row r="2146" spans="1:11" ht="17" x14ac:dyDescent="0.2">
      <c r="A2146" t="s">
        <v>3034</v>
      </c>
      <c r="B2146" s="1" t="s">
        <v>3036</v>
      </c>
      <c r="C2146" t="s">
        <v>3037</v>
      </c>
      <c r="D2146" s="1" t="s">
        <v>2</v>
      </c>
      <c r="E2146" t="b">
        <v>0</v>
      </c>
      <c r="F2146">
        <v>1411</v>
      </c>
      <c r="G2146">
        <v>1074</v>
      </c>
      <c r="H2146" t="s">
        <v>11</v>
      </c>
      <c r="I2146" t="b">
        <v>0</v>
      </c>
      <c r="J2146" cm="1">
        <f t="array" ref="J2146">sentimentCalc(B2146)</f>
        <v>0</v>
      </c>
      <c r="K2146" t="str" cm="1">
        <f t="array" ref="K2146">sentimentCategory(J2146)</f>
        <v>Neutral</v>
      </c>
    </row>
    <row r="2147" spans="1:11" ht="17" x14ac:dyDescent="0.2">
      <c r="A2147" t="s">
        <v>3361</v>
      </c>
      <c r="B2147" s="1" t="s">
        <v>3362</v>
      </c>
      <c r="C2147" t="s">
        <v>995</v>
      </c>
      <c r="D2147" s="1" t="s">
        <v>1932</v>
      </c>
      <c r="E2147" t="b">
        <v>0</v>
      </c>
      <c r="F2147">
        <v>1364</v>
      </c>
      <c r="G2147">
        <v>2650</v>
      </c>
      <c r="H2147" t="s">
        <v>11</v>
      </c>
      <c r="I2147" t="b">
        <v>0</v>
      </c>
      <c r="J2147" cm="1">
        <f t="array" ref="J2147">sentimentCalc(B2147)</f>
        <v>0</v>
      </c>
      <c r="K2147" t="str" cm="1">
        <f t="array" ref="K2147">sentimentCategory(J2147)</f>
        <v>Neutral</v>
      </c>
    </row>
    <row r="2148" spans="1:11" ht="17" x14ac:dyDescent="0.2">
      <c r="A2148" t="s">
        <v>878</v>
      </c>
      <c r="B2148" s="1" t="s">
        <v>879</v>
      </c>
      <c r="C2148" t="s">
        <v>880</v>
      </c>
      <c r="D2148" s="1" t="s">
        <v>2</v>
      </c>
      <c r="E2148" t="b">
        <v>0</v>
      </c>
      <c r="F2148">
        <v>18</v>
      </c>
      <c r="G2148">
        <v>119</v>
      </c>
      <c r="H2148" t="s">
        <v>11</v>
      </c>
      <c r="I2148" t="b">
        <v>0</v>
      </c>
      <c r="J2148" cm="1">
        <f t="array" ref="J2148">sentimentCalc(B2148)</f>
        <v>0</v>
      </c>
      <c r="K2148" t="str" cm="1">
        <f t="array" ref="K2148">sentimentCategory(J2148)</f>
        <v>Neutral</v>
      </c>
    </row>
    <row r="2149" spans="1:11" ht="17" x14ac:dyDescent="0.2">
      <c r="A2149" t="s">
        <v>4461</v>
      </c>
      <c r="B2149" s="1" t="s">
        <v>4462</v>
      </c>
      <c r="C2149" t="s">
        <v>319</v>
      </c>
      <c r="D2149" s="1" t="s">
        <v>2</v>
      </c>
      <c r="E2149" t="b">
        <v>0</v>
      </c>
      <c r="F2149">
        <v>11278</v>
      </c>
      <c r="G2149">
        <v>126</v>
      </c>
      <c r="H2149" t="s">
        <v>359</v>
      </c>
      <c r="I2149" t="b">
        <v>0</v>
      </c>
      <c r="J2149" cm="1">
        <f t="array" ref="J2149">sentimentCalc(B2149)</f>
        <v>0</v>
      </c>
      <c r="K2149" t="str" cm="1">
        <f t="array" ref="K2149">sentimentCategory(J2149)</f>
        <v>Neutral</v>
      </c>
    </row>
    <row r="2150" spans="1:11" ht="17" x14ac:dyDescent="0.2">
      <c r="A2150" t="s">
        <v>6706</v>
      </c>
      <c r="B2150" s="1" t="s">
        <v>6707</v>
      </c>
      <c r="C2150" t="s">
        <v>6708</v>
      </c>
      <c r="D2150" s="1" t="s">
        <v>477</v>
      </c>
      <c r="E2150" t="b">
        <v>0</v>
      </c>
      <c r="F2150">
        <v>304</v>
      </c>
      <c r="G2150">
        <v>560</v>
      </c>
      <c r="H2150" t="s">
        <v>11</v>
      </c>
      <c r="I2150" t="b">
        <v>0</v>
      </c>
      <c r="J2150" cm="1">
        <f t="array" ref="J2150">sentimentCalc(B2150)</f>
        <v>0</v>
      </c>
      <c r="K2150" t="str" cm="1">
        <f t="array" ref="K2150">sentimentCategory(J2150)</f>
        <v>Neutral</v>
      </c>
    </row>
    <row r="2151" spans="1:11" ht="17" x14ac:dyDescent="0.2">
      <c r="A2151" t="s">
        <v>5139</v>
      </c>
      <c r="B2151" s="1" t="s">
        <v>5140</v>
      </c>
      <c r="C2151" t="s">
        <v>5141</v>
      </c>
      <c r="D2151" s="1" t="s">
        <v>5142</v>
      </c>
      <c r="E2151" t="b">
        <v>0</v>
      </c>
      <c r="F2151">
        <v>29</v>
      </c>
      <c r="G2151">
        <v>27</v>
      </c>
      <c r="H2151" t="s">
        <v>11</v>
      </c>
      <c r="I2151" t="b">
        <v>0</v>
      </c>
      <c r="J2151" cm="1">
        <f t="array" ref="J2151">sentimentCalc(B2151)</f>
        <v>0</v>
      </c>
      <c r="K2151" t="str" cm="1">
        <f t="array" ref="K2151">sentimentCategory(J2151)</f>
        <v>Neutral</v>
      </c>
    </row>
    <row r="2152" spans="1:11" ht="17" x14ac:dyDescent="0.2">
      <c r="A2152" t="s">
        <v>299</v>
      </c>
      <c r="B2152" s="1" t="s">
        <v>300</v>
      </c>
      <c r="C2152" t="s">
        <v>301</v>
      </c>
      <c r="D2152" s="1" t="s">
        <v>302</v>
      </c>
      <c r="E2152" t="b">
        <v>0</v>
      </c>
      <c r="F2152">
        <v>456</v>
      </c>
      <c r="G2152">
        <v>132</v>
      </c>
      <c r="H2152" t="s">
        <v>11</v>
      </c>
      <c r="I2152" t="b">
        <v>0</v>
      </c>
      <c r="J2152" cm="1">
        <f t="array" ref="J2152">sentimentCalc(B2152)</f>
        <v>1</v>
      </c>
      <c r="K2152" t="str" cm="1">
        <f t="array" ref="K2152">sentimentCategory(J2152)</f>
        <v>Positive</v>
      </c>
    </row>
    <row r="2153" spans="1:11" ht="34" x14ac:dyDescent="0.2">
      <c r="A2153" t="s">
        <v>3203</v>
      </c>
      <c r="B2153" s="1" t="s">
        <v>3204</v>
      </c>
      <c r="C2153" t="s">
        <v>3205</v>
      </c>
      <c r="D2153" s="1" t="s">
        <v>3206</v>
      </c>
      <c r="E2153" t="b">
        <v>0</v>
      </c>
      <c r="F2153">
        <v>88</v>
      </c>
      <c r="G2153">
        <v>192</v>
      </c>
      <c r="H2153" t="s">
        <v>11</v>
      </c>
      <c r="I2153" t="b">
        <v>0</v>
      </c>
      <c r="J2153" cm="1">
        <f t="array" ref="J2153">sentimentCalc(B2153)</f>
        <v>0</v>
      </c>
      <c r="K2153" t="str" cm="1">
        <f t="array" ref="K2153">sentimentCategory(J2153)</f>
        <v>Neutral</v>
      </c>
    </row>
    <row r="2154" spans="1:11" ht="17" x14ac:dyDescent="0.2">
      <c r="A2154" t="s">
        <v>4463</v>
      </c>
      <c r="B2154" s="1" t="s">
        <v>4464</v>
      </c>
      <c r="C2154" t="s">
        <v>26</v>
      </c>
      <c r="D2154" s="1" t="s">
        <v>2</v>
      </c>
      <c r="E2154" t="b">
        <v>0</v>
      </c>
      <c r="F2154">
        <v>3</v>
      </c>
      <c r="G2154">
        <v>1</v>
      </c>
      <c r="H2154" t="s">
        <v>11</v>
      </c>
      <c r="I2154" t="b">
        <v>0</v>
      </c>
      <c r="J2154" cm="1">
        <f t="array" ref="J2154">sentimentCalc(B2154)</f>
        <v>0</v>
      </c>
      <c r="K2154" t="str" cm="1">
        <f t="array" ref="K2154">sentimentCategory(J2154)</f>
        <v>Neutral</v>
      </c>
    </row>
    <row r="2155" spans="1:11" ht="17" x14ac:dyDescent="0.2">
      <c r="A2155" t="s">
        <v>5467</v>
      </c>
      <c r="B2155" s="1" t="s">
        <v>5468</v>
      </c>
      <c r="C2155" t="s">
        <v>1892</v>
      </c>
      <c r="D2155" s="1" t="s">
        <v>2</v>
      </c>
      <c r="E2155" t="b">
        <v>0</v>
      </c>
      <c r="F2155">
        <v>223</v>
      </c>
      <c r="G2155">
        <v>292</v>
      </c>
      <c r="H2155" t="s">
        <v>641</v>
      </c>
      <c r="I2155" t="b">
        <v>0</v>
      </c>
      <c r="J2155" cm="1">
        <f t="array" ref="J2155">sentimentCalc(B2155)</f>
        <v>0</v>
      </c>
      <c r="K2155" t="str" cm="1">
        <f t="array" ref="K2155">sentimentCategory(J2155)</f>
        <v>Neutral</v>
      </c>
    </row>
    <row r="2156" spans="1:11" ht="17" x14ac:dyDescent="0.2">
      <c r="A2156" t="s">
        <v>6033</v>
      </c>
      <c r="B2156" s="1" t="s">
        <v>6034</v>
      </c>
      <c r="C2156" t="s">
        <v>1148</v>
      </c>
      <c r="D2156" s="1" t="s">
        <v>1844</v>
      </c>
      <c r="E2156" t="b">
        <v>0</v>
      </c>
      <c r="F2156">
        <v>41</v>
      </c>
      <c r="G2156">
        <v>240</v>
      </c>
      <c r="H2156" t="s">
        <v>11</v>
      </c>
      <c r="I2156" t="b">
        <v>0</v>
      </c>
      <c r="J2156" cm="1">
        <f t="array" ref="J2156">sentimentCalc(B2156)</f>
        <v>0</v>
      </c>
      <c r="K2156" t="str" cm="1">
        <f t="array" ref="K2156">sentimentCategory(J2156)</f>
        <v>Neutral</v>
      </c>
    </row>
    <row r="2157" spans="1:11" ht="17" x14ac:dyDescent="0.2">
      <c r="A2157" t="s">
        <v>6741</v>
      </c>
      <c r="B2157" s="1" t="s">
        <v>6742</v>
      </c>
      <c r="C2157" t="s">
        <v>6743</v>
      </c>
      <c r="D2157" s="1" t="s">
        <v>2311</v>
      </c>
      <c r="E2157" t="b">
        <v>0</v>
      </c>
      <c r="F2157">
        <v>210</v>
      </c>
      <c r="G2157">
        <v>103</v>
      </c>
      <c r="H2157" t="s">
        <v>11</v>
      </c>
      <c r="I2157" t="b">
        <v>0</v>
      </c>
      <c r="J2157" cm="1">
        <f t="array" ref="J2157">sentimentCalc(B2157)</f>
        <v>-1</v>
      </c>
      <c r="K2157" t="str" cm="1">
        <f t="array" ref="K2157">sentimentCategory(J2157)</f>
        <v>Negative</v>
      </c>
    </row>
    <row r="2158" spans="1:11" ht="17" x14ac:dyDescent="0.2">
      <c r="A2158" t="s">
        <v>1810</v>
      </c>
      <c r="B2158" s="1" t="s">
        <v>1811</v>
      </c>
      <c r="C2158" t="s">
        <v>1812</v>
      </c>
      <c r="D2158" s="1" t="s">
        <v>1813</v>
      </c>
      <c r="E2158" t="b">
        <v>0</v>
      </c>
      <c r="F2158">
        <v>1</v>
      </c>
      <c r="G2158">
        <v>42</v>
      </c>
      <c r="H2158" t="s">
        <v>47</v>
      </c>
      <c r="I2158" t="b">
        <v>0</v>
      </c>
      <c r="J2158" cm="1">
        <f t="array" ref="J2158">sentimentCalc(B2158)</f>
        <v>0</v>
      </c>
      <c r="K2158" t="str" cm="1">
        <f t="array" ref="K2158">sentimentCategory(J2158)</f>
        <v>Neutral</v>
      </c>
    </row>
    <row r="2159" spans="1:11" ht="34" x14ac:dyDescent="0.2">
      <c r="A2159" t="s">
        <v>2678</v>
      </c>
      <c r="B2159" s="1" t="s">
        <v>2679</v>
      </c>
      <c r="C2159" t="s">
        <v>2680</v>
      </c>
      <c r="D2159" s="1" t="s">
        <v>68</v>
      </c>
      <c r="E2159" t="b">
        <v>0</v>
      </c>
      <c r="F2159">
        <v>395</v>
      </c>
      <c r="G2159">
        <v>671</v>
      </c>
      <c r="H2159" t="s">
        <v>11</v>
      </c>
      <c r="I2159" t="b">
        <v>0</v>
      </c>
      <c r="J2159" cm="1">
        <f t="array" ref="J2159">sentimentCalc(B2159)</f>
        <v>0</v>
      </c>
      <c r="K2159" t="str" cm="1">
        <f t="array" ref="K2159">sentimentCategory(J2159)</f>
        <v>Neutral</v>
      </c>
    </row>
    <row r="2160" spans="1:11" ht="17" x14ac:dyDescent="0.2">
      <c r="A2160" t="s">
        <v>7124</v>
      </c>
      <c r="B2160" s="1" t="s">
        <v>7125</v>
      </c>
      <c r="C2160" t="s">
        <v>7126</v>
      </c>
      <c r="D2160" s="1" t="s">
        <v>2</v>
      </c>
      <c r="E2160" t="b">
        <v>0</v>
      </c>
      <c r="F2160">
        <v>10</v>
      </c>
      <c r="G2160">
        <v>106</v>
      </c>
      <c r="H2160" t="s">
        <v>11</v>
      </c>
      <c r="I2160" t="b">
        <v>0</v>
      </c>
      <c r="J2160" cm="1">
        <f t="array" ref="J2160">sentimentCalc(B2160)</f>
        <v>0</v>
      </c>
      <c r="K2160" t="str" cm="1">
        <f t="array" ref="K2160">sentimentCategory(J2160)</f>
        <v>Neutral</v>
      </c>
    </row>
    <row r="2161" spans="1:11" ht="17" x14ac:dyDescent="0.2">
      <c r="A2161" t="s">
        <v>2942</v>
      </c>
      <c r="B2161" s="1" t="s">
        <v>2943</v>
      </c>
      <c r="C2161" t="s">
        <v>2944</v>
      </c>
      <c r="D2161" s="1" t="s">
        <v>2945</v>
      </c>
      <c r="E2161" t="b">
        <v>0</v>
      </c>
      <c r="F2161">
        <v>1030</v>
      </c>
      <c r="G2161">
        <v>1010</v>
      </c>
      <c r="H2161" t="s">
        <v>11</v>
      </c>
      <c r="I2161" t="b">
        <v>0</v>
      </c>
      <c r="J2161" cm="1">
        <f t="array" ref="J2161">sentimentCalc(B2161)</f>
        <v>0</v>
      </c>
      <c r="K2161" t="str" cm="1">
        <f t="array" ref="K2161">sentimentCategory(J2161)</f>
        <v>Neutral</v>
      </c>
    </row>
    <row r="2162" spans="1:11" ht="17" x14ac:dyDescent="0.2">
      <c r="A2162" t="s">
        <v>1594</v>
      </c>
      <c r="B2162" s="1" t="s">
        <v>1595</v>
      </c>
      <c r="C2162" t="s">
        <v>1193</v>
      </c>
      <c r="D2162" s="1" t="s">
        <v>1194</v>
      </c>
      <c r="E2162" t="b">
        <v>0</v>
      </c>
      <c r="F2162">
        <v>42</v>
      </c>
      <c r="G2162">
        <v>122</v>
      </c>
      <c r="H2162" t="s">
        <v>11</v>
      </c>
      <c r="I2162" t="b">
        <v>0</v>
      </c>
      <c r="J2162" cm="1">
        <f t="array" ref="J2162">sentimentCalc(B2162)</f>
        <v>0</v>
      </c>
      <c r="K2162" t="str" cm="1">
        <f t="array" ref="K2162">sentimentCategory(J2162)</f>
        <v>Neutral</v>
      </c>
    </row>
    <row r="2163" spans="1:11" ht="17" x14ac:dyDescent="0.2">
      <c r="A2163" t="s">
        <v>5062</v>
      </c>
      <c r="B2163" s="1" t="s">
        <v>5063</v>
      </c>
      <c r="C2163" t="s">
        <v>782</v>
      </c>
      <c r="D2163" s="1" t="s">
        <v>1348</v>
      </c>
      <c r="E2163" t="b">
        <v>0</v>
      </c>
      <c r="F2163">
        <v>4</v>
      </c>
      <c r="G2163">
        <v>14</v>
      </c>
      <c r="H2163" t="s">
        <v>11</v>
      </c>
      <c r="I2163" t="b">
        <v>0</v>
      </c>
      <c r="J2163" cm="1">
        <f t="array" ref="J2163">sentimentCalc(B2163)</f>
        <v>0</v>
      </c>
      <c r="K2163" t="str" cm="1">
        <f t="array" ref="K2163">sentimentCategory(J2163)</f>
        <v>Neutral</v>
      </c>
    </row>
    <row r="2164" spans="1:11" ht="17" x14ac:dyDescent="0.2">
      <c r="A2164" t="s">
        <v>3568</v>
      </c>
      <c r="B2164" s="1" t="s">
        <v>3569</v>
      </c>
      <c r="C2164" t="s">
        <v>402</v>
      </c>
      <c r="D2164" s="1" t="s">
        <v>3570</v>
      </c>
      <c r="E2164" t="b">
        <v>0</v>
      </c>
      <c r="F2164">
        <v>93</v>
      </c>
      <c r="G2164">
        <v>65</v>
      </c>
      <c r="H2164" t="s">
        <v>11</v>
      </c>
      <c r="I2164" t="b">
        <v>0</v>
      </c>
      <c r="J2164" cm="1">
        <f t="array" ref="J2164">sentimentCalc(B2164)</f>
        <v>0</v>
      </c>
      <c r="K2164" t="str" cm="1">
        <f t="array" ref="K2164">sentimentCategory(J2164)</f>
        <v>Neutral</v>
      </c>
    </row>
    <row r="2165" spans="1:11" ht="17" x14ac:dyDescent="0.2">
      <c r="A2165" t="s">
        <v>48</v>
      </c>
      <c r="B2165" s="1" t="s">
        <v>52</v>
      </c>
      <c r="C2165" t="s">
        <v>53</v>
      </c>
      <c r="D2165" s="1" t="s">
        <v>54</v>
      </c>
      <c r="E2165" t="b">
        <v>0</v>
      </c>
      <c r="F2165">
        <v>6</v>
      </c>
      <c r="G2165">
        <v>16</v>
      </c>
      <c r="H2165" t="s">
        <v>47</v>
      </c>
      <c r="I2165" t="b">
        <v>0</v>
      </c>
      <c r="J2165" cm="1">
        <f t="array" ref="J2165">sentimentCalc(B2165)</f>
        <v>-1</v>
      </c>
      <c r="K2165" t="str" cm="1">
        <f t="array" ref="K2165">sentimentCategory(J2165)</f>
        <v>Negative</v>
      </c>
    </row>
    <row r="2166" spans="1:11" ht="34" x14ac:dyDescent="0.2">
      <c r="A2166" t="s">
        <v>4499</v>
      </c>
      <c r="B2166" s="1" t="s">
        <v>4500</v>
      </c>
      <c r="C2166" t="s">
        <v>2421</v>
      </c>
      <c r="D2166" s="1" t="s">
        <v>4501</v>
      </c>
      <c r="E2166" t="b">
        <v>0</v>
      </c>
      <c r="F2166">
        <v>866</v>
      </c>
      <c r="G2166">
        <v>1918</v>
      </c>
      <c r="H2166" t="s">
        <v>11</v>
      </c>
      <c r="I2166" t="b">
        <v>0</v>
      </c>
      <c r="J2166" cm="1">
        <f t="array" ref="J2166">sentimentCalc(B2166)</f>
        <v>1</v>
      </c>
      <c r="K2166" t="str" cm="1">
        <f t="array" ref="K2166">sentimentCategory(J2166)</f>
        <v>Positive</v>
      </c>
    </row>
    <row r="2167" spans="1:11" ht="17" x14ac:dyDescent="0.2">
      <c r="A2167" t="s">
        <v>5373</v>
      </c>
      <c r="B2167" s="1" t="s">
        <v>5374</v>
      </c>
      <c r="C2167" t="s">
        <v>5375</v>
      </c>
      <c r="D2167" s="1" t="s">
        <v>2</v>
      </c>
      <c r="E2167" t="b">
        <v>0</v>
      </c>
      <c r="F2167">
        <v>103</v>
      </c>
      <c r="G2167">
        <v>581</v>
      </c>
      <c r="H2167" t="s">
        <v>11</v>
      </c>
      <c r="I2167" t="b">
        <v>0</v>
      </c>
      <c r="J2167" cm="1">
        <f t="array" ref="J2167">sentimentCalc(B2167)</f>
        <v>2</v>
      </c>
      <c r="K2167" t="str" cm="1">
        <f t="array" ref="K2167">sentimentCategory(J2167)</f>
        <v>Positive</v>
      </c>
    </row>
    <row r="2168" spans="1:11" ht="17" x14ac:dyDescent="0.2">
      <c r="A2168" t="s">
        <v>6309</v>
      </c>
      <c r="B2168" s="1" t="s">
        <v>6310</v>
      </c>
      <c r="C2168" t="s">
        <v>2039</v>
      </c>
      <c r="D2168" s="1" t="s">
        <v>1694</v>
      </c>
      <c r="E2168" t="b">
        <v>0</v>
      </c>
      <c r="F2168">
        <v>238</v>
      </c>
      <c r="G2168">
        <v>145</v>
      </c>
      <c r="H2168" t="s">
        <v>11</v>
      </c>
      <c r="I2168" t="b">
        <v>0</v>
      </c>
      <c r="J2168" cm="1">
        <f t="array" ref="J2168">sentimentCalc(B2168)</f>
        <v>0</v>
      </c>
      <c r="K2168" t="str" cm="1">
        <f t="array" ref="K2168">sentimentCategory(J2168)</f>
        <v>Neutral</v>
      </c>
    </row>
    <row r="2169" spans="1:11" ht="34" x14ac:dyDescent="0.2">
      <c r="A2169" t="s">
        <v>2653</v>
      </c>
      <c r="B2169" s="1" t="s">
        <v>2654</v>
      </c>
      <c r="C2169" t="s">
        <v>501</v>
      </c>
      <c r="D2169" s="1" t="s">
        <v>2</v>
      </c>
      <c r="E2169" t="b">
        <v>0</v>
      </c>
      <c r="F2169">
        <v>9</v>
      </c>
      <c r="G2169">
        <v>76</v>
      </c>
      <c r="H2169" t="s">
        <v>11</v>
      </c>
      <c r="I2169" t="b">
        <v>0</v>
      </c>
      <c r="J2169" cm="1">
        <f t="array" ref="J2169">sentimentCalc(B2169)</f>
        <v>0</v>
      </c>
      <c r="K2169" t="str" cm="1">
        <f t="array" ref="K2169">sentimentCategory(J2169)</f>
        <v>Neutral</v>
      </c>
    </row>
    <row r="2170" spans="1:11" ht="34" x14ac:dyDescent="0.2">
      <c r="A2170" t="s">
        <v>5863</v>
      </c>
      <c r="B2170" s="1" t="s">
        <v>5864</v>
      </c>
      <c r="C2170" t="s">
        <v>2701</v>
      </c>
      <c r="D2170" s="1" t="s">
        <v>2</v>
      </c>
      <c r="E2170" t="b">
        <v>0</v>
      </c>
      <c r="F2170">
        <v>29</v>
      </c>
      <c r="G2170">
        <v>48</v>
      </c>
      <c r="H2170" t="s">
        <v>11</v>
      </c>
      <c r="I2170" t="b">
        <v>0</v>
      </c>
      <c r="J2170" cm="1">
        <f t="array" ref="J2170">sentimentCalc(B2170)</f>
        <v>0</v>
      </c>
      <c r="K2170" t="str" cm="1">
        <f t="array" ref="K2170">sentimentCategory(J2170)</f>
        <v>Neutral</v>
      </c>
    </row>
    <row r="2171" spans="1:11" ht="34" x14ac:dyDescent="0.2">
      <c r="A2171" t="s">
        <v>3969</v>
      </c>
      <c r="B2171" s="1" t="s">
        <v>3970</v>
      </c>
      <c r="C2171" t="s">
        <v>292</v>
      </c>
      <c r="D2171" s="1" t="s">
        <v>2</v>
      </c>
      <c r="E2171" t="b">
        <v>0</v>
      </c>
      <c r="F2171">
        <v>26</v>
      </c>
      <c r="G2171">
        <v>94</v>
      </c>
      <c r="H2171" t="s">
        <v>11</v>
      </c>
      <c r="I2171" t="b">
        <v>0</v>
      </c>
      <c r="J2171" cm="1">
        <f t="array" ref="J2171">sentimentCalc(B2171)</f>
        <v>-2</v>
      </c>
      <c r="K2171" t="str" cm="1">
        <f t="array" ref="K2171">sentimentCategory(J2171)</f>
        <v>Negative</v>
      </c>
    </row>
    <row r="2172" spans="1:11" ht="17" x14ac:dyDescent="0.2">
      <c r="A2172" t="s">
        <v>6391</v>
      </c>
      <c r="B2172" s="1" t="s">
        <v>6392</v>
      </c>
      <c r="C2172" t="s">
        <v>3597</v>
      </c>
      <c r="D2172" s="1" t="s">
        <v>2</v>
      </c>
      <c r="E2172" t="b">
        <v>0</v>
      </c>
      <c r="F2172">
        <v>33</v>
      </c>
      <c r="G2172">
        <v>125</v>
      </c>
      <c r="H2172" t="s">
        <v>11</v>
      </c>
      <c r="I2172" t="b">
        <v>0</v>
      </c>
      <c r="J2172" cm="1">
        <f t="array" ref="J2172">sentimentCalc(B2172)</f>
        <v>2</v>
      </c>
      <c r="K2172" t="str" cm="1">
        <f t="array" ref="K2172">sentimentCategory(J2172)</f>
        <v>Positive</v>
      </c>
    </row>
    <row r="2173" spans="1:11" ht="17" x14ac:dyDescent="0.2">
      <c r="A2173" t="s">
        <v>4206</v>
      </c>
      <c r="B2173" s="1" t="s">
        <v>4207</v>
      </c>
      <c r="C2173" t="s">
        <v>4208</v>
      </c>
      <c r="D2173" s="1" t="s">
        <v>4209</v>
      </c>
      <c r="E2173" t="b">
        <v>0</v>
      </c>
      <c r="F2173">
        <v>2486</v>
      </c>
      <c r="G2173">
        <v>3126</v>
      </c>
      <c r="H2173" t="s">
        <v>11</v>
      </c>
      <c r="I2173" t="b">
        <v>0</v>
      </c>
      <c r="J2173" cm="1">
        <f t="array" ref="J2173">sentimentCalc(B2173)</f>
        <v>0</v>
      </c>
      <c r="K2173" t="str" cm="1">
        <f t="array" ref="K2173">sentimentCategory(J2173)</f>
        <v>Neutral</v>
      </c>
    </row>
    <row r="2174" spans="1:11" ht="17" x14ac:dyDescent="0.2">
      <c r="A2174" t="s">
        <v>1501</v>
      </c>
      <c r="B2174" s="1" t="s">
        <v>1502</v>
      </c>
      <c r="C2174" t="s">
        <v>1503</v>
      </c>
      <c r="D2174" s="1" t="s">
        <v>144</v>
      </c>
      <c r="E2174" t="b">
        <v>0</v>
      </c>
      <c r="F2174">
        <v>11</v>
      </c>
      <c r="G2174">
        <v>45</v>
      </c>
      <c r="H2174" t="s">
        <v>11</v>
      </c>
      <c r="I2174" t="b">
        <v>0</v>
      </c>
      <c r="J2174" cm="1">
        <f t="array" ref="J2174">sentimentCalc(B2174)</f>
        <v>0</v>
      </c>
      <c r="K2174" t="str" cm="1">
        <f t="array" ref="K2174">sentimentCategory(J2174)</f>
        <v>Neutral</v>
      </c>
    </row>
    <row r="2175" spans="1:11" ht="17" x14ac:dyDescent="0.2">
      <c r="A2175" t="s">
        <v>6927</v>
      </c>
      <c r="B2175" s="1" t="s">
        <v>6928</v>
      </c>
      <c r="C2175" t="s">
        <v>2757</v>
      </c>
      <c r="D2175" s="1" t="s">
        <v>6929</v>
      </c>
      <c r="E2175" t="b">
        <v>0</v>
      </c>
      <c r="F2175">
        <v>45</v>
      </c>
      <c r="G2175">
        <v>276</v>
      </c>
      <c r="H2175" t="s">
        <v>11</v>
      </c>
      <c r="I2175" t="b">
        <v>0</v>
      </c>
      <c r="J2175" cm="1">
        <f t="array" ref="J2175">sentimentCalc(B2175)</f>
        <v>2</v>
      </c>
      <c r="K2175" t="str" cm="1">
        <f t="array" ref="K2175">sentimentCategory(J2175)</f>
        <v>Positive</v>
      </c>
    </row>
    <row r="2176" spans="1:11" ht="17" x14ac:dyDescent="0.2">
      <c r="A2176" t="s">
        <v>6541</v>
      </c>
      <c r="B2176" s="1" t="s">
        <v>6542</v>
      </c>
      <c r="C2176" t="s">
        <v>2639</v>
      </c>
      <c r="D2176" s="1" t="s">
        <v>2</v>
      </c>
      <c r="E2176" t="b">
        <v>0</v>
      </c>
      <c r="F2176">
        <v>3036</v>
      </c>
      <c r="G2176">
        <v>611</v>
      </c>
      <c r="H2176" t="s">
        <v>11</v>
      </c>
      <c r="I2176" t="b">
        <v>0</v>
      </c>
      <c r="J2176" cm="1">
        <f t="array" ref="J2176">sentimentCalc(B2176)</f>
        <v>0</v>
      </c>
      <c r="K2176" t="str" cm="1">
        <f t="array" ref="K2176">sentimentCategory(J2176)</f>
        <v>Neutral</v>
      </c>
    </row>
    <row r="2177" spans="1:11" ht="17" x14ac:dyDescent="0.2">
      <c r="A2177" t="s">
        <v>7218</v>
      </c>
      <c r="B2177" s="1" t="s">
        <v>7219</v>
      </c>
      <c r="C2177" t="s">
        <v>7220</v>
      </c>
      <c r="D2177" s="1" t="s">
        <v>2</v>
      </c>
      <c r="E2177" t="b">
        <v>0</v>
      </c>
      <c r="F2177">
        <v>4</v>
      </c>
      <c r="G2177">
        <v>6</v>
      </c>
      <c r="H2177" t="s">
        <v>11</v>
      </c>
      <c r="I2177" t="b">
        <v>0</v>
      </c>
      <c r="J2177" cm="1">
        <f t="array" ref="J2177">sentimentCalc(B2177)</f>
        <v>0</v>
      </c>
      <c r="K2177" t="str" cm="1">
        <f t="array" ref="K2177">sentimentCategory(J2177)</f>
        <v>Neutral</v>
      </c>
    </row>
    <row r="2178" spans="1:11" ht="34" x14ac:dyDescent="0.2">
      <c r="A2178" t="s">
        <v>2246</v>
      </c>
      <c r="B2178" s="1" t="s">
        <v>2247</v>
      </c>
      <c r="C2178" t="s">
        <v>1987</v>
      </c>
      <c r="D2178" s="1" t="s">
        <v>2248</v>
      </c>
      <c r="E2178" t="b">
        <v>0</v>
      </c>
      <c r="F2178">
        <v>58</v>
      </c>
      <c r="G2178">
        <v>257</v>
      </c>
      <c r="H2178" t="s">
        <v>11</v>
      </c>
      <c r="I2178" t="b">
        <v>0</v>
      </c>
      <c r="J2178" cm="1">
        <f t="array" ref="J2178">sentimentCalc(B2178)</f>
        <v>0</v>
      </c>
      <c r="K2178" t="str" cm="1">
        <f t="array" ref="K2178">sentimentCategory(J2178)</f>
        <v>Neutral</v>
      </c>
    </row>
    <row r="2179" spans="1:11" ht="17" x14ac:dyDescent="0.2">
      <c r="A2179" t="s">
        <v>2626</v>
      </c>
      <c r="B2179" s="1" t="s">
        <v>2627</v>
      </c>
      <c r="C2179" t="s">
        <v>2628</v>
      </c>
      <c r="E2179" t="b">
        <v>0</v>
      </c>
      <c r="F2179">
        <v>84</v>
      </c>
      <c r="G2179">
        <v>57</v>
      </c>
      <c r="H2179" t="s">
        <v>11</v>
      </c>
      <c r="I2179" t="b">
        <v>0</v>
      </c>
      <c r="J2179" cm="1">
        <f t="array" ref="J2179">sentimentCalc(B2179)</f>
        <v>1</v>
      </c>
      <c r="K2179" t="str" cm="1">
        <f t="array" ref="K2179">sentimentCategory(J2179)</f>
        <v>Positive</v>
      </c>
    </row>
    <row r="2180" spans="1:11" ht="17" x14ac:dyDescent="0.2">
      <c r="A2180" t="s">
        <v>2676</v>
      </c>
      <c r="B2180" s="1" t="s">
        <v>2677</v>
      </c>
      <c r="C2180" t="s">
        <v>1237</v>
      </c>
      <c r="D2180" s="1" t="s">
        <v>2</v>
      </c>
      <c r="E2180" t="b">
        <v>0</v>
      </c>
      <c r="F2180">
        <v>7208</v>
      </c>
      <c r="G2180">
        <v>2811</v>
      </c>
      <c r="H2180" t="s">
        <v>11</v>
      </c>
      <c r="I2180" t="b">
        <v>0</v>
      </c>
      <c r="J2180" cm="1">
        <f t="array" ref="J2180">sentimentCalc(B2180)</f>
        <v>0</v>
      </c>
      <c r="K2180" t="str" cm="1">
        <f t="array" ref="K2180">sentimentCategory(J2180)</f>
        <v>Neutral</v>
      </c>
    </row>
    <row r="2181" spans="1:11" ht="17" x14ac:dyDescent="0.2">
      <c r="A2181" t="s">
        <v>4165</v>
      </c>
      <c r="B2181" s="1" t="s">
        <v>4166</v>
      </c>
      <c r="C2181" t="s">
        <v>1382</v>
      </c>
      <c r="D2181" s="1" t="s">
        <v>2</v>
      </c>
      <c r="E2181" t="b">
        <v>0</v>
      </c>
      <c r="F2181">
        <v>733</v>
      </c>
      <c r="G2181">
        <v>491</v>
      </c>
      <c r="H2181" t="s">
        <v>11</v>
      </c>
      <c r="I2181" t="b">
        <v>0</v>
      </c>
      <c r="J2181" cm="1">
        <f t="array" ref="J2181">sentimentCalc(B2181)</f>
        <v>0</v>
      </c>
      <c r="K2181" t="str" cm="1">
        <f t="array" ref="K2181">sentimentCategory(J2181)</f>
        <v>Neutral</v>
      </c>
    </row>
    <row r="2182" spans="1:11" ht="17" x14ac:dyDescent="0.2">
      <c r="A2182" t="s">
        <v>3605</v>
      </c>
      <c r="B2182" s="1" t="s">
        <v>3606</v>
      </c>
      <c r="C2182" t="s">
        <v>3607</v>
      </c>
      <c r="D2182" s="1" t="s">
        <v>730</v>
      </c>
      <c r="E2182" t="b">
        <v>0</v>
      </c>
      <c r="F2182">
        <v>5264</v>
      </c>
      <c r="G2182">
        <v>130</v>
      </c>
      <c r="H2182" t="s">
        <v>11</v>
      </c>
      <c r="I2182" t="b">
        <v>0</v>
      </c>
      <c r="J2182" cm="1">
        <f t="array" ref="J2182">sentimentCalc(B2182)</f>
        <v>1</v>
      </c>
      <c r="K2182" t="str" cm="1">
        <f t="array" ref="K2182">sentimentCategory(J2182)</f>
        <v>Positive</v>
      </c>
    </row>
    <row r="2183" spans="1:11" ht="34" x14ac:dyDescent="0.2">
      <c r="A2183" t="s">
        <v>1396</v>
      </c>
      <c r="B2183" s="1" t="s">
        <v>1397</v>
      </c>
      <c r="C2183" t="s">
        <v>1398</v>
      </c>
      <c r="D2183" s="1" t="s">
        <v>2</v>
      </c>
      <c r="E2183" t="b">
        <v>0</v>
      </c>
      <c r="F2183">
        <v>2</v>
      </c>
      <c r="G2183">
        <v>19</v>
      </c>
      <c r="H2183" t="s">
        <v>11</v>
      </c>
      <c r="I2183" t="b">
        <v>0</v>
      </c>
      <c r="J2183" cm="1">
        <f t="array" ref="J2183">sentimentCalc(B2183)</f>
        <v>1</v>
      </c>
      <c r="K2183" t="str" cm="1">
        <f t="array" ref="K2183">sentimentCategory(J2183)</f>
        <v>Positive</v>
      </c>
    </row>
    <row r="2184" spans="1:11" ht="17" x14ac:dyDescent="0.2">
      <c r="A2184" t="s">
        <v>6644</v>
      </c>
      <c r="B2184" s="1" t="s">
        <v>6645</v>
      </c>
      <c r="C2184" t="s">
        <v>26</v>
      </c>
      <c r="D2184" s="1" t="s">
        <v>2</v>
      </c>
      <c r="E2184" t="b">
        <v>0</v>
      </c>
      <c r="F2184">
        <v>3</v>
      </c>
      <c r="G2184">
        <v>1</v>
      </c>
      <c r="H2184" t="s">
        <v>11</v>
      </c>
      <c r="I2184" t="b">
        <v>0</v>
      </c>
      <c r="J2184" cm="1">
        <f t="array" ref="J2184">sentimentCalc(B2184)</f>
        <v>0</v>
      </c>
      <c r="K2184" t="str" cm="1">
        <f t="array" ref="K2184">sentimentCategory(J2184)</f>
        <v>Neutral</v>
      </c>
    </row>
    <row r="2185" spans="1:11" ht="17" x14ac:dyDescent="0.2">
      <c r="A2185" t="s">
        <v>936</v>
      </c>
      <c r="B2185" s="1" t="s">
        <v>937</v>
      </c>
      <c r="C2185" t="s">
        <v>938</v>
      </c>
      <c r="D2185" s="1" t="s">
        <v>109</v>
      </c>
      <c r="E2185" t="b">
        <v>0</v>
      </c>
      <c r="F2185">
        <v>300</v>
      </c>
      <c r="G2185">
        <v>551</v>
      </c>
      <c r="H2185" t="s">
        <v>11</v>
      </c>
      <c r="I2185" t="b">
        <v>0</v>
      </c>
      <c r="J2185" cm="1">
        <f t="array" ref="J2185">sentimentCalc(B2185)</f>
        <v>0</v>
      </c>
      <c r="K2185" t="str" cm="1">
        <f t="array" ref="K2185">sentimentCategory(J2185)</f>
        <v>Neutral</v>
      </c>
    </row>
    <row r="2186" spans="1:11" ht="17" x14ac:dyDescent="0.2">
      <c r="A2186" t="s">
        <v>6129</v>
      </c>
      <c r="B2186" s="1" t="s">
        <v>6130</v>
      </c>
      <c r="C2186" t="s">
        <v>6131</v>
      </c>
      <c r="D2186" s="1" t="s">
        <v>2</v>
      </c>
      <c r="E2186" t="b">
        <v>0</v>
      </c>
      <c r="F2186">
        <v>17</v>
      </c>
      <c r="G2186">
        <v>97</v>
      </c>
      <c r="H2186" t="s">
        <v>11</v>
      </c>
      <c r="I2186" t="b">
        <v>0</v>
      </c>
      <c r="J2186" cm="1">
        <f t="array" ref="J2186">sentimentCalc(B2186)</f>
        <v>0</v>
      </c>
      <c r="K2186" t="str" cm="1">
        <f t="array" ref="K2186">sentimentCategory(J2186)</f>
        <v>Neutral</v>
      </c>
    </row>
    <row r="2187" spans="1:11" ht="17" x14ac:dyDescent="0.2">
      <c r="A2187" t="s">
        <v>5026</v>
      </c>
      <c r="B2187" s="1" t="s">
        <v>5027</v>
      </c>
      <c r="C2187" t="s">
        <v>5028</v>
      </c>
      <c r="D2187" s="1" t="s">
        <v>5029</v>
      </c>
      <c r="E2187" t="b">
        <v>0</v>
      </c>
      <c r="F2187">
        <v>9</v>
      </c>
      <c r="G2187">
        <v>25</v>
      </c>
      <c r="H2187" t="s">
        <v>11</v>
      </c>
      <c r="I2187" t="b">
        <v>0</v>
      </c>
      <c r="J2187" cm="1">
        <f t="array" ref="J2187">sentimentCalc(B2187)</f>
        <v>0</v>
      </c>
      <c r="K2187" t="str" cm="1">
        <f t="array" ref="K2187">sentimentCategory(J2187)</f>
        <v>Neutral</v>
      </c>
    </row>
    <row r="2188" spans="1:11" ht="34" x14ac:dyDescent="0.2">
      <c r="A2188" t="s">
        <v>3118</v>
      </c>
      <c r="B2188" s="1" t="s">
        <v>3119</v>
      </c>
      <c r="C2188" t="s">
        <v>611</v>
      </c>
      <c r="D2188" s="1" t="s">
        <v>61</v>
      </c>
      <c r="E2188" t="b">
        <v>1</v>
      </c>
      <c r="F2188">
        <v>13326</v>
      </c>
      <c r="G2188">
        <v>476</v>
      </c>
      <c r="H2188" t="s">
        <v>11</v>
      </c>
      <c r="I2188" t="b">
        <v>0</v>
      </c>
      <c r="J2188" cm="1">
        <f t="array" ref="J2188">sentimentCalc(B2188)</f>
        <v>0</v>
      </c>
      <c r="K2188" t="str" cm="1">
        <f t="array" ref="K2188">sentimentCategory(J2188)</f>
        <v>Neutral</v>
      </c>
    </row>
    <row r="2189" spans="1:11" ht="34" x14ac:dyDescent="0.2">
      <c r="A2189" t="s">
        <v>3085</v>
      </c>
      <c r="B2189" s="1" t="s">
        <v>3086</v>
      </c>
      <c r="C2189" t="s">
        <v>611</v>
      </c>
      <c r="D2189" s="1" t="s">
        <v>61</v>
      </c>
      <c r="E2189" t="b">
        <v>1</v>
      </c>
      <c r="F2189">
        <v>13326</v>
      </c>
      <c r="G2189">
        <v>476</v>
      </c>
      <c r="H2189" t="s">
        <v>11</v>
      </c>
      <c r="I2189" t="b">
        <v>0</v>
      </c>
      <c r="J2189" cm="1">
        <f t="array" ref="J2189">sentimentCalc(B2189)</f>
        <v>0</v>
      </c>
      <c r="K2189" t="str" cm="1">
        <f t="array" ref="K2189">sentimentCategory(J2189)</f>
        <v>Neutral</v>
      </c>
    </row>
    <row r="2190" spans="1:11" ht="34" x14ac:dyDescent="0.2">
      <c r="A2190" t="s">
        <v>3122</v>
      </c>
      <c r="B2190" s="1" t="s">
        <v>3123</v>
      </c>
      <c r="C2190" t="s">
        <v>3124</v>
      </c>
      <c r="D2190" s="1" t="s">
        <v>3125</v>
      </c>
      <c r="E2190" t="b">
        <v>0</v>
      </c>
      <c r="F2190">
        <v>4640</v>
      </c>
      <c r="G2190">
        <v>3750</v>
      </c>
      <c r="H2190" t="s">
        <v>11</v>
      </c>
      <c r="I2190" t="b">
        <v>0</v>
      </c>
      <c r="J2190" cm="1">
        <f t="array" ref="J2190">sentimentCalc(B2190)</f>
        <v>0</v>
      </c>
      <c r="K2190" t="str" cm="1">
        <f t="array" ref="K2190">sentimentCategory(J2190)</f>
        <v>Neutral</v>
      </c>
    </row>
    <row r="2191" spans="1:11" ht="34" x14ac:dyDescent="0.2">
      <c r="A2191" t="s">
        <v>3168</v>
      </c>
      <c r="B2191" s="1" t="s">
        <v>3169</v>
      </c>
      <c r="C2191" t="s">
        <v>26</v>
      </c>
      <c r="D2191" s="1" t="s">
        <v>2</v>
      </c>
      <c r="E2191" t="b">
        <v>0</v>
      </c>
      <c r="F2191">
        <v>2</v>
      </c>
      <c r="G2191">
        <v>29</v>
      </c>
      <c r="H2191" t="s">
        <v>11</v>
      </c>
      <c r="I2191" t="b">
        <v>0</v>
      </c>
      <c r="J2191" cm="1">
        <f t="array" ref="J2191">sentimentCalc(B2191)</f>
        <v>-1</v>
      </c>
      <c r="K2191" t="str" cm="1">
        <f t="array" ref="K2191">sentimentCategory(J2191)</f>
        <v>Negative</v>
      </c>
    </row>
    <row r="2192" spans="1:11" ht="17" x14ac:dyDescent="0.2">
      <c r="A2192" t="s">
        <v>3016</v>
      </c>
      <c r="B2192" s="1" t="s">
        <v>3017</v>
      </c>
      <c r="C2192" t="s">
        <v>3018</v>
      </c>
      <c r="D2192" s="1" t="s">
        <v>829</v>
      </c>
      <c r="E2192" t="b">
        <v>0</v>
      </c>
      <c r="F2192">
        <v>4050</v>
      </c>
      <c r="G2192">
        <v>1677</v>
      </c>
      <c r="H2192" t="s">
        <v>11</v>
      </c>
      <c r="I2192" t="b">
        <v>0</v>
      </c>
      <c r="J2192" cm="1">
        <f t="array" ref="J2192">sentimentCalc(B2192)</f>
        <v>0</v>
      </c>
      <c r="K2192" t="str" cm="1">
        <f t="array" ref="K2192">sentimentCategory(J2192)</f>
        <v>Neutral</v>
      </c>
    </row>
    <row r="2193" spans="1:11" ht="34" x14ac:dyDescent="0.2">
      <c r="A2193" t="s">
        <v>1737</v>
      </c>
      <c r="B2193" s="1" t="s">
        <v>1738</v>
      </c>
      <c r="C2193" t="s">
        <v>1739</v>
      </c>
      <c r="E2193" t="b">
        <v>0</v>
      </c>
      <c r="F2193">
        <v>1223</v>
      </c>
      <c r="G2193">
        <v>2150</v>
      </c>
      <c r="H2193" t="s">
        <v>11</v>
      </c>
      <c r="I2193" t="b">
        <v>0</v>
      </c>
      <c r="J2193" cm="1">
        <f t="array" ref="J2193">sentimentCalc(B2193)</f>
        <v>0</v>
      </c>
      <c r="K2193" t="str" cm="1">
        <f t="array" ref="K2193">sentimentCategory(J2193)</f>
        <v>Neutral</v>
      </c>
    </row>
    <row r="2194" spans="1:11" ht="17" x14ac:dyDescent="0.2">
      <c r="A2194" t="s">
        <v>1056</v>
      </c>
      <c r="B2194" s="1" t="s">
        <v>1057</v>
      </c>
      <c r="C2194" t="s">
        <v>1058</v>
      </c>
      <c r="D2194" s="1" t="s">
        <v>1059</v>
      </c>
      <c r="E2194" t="b">
        <v>0</v>
      </c>
      <c r="F2194">
        <v>110</v>
      </c>
      <c r="G2194">
        <v>144</v>
      </c>
      <c r="H2194" t="s">
        <v>11</v>
      </c>
      <c r="I2194" t="b">
        <v>0</v>
      </c>
      <c r="J2194" cm="1">
        <f t="array" ref="J2194">sentimentCalc(B2194)</f>
        <v>0</v>
      </c>
      <c r="K2194" t="str" cm="1">
        <f t="array" ref="K2194">sentimentCategory(J2194)</f>
        <v>Neutral</v>
      </c>
    </row>
    <row r="2195" spans="1:11" ht="17" x14ac:dyDescent="0.2">
      <c r="A2195" t="s">
        <v>6219</v>
      </c>
      <c r="B2195" s="1" t="s">
        <v>6220</v>
      </c>
      <c r="C2195" t="s">
        <v>6221</v>
      </c>
      <c r="D2195" s="1" t="s">
        <v>2</v>
      </c>
      <c r="E2195" t="b">
        <v>0</v>
      </c>
      <c r="F2195">
        <v>377</v>
      </c>
      <c r="G2195">
        <v>2338</v>
      </c>
      <c r="H2195" t="s">
        <v>11</v>
      </c>
      <c r="I2195" t="b">
        <v>0</v>
      </c>
      <c r="J2195" cm="1">
        <f t="array" ref="J2195">sentimentCalc(B2195)</f>
        <v>0</v>
      </c>
      <c r="K2195" t="str" cm="1">
        <f t="array" ref="K2195">sentimentCategory(J2195)</f>
        <v>Neutral</v>
      </c>
    </row>
    <row r="2196" spans="1:11" ht="34" x14ac:dyDescent="0.2">
      <c r="A2196" t="s">
        <v>4297</v>
      </c>
      <c r="B2196" s="1" t="s">
        <v>4298</v>
      </c>
      <c r="C2196" t="s">
        <v>4299</v>
      </c>
      <c r="D2196" s="1" t="s">
        <v>2</v>
      </c>
      <c r="E2196" t="b">
        <v>0</v>
      </c>
      <c r="F2196">
        <v>3414</v>
      </c>
      <c r="G2196">
        <v>3547</v>
      </c>
      <c r="H2196" t="s">
        <v>11</v>
      </c>
      <c r="I2196" t="b">
        <v>0</v>
      </c>
      <c r="J2196" cm="1">
        <f t="array" ref="J2196">sentimentCalc(B2196)</f>
        <v>0</v>
      </c>
      <c r="K2196" t="str" cm="1">
        <f t="array" ref="K2196">sentimentCategory(J2196)</f>
        <v>Neutral</v>
      </c>
    </row>
    <row r="2197" spans="1:11" ht="17" x14ac:dyDescent="0.2">
      <c r="A2197" t="s">
        <v>3255</v>
      </c>
      <c r="B2197" s="1" t="s">
        <v>3256</v>
      </c>
      <c r="C2197" t="s">
        <v>1592</v>
      </c>
      <c r="D2197" s="1" t="s">
        <v>1593</v>
      </c>
      <c r="E2197" t="b">
        <v>0</v>
      </c>
      <c r="F2197">
        <v>4</v>
      </c>
      <c r="G2197">
        <v>0</v>
      </c>
      <c r="H2197" t="s">
        <v>11</v>
      </c>
      <c r="I2197" t="b">
        <v>0</v>
      </c>
      <c r="J2197" cm="1">
        <f t="array" ref="J2197">sentimentCalc(B2197)</f>
        <v>0</v>
      </c>
      <c r="K2197" t="str" cm="1">
        <f t="array" ref="K2197">sentimentCategory(J2197)</f>
        <v>Neutral</v>
      </c>
    </row>
    <row r="2198" spans="1:11" ht="17" x14ac:dyDescent="0.2">
      <c r="A2198" t="s">
        <v>1609</v>
      </c>
      <c r="B2198" s="1" t="s">
        <v>1610</v>
      </c>
      <c r="C2198" t="s">
        <v>319</v>
      </c>
      <c r="D2198" s="1" t="s">
        <v>1611</v>
      </c>
      <c r="E2198" t="b">
        <v>0</v>
      </c>
      <c r="F2198">
        <v>417</v>
      </c>
      <c r="G2198">
        <v>74</v>
      </c>
      <c r="H2198" t="s">
        <v>11</v>
      </c>
      <c r="I2198" t="b">
        <v>0</v>
      </c>
      <c r="J2198" cm="1">
        <f t="array" ref="J2198">sentimentCalc(B2198)</f>
        <v>0</v>
      </c>
      <c r="K2198" t="str" cm="1">
        <f t="array" ref="K2198">sentimentCategory(J2198)</f>
        <v>Neutral</v>
      </c>
    </row>
    <row r="2199" spans="1:11" ht="34" x14ac:dyDescent="0.2">
      <c r="A2199" t="s">
        <v>2968</v>
      </c>
      <c r="B2199" s="1" t="s">
        <v>2969</v>
      </c>
      <c r="C2199" t="s">
        <v>2970</v>
      </c>
      <c r="D2199" s="1" t="s">
        <v>2</v>
      </c>
      <c r="E2199" t="b">
        <v>0</v>
      </c>
      <c r="F2199">
        <v>708</v>
      </c>
      <c r="G2199">
        <v>374</v>
      </c>
      <c r="H2199" t="s">
        <v>11</v>
      </c>
      <c r="I2199" t="b">
        <v>0</v>
      </c>
      <c r="J2199" cm="1">
        <f t="array" ref="J2199">sentimentCalc(B2199)</f>
        <v>0</v>
      </c>
      <c r="K2199" t="str" cm="1">
        <f t="array" ref="K2199">sentimentCategory(J2199)</f>
        <v>Neutral</v>
      </c>
    </row>
    <row r="2200" spans="1:11" ht="17" x14ac:dyDescent="0.2">
      <c r="A2200" t="s">
        <v>698</v>
      </c>
      <c r="B2200" s="1" t="s">
        <v>699</v>
      </c>
      <c r="C2200" t="s">
        <v>700</v>
      </c>
      <c r="D2200" s="1" t="s">
        <v>701</v>
      </c>
      <c r="E2200" t="b">
        <v>0</v>
      </c>
      <c r="F2200">
        <v>1996</v>
      </c>
      <c r="G2200">
        <v>2545</v>
      </c>
      <c r="H2200" t="s">
        <v>11</v>
      </c>
      <c r="I2200" t="b">
        <v>0</v>
      </c>
      <c r="J2200" cm="1">
        <f t="array" ref="J2200">sentimentCalc(B2200)</f>
        <v>0</v>
      </c>
      <c r="K2200" t="str" cm="1">
        <f t="array" ref="K2200">sentimentCategory(J2200)</f>
        <v>Neutral</v>
      </c>
    </row>
    <row r="2201" spans="1:11" ht="34" x14ac:dyDescent="0.2">
      <c r="A2201" t="s">
        <v>6648</v>
      </c>
      <c r="B2201" s="1" t="s">
        <v>6649</v>
      </c>
      <c r="C2201" t="s">
        <v>2398</v>
      </c>
      <c r="D2201" s="1" t="s">
        <v>1238</v>
      </c>
      <c r="E2201" t="b">
        <v>0</v>
      </c>
      <c r="F2201">
        <v>4935</v>
      </c>
      <c r="G2201">
        <v>497</v>
      </c>
      <c r="H2201" t="s">
        <v>11</v>
      </c>
      <c r="I2201" t="b">
        <v>0</v>
      </c>
      <c r="J2201" cm="1">
        <f t="array" ref="J2201">sentimentCalc(B2201)</f>
        <v>0</v>
      </c>
      <c r="K2201" t="str" cm="1">
        <f t="array" ref="K2201">sentimentCategory(J2201)</f>
        <v>Neutral</v>
      </c>
    </row>
    <row r="2202" spans="1:11" ht="17" x14ac:dyDescent="0.2">
      <c r="A2202" t="s">
        <v>6356</v>
      </c>
      <c r="B2202" s="1" t="s">
        <v>6357</v>
      </c>
      <c r="C2202" t="s">
        <v>3333</v>
      </c>
      <c r="D2202" s="1" t="s">
        <v>2716</v>
      </c>
      <c r="E2202" t="b">
        <v>0</v>
      </c>
      <c r="F2202">
        <v>671</v>
      </c>
      <c r="G2202">
        <v>217</v>
      </c>
      <c r="H2202" t="s">
        <v>11</v>
      </c>
      <c r="I2202" t="b">
        <v>0</v>
      </c>
      <c r="J2202" cm="1">
        <f t="array" ref="J2202">sentimentCalc(B2202)</f>
        <v>0</v>
      </c>
      <c r="K2202" t="str" cm="1">
        <f t="array" ref="K2202">sentimentCategory(J2202)</f>
        <v>Neutral</v>
      </c>
    </row>
    <row r="2203" spans="1:11" ht="17" x14ac:dyDescent="0.2">
      <c r="A2203" t="s">
        <v>5251</v>
      </c>
      <c r="B2203" s="1" t="s">
        <v>5252</v>
      </c>
      <c r="C2203" t="s">
        <v>769</v>
      </c>
      <c r="D2203" s="1" t="s">
        <v>2</v>
      </c>
      <c r="E2203" t="b">
        <v>0</v>
      </c>
      <c r="F2203">
        <v>4</v>
      </c>
      <c r="G2203">
        <v>0</v>
      </c>
      <c r="H2203" t="s">
        <v>11</v>
      </c>
      <c r="I2203" t="b">
        <v>0</v>
      </c>
      <c r="J2203" cm="1">
        <f t="array" ref="J2203">sentimentCalc(B2203)</f>
        <v>0</v>
      </c>
      <c r="K2203" t="str" cm="1">
        <f t="array" ref="K2203">sentimentCategory(J2203)</f>
        <v>Neutral</v>
      </c>
    </row>
    <row r="2204" spans="1:11" ht="17" x14ac:dyDescent="0.2">
      <c r="A2204" t="s">
        <v>968</v>
      </c>
      <c r="B2204" s="1" t="s">
        <v>969</v>
      </c>
      <c r="C2204" t="s">
        <v>970</v>
      </c>
      <c r="D2204" s="1" t="s">
        <v>971</v>
      </c>
      <c r="E2204" t="b">
        <v>0</v>
      </c>
      <c r="F2204">
        <v>320</v>
      </c>
      <c r="G2204">
        <v>304</v>
      </c>
      <c r="H2204" t="s">
        <v>11</v>
      </c>
      <c r="I2204" t="b">
        <v>0</v>
      </c>
      <c r="J2204" cm="1">
        <f t="array" ref="J2204">sentimentCalc(B2204)</f>
        <v>0</v>
      </c>
      <c r="K2204" t="str" cm="1">
        <f t="array" ref="K2204">sentimentCategory(J2204)</f>
        <v>Neutral</v>
      </c>
    </row>
    <row r="2205" spans="1:11" ht="17" x14ac:dyDescent="0.2">
      <c r="A2205" t="s">
        <v>3327</v>
      </c>
      <c r="B2205" s="1" t="s">
        <v>3328</v>
      </c>
      <c r="C2205" t="s">
        <v>3329</v>
      </c>
      <c r="D2205" s="1" t="s">
        <v>3330</v>
      </c>
      <c r="E2205" t="b">
        <v>0</v>
      </c>
      <c r="F2205">
        <v>424</v>
      </c>
      <c r="G2205">
        <v>377</v>
      </c>
      <c r="H2205" t="s">
        <v>11</v>
      </c>
      <c r="I2205" t="b">
        <v>0</v>
      </c>
      <c r="J2205" cm="1">
        <f t="array" ref="J2205">sentimentCalc(B2205)</f>
        <v>0</v>
      </c>
      <c r="K2205" t="str" cm="1">
        <f t="array" ref="K2205">sentimentCategory(J2205)</f>
        <v>Neutral</v>
      </c>
    </row>
    <row r="2206" spans="1:11" ht="17" x14ac:dyDescent="0.2">
      <c r="A2206" t="s">
        <v>6028</v>
      </c>
      <c r="B2206" s="1" t="s">
        <v>6029</v>
      </c>
      <c r="C2206" t="s">
        <v>6030</v>
      </c>
      <c r="D2206" s="1" t="s">
        <v>68</v>
      </c>
      <c r="E2206" t="b">
        <v>0</v>
      </c>
      <c r="F2206">
        <v>9</v>
      </c>
      <c r="G2206">
        <v>42</v>
      </c>
      <c r="H2206" t="s">
        <v>11</v>
      </c>
      <c r="I2206" t="b">
        <v>0</v>
      </c>
      <c r="J2206" cm="1">
        <f t="array" ref="J2206">sentimentCalc(B2206)</f>
        <v>0</v>
      </c>
      <c r="K2206" t="str" cm="1">
        <f t="array" ref="K2206">sentimentCategory(J2206)</f>
        <v>Neutral</v>
      </c>
    </row>
    <row r="2207" spans="1:11" ht="34" x14ac:dyDescent="0.2">
      <c r="A2207" t="s">
        <v>7155</v>
      </c>
      <c r="B2207" s="1" t="s">
        <v>7158</v>
      </c>
      <c r="C2207" t="s">
        <v>5508</v>
      </c>
      <c r="D2207" s="1" t="s">
        <v>7159</v>
      </c>
      <c r="E2207" t="b">
        <v>0</v>
      </c>
      <c r="F2207">
        <v>31617</v>
      </c>
      <c r="G2207">
        <v>156</v>
      </c>
      <c r="H2207" t="s">
        <v>11</v>
      </c>
      <c r="I2207" t="b">
        <v>0</v>
      </c>
      <c r="J2207" cm="1">
        <f t="array" ref="J2207">sentimentCalc(B2207)</f>
        <v>1</v>
      </c>
      <c r="K2207" t="str" cm="1">
        <f t="array" ref="K2207">sentimentCategory(J2207)</f>
        <v>Positive</v>
      </c>
    </row>
    <row r="2208" spans="1:11" ht="17" x14ac:dyDescent="0.2">
      <c r="A2208" t="s">
        <v>6570</v>
      </c>
      <c r="B2208" s="1" t="s">
        <v>6571</v>
      </c>
      <c r="C2208" t="s">
        <v>6572</v>
      </c>
      <c r="D2208" s="1" t="s">
        <v>2</v>
      </c>
      <c r="E2208" t="b">
        <v>0</v>
      </c>
      <c r="F2208">
        <v>10</v>
      </c>
      <c r="G2208">
        <v>56</v>
      </c>
      <c r="H2208" t="s">
        <v>11</v>
      </c>
      <c r="I2208" t="b">
        <v>0</v>
      </c>
      <c r="J2208" cm="1">
        <f t="array" ref="J2208">sentimentCalc(B2208)</f>
        <v>0</v>
      </c>
      <c r="K2208" t="str" cm="1">
        <f t="array" ref="K2208">sentimentCategory(J2208)</f>
        <v>Neutral</v>
      </c>
    </row>
    <row r="2209" spans="1:11" ht="17" x14ac:dyDescent="0.2">
      <c r="A2209" t="s">
        <v>4354</v>
      </c>
      <c r="B2209" s="1" t="s">
        <v>4355</v>
      </c>
      <c r="C2209" t="s">
        <v>1907</v>
      </c>
      <c r="D2209" s="1" t="s">
        <v>4356</v>
      </c>
      <c r="E2209" t="b">
        <v>0</v>
      </c>
      <c r="F2209">
        <v>371</v>
      </c>
      <c r="G2209">
        <v>42</v>
      </c>
      <c r="H2209" t="s">
        <v>73</v>
      </c>
      <c r="I2209" t="b">
        <v>0</v>
      </c>
      <c r="J2209" cm="1">
        <f t="array" ref="J2209">sentimentCalc(B2209)</f>
        <v>-1</v>
      </c>
      <c r="K2209" t="str" cm="1">
        <f t="array" ref="K2209">sentimentCategory(J2209)</f>
        <v>Negative</v>
      </c>
    </row>
    <row r="2210" spans="1:11" ht="17" x14ac:dyDescent="0.2">
      <c r="A2210" t="s">
        <v>6086</v>
      </c>
      <c r="B2210" s="1" t="s">
        <v>6087</v>
      </c>
      <c r="C2210" t="s">
        <v>2375</v>
      </c>
      <c r="D2210" s="1" t="s">
        <v>2</v>
      </c>
      <c r="E2210" t="b">
        <v>0</v>
      </c>
      <c r="F2210">
        <v>610</v>
      </c>
      <c r="G2210">
        <v>389</v>
      </c>
      <c r="H2210" t="s">
        <v>11</v>
      </c>
      <c r="I2210" t="b">
        <v>0</v>
      </c>
      <c r="J2210" cm="1">
        <f t="array" ref="J2210">sentimentCalc(B2210)</f>
        <v>0</v>
      </c>
      <c r="K2210" t="str" cm="1">
        <f t="array" ref="K2210">sentimentCategory(J2210)</f>
        <v>Neutral</v>
      </c>
    </row>
    <row r="2211" spans="1:11" ht="17" x14ac:dyDescent="0.2">
      <c r="A2211" t="s">
        <v>1718</v>
      </c>
      <c r="B2211" s="1" t="s">
        <v>1719</v>
      </c>
      <c r="C2211" t="s">
        <v>1720</v>
      </c>
      <c r="D2211" s="1" t="s">
        <v>1721</v>
      </c>
      <c r="E2211" t="b">
        <v>0</v>
      </c>
      <c r="F2211">
        <v>1848</v>
      </c>
      <c r="G2211">
        <v>1184</v>
      </c>
      <c r="H2211" t="s">
        <v>11</v>
      </c>
      <c r="I2211" t="b">
        <v>0</v>
      </c>
      <c r="J2211" cm="1">
        <f t="array" ref="J2211">sentimentCalc(B2211)</f>
        <v>0</v>
      </c>
      <c r="K2211" t="str" cm="1">
        <f t="array" ref="K2211">sentimentCategory(J2211)</f>
        <v>Neutral</v>
      </c>
    </row>
    <row r="2212" spans="1:11" ht="34" x14ac:dyDescent="0.2">
      <c r="A2212" t="s">
        <v>6347</v>
      </c>
      <c r="B2212" s="1" t="s">
        <v>6348</v>
      </c>
      <c r="C2212" t="s">
        <v>627</v>
      </c>
      <c r="D2212" s="1" t="s">
        <v>2</v>
      </c>
      <c r="E2212" t="b">
        <v>0</v>
      </c>
      <c r="F2212">
        <v>18</v>
      </c>
      <c r="G2212">
        <v>118</v>
      </c>
      <c r="H2212" t="s">
        <v>47</v>
      </c>
      <c r="I2212" t="b">
        <v>0</v>
      </c>
      <c r="J2212" cm="1">
        <f t="array" ref="J2212">sentimentCalc(B2212)</f>
        <v>0</v>
      </c>
      <c r="K2212" t="str" cm="1">
        <f t="array" ref="K2212">sentimentCategory(J2212)</f>
        <v>Neutral</v>
      </c>
    </row>
    <row r="2213" spans="1:11" ht="17" x14ac:dyDescent="0.2">
      <c r="A2213" t="s">
        <v>2162</v>
      </c>
      <c r="B2213" s="1" t="s">
        <v>2163</v>
      </c>
      <c r="C2213" t="s">
        <v>2058</v>
      </c>
      <c r="D2213" s="1" t="s">
        <v>701</v>
      </c>
      <c r="E2213" t="b">
        <v>0</v>
      </c>
      <c r="F2213">
        <v>792</v>
      </c>
      <c r="G2213">
        <v>310</v>
      </c>
      <c r="H2213" t="s">
        <v>11</v>
      </c>
      <c r="I2213" t="b">
        <v>0</v>
      </c>
      <c r="J2213" cm="1">
        <f t="array" ref="J2213">sentimentCalc(B2213)</f>
        <v>0</v>
      </c>
      <c r="K2213" t="str" cm="1">
        <f t="array" ref="K2213">sentimentCategory(J2213)</f>
        <v>Neutral</v>
      </c>
    </row>
    <row r="2214" spans="1:11" ht="17" x14ac:dyDescent="0.2">
      <c r="A2214" t="s">
        <v>853</v>
      </c>
      <c r="B2214" s="1" t="s">
        <v>854</v>
      </c>
      <c r="C2214" t="s">
        <v>855</v>
      </c>
      <c r="D2214" s="1" t="s">
        <v>2</v>
      </c>
      <c r="E2214" t="b">
        <v>0</v>
      </c>
      <c r="F2214">
        <v>20</v>
      </c>
      <c r="G2214">
        <v>188</v>
      </c>
      <c r="H2214" t="s">
        <v>11</v>
      </c>
      <c r="I2214" t="b">
        <v>0</v>
      </c>
      <c r="J2214" cm="1">
        <f t="array" ref="J2214">sentimentCalc(B2214)</f>
        <v>1</v>
      </c>
      <c r="K2214" t="str" cm="1">
        <f t="array" ref="K2214">sentimentCategory(J2214)</f>
        <v>Positive</v>
      </c>
    </row>
    <row r="2215" spans="1:11" ht="17" x14ac:dyDescent="0.2">
      <c r="A2215" t="s">
        <v>1128</v>
      </c>
      <c r="B2215" s="1" t="s">
        <v>1129</v>
      </c>
      <c r="C2215" t="s">
        <v>700</v>
      </c>
      <c r="D2215" s="1" t="s">
        <v>2</v>
      </c>
      <c r="E2215" t="b">
        <v>0</v>
      </c>
      <c r="F2215">
        <v>35</v>
      </c>
      <c r="G2215">
        <v>45</v>
      </c>
      <c r="H2215" t="s">
        <v>11</v>
      </c>
      <c r="I2215" t="b">
        <v>0</v>
      </c>
      <c r="J2215" cm="1">
        <f t="array" ref="J2215">sentimentCalc(B2215)</f>
        <v>0</v>
      </c>
      <c r="K2215" t="str" cm="1">
        <f t="array" ref="K2215">sentimentCategory(J2215)</f>
        <v>Neutral</v>
      </c>
    </row>
    <row r="2216" spans="1:11" ht="34" x14ac:dyDescent="0.2">
      <c r="A2216" t="s">
        <v>4510</v>
      </c>
      <c r="B2216" s="1" t="s">
        <v>4511</v>
      </c>
      <c r="C2216" t="s">
        <v>1324</v>
      </c>
      <c r="D2216" s="1" t="s">
        <v>1897</v>
      </c>
      <c r="E2216" t="b">
        <v>0</v>
      </c>
      <c r="F2216">
        <v>101</v>
      </c>
      <c r="G2216">
        <v>89</v>
      </c>
      <c r="H2216" t="s">
        <v>11</v>
      </c>
      <c r="I2216" t="b">
        <v>0</v>
      </c>
      <c r="J2216" cm="1">
        <f t="array" ref="J2216">sentimentCalc(B2216)</f>
        <v>0</v>
      </c>
      <c r="K2216" t="str" cm="1">
        <f t="array" ref="K2216">sentimentCategory(J2216)</f>
        <v>Neutral</v>
      </c>
    </row>
    <row r="2217" spans="1:11" ht="17" x14ac:dyDescent="0.2">
      <c r="A2217" t="s">
        <v>3838</v>
      </c>
      <c r="B2217" s="1" t="s">
        <v>3839</v>
      </c>
      <c r="C2217" t="s">
        <v>3840</v>
      </c>
      <c r="D2217" s="1" t="s">
        <v>61</v>
      </c>
      <c r="E2217" t="b">
        <v>0</v>
      </c>
      <c r="F2217">
        <v>72</v>
      </c>
      <c r="G2217">
        <v>516</v>
      </c>
      <c r="H2217" t="s">
        <v>11</v>
      </c>
      <c r="I2217" t="b">
        <v>0</v>
      </c>
      <c r="J2217" cm="1">
        <f t="array" ref="J2217">sentimentCalc(B2217)</f>
        <v>0</v>
      </c>
      <c r="K2217" t="str" cm="1">
        <f t="array" ref="K2217">sentimentCategory(J2217)</f>
        <v>Neutral</v>
      </c>
    </row>
    <row r="2218" spans="1:11" ht="17" x14ac:dyDescent="0.2">
      <c r="A2218" t="s">
        <v>55</v>
      </c>
      <c r="B2218" s="1" t="s">
        <v>56</v>
      </c>
      <c r="C2218" t="s">
        <v>57</v>
      </c>
      <c r="D2218" s="1" t="s">
        <v>58</v>
      </c>
      <c r="E2218" t="b">
        <v>0</v>
      </c>
      <c r="F2218">
        <v>238</v>
      </c>
      <c r="G2218">
        <v>1394</v>
      </c>
      <c r="H2218" t="s">
        <v>11</v>
      </c>
      <c r="I2218" t="b">
        <v>0</v>
      </c>
      <c r="J2218" cm="1">
        <f t="array" ref="J2218">sentimentCalc(B2218)</f>
        <v>0</v>
      </c>
      <c r="K2218" t="str" cm="1">
        <f t="array" ref="K2218">sentimentCategory(J2218)</f>
        <v>Neutral</v>
      </c>
    </row>
    <row r="2219" spans="1:11" ht="34" x14ac:dyDescent="0.2">
      <c r="A2219" t="s">
        <v>2403</v>
      </c>
      <c r="B2219" s="1" t="s">
        <v>2404</v>
      </c>
      <c r="C2219" t="s">
        <v>1819</v>
      </c>
      <c r="D2219" s="1" t="s">
        <v>2405</v>
      </c>
      <c r="E2219" t="b">
        <v>0</v>
      </c>
      <c r="F2219">
        <v>460</v>
      </c>
      <c r="G2219">
        <v>277</v>
      </c>
      <c r="H2219" t="s">
        <v>11</v>
      </c>
      <c r="I2219" t="b">
        <v>0</v>
      </c>
      <c r="J2219" cm="1">
        <f t="array" ref="J2219">sentimentCalc(B2219)</f>
        <v>0</v>
      </c>
      <c r="K2219" t="str" cm="1">
        <f t="array" ref="K2219">sentimentCategory(J2219)</f>
        <v>Neutral</v>
      </c>
    </row>
    <row r="2220" spans="1:11" ht="34" x14ac:dyDescent="0.2">
      <c r="A2220" t="s">
        <v>3013</v>
      </c>
      <c r="B2220" s="1" t="s">
        <v>3014</v>
      </c>
      <c r="C2220" t="s">
        <v>1621</v>
      </c>
      <c r="D2220" s="1" t="s">
        <v>3015</v>
      </c>
      <c r="E2220" t="b">
        <v>0</v>
      </c>
      <c r="F2220">
        <v>125</v>
      </c>
      <c r="G2220">
        <v>191</v>
      </c>
      <c r="H2220" t="s">
        <v>110</v>
      </c>
      <c r="I2220" t="b">
        <v>0</v>
      </c>
      <c r="J2220" cm="1">
        <f t="array" ref="J2220">sentimentCalc(B2220)</f>
        <v>0</v>
      </c>
      <c r="K2220" t="str" cm="1">
        <f t="array" ref="K2220">sentimentCategory(J2220)</f>
        <v>Neutral</v>
      </c>
    </row>
    <row r="2221" spans="1:11" ht="34" x14ac:dyDescent="0.2">
      <c r="A2221" t="s">
        <v>4094</v>
      </c>
      <c r="B2221" s="1" t="s">
        <v>4095</v>
      </c>
      <c r="C2221" t="s">
        <v>1477</v>
      </c>
      <c r="D2221" s="1" t="s">
        <v>4096</v>
      </c>
      <c r="E2221" t="b">
        <v>0</v>
      </c>
      <c r="F2221">
        <v>13777</v>
      </c>
      <c r="G2221">
        <v>1750</v>
      </c>
      <c r="H2221" t="s">
        <v>11</v>
      </c>
      <c r="I2221" t="b">
        <v>0</v>
      </c>
      <c r="J2221" cm="1">
        <f t="array" ref="J2221">sentimentCalc(B2221)</f>
        <v>-2</v>
      </c>
      <c r="K2221" t="str" cm="1">
        <f t="array" ref="K2221">sentimentCategory(J2221)</f>
        <v>Negative</v>
      </c>
    </row>
    <row r="2222" spans="1:11" ht="17" x14ac:dyDescent="0.2">
      <c r="A2222" t="s">
        <v>5865</v>
      </c>
      <c r="B2222" s="1" t="s">
        <v>5866</v>
      </c>
      <c r="C2222" t="s">
        <v>2102</v>
      </c>
      <c r="D2222" s="1" t="s">
        <v>928</v>
      </c>
      <c r="E2222" t="b">
        <v>0</v>
      </c>
      <c r="F2222">
        <v>27</v>
      </c>
      <c r="G2222">
        <v>167</v>
      </c>
      <c r="H2222" t="s">
        <v>11</v>
      </c>
      <c r="I2222" t="b">
        <v>0</v>
      </c>
      <c r="J2222" cm="1">
        <f t="array" ref="J2222">sentimentCalc(B2222)</f>
        <v>0</v>
      </c>
      <c r="K2222" t="str" cm="1">
        <f t="array" ref="K2222">sentimentCategory(J2222)</f>
        <v>Neutral</v>
      </c>
    </row>
    <row r="2223" spans="1:11" ht="17" x14ac:dyDescent="0.2">
      <c r="A2223" t="s">
        <v>4487</v>
      </c>
      <c r="B2223" s="1" t="s">
        <v>4488</v>
      </c>
      <c r="C2223" t="s">
        <v>4478</v>
      </c>
      <c r="D2223" s="1" t="s">
        <v>2</v>
      </c>
      <c r="E2223" t="b">
        <v>0</v>
      </c>
      <c r="F2223">
        <v>2</v>
      </c>
      <c r="G2223">
        <v>82</v>
      </c>
      <c r="H2223" t="s">
        <v>11</v>
      </c>
      <c r="I2223" t="b">
        <v>0</v>
      </c>
      <c r="J2223" cm="1">
        <f t="array" ref="J2223">sentimentCalc(B2223)</f>
        <v>0</v>
      </c>
      <c r="K2223" t="str" cm="1">
        <f t="array" ref="K2223">sentimentCategory(J2223)</f>
        <v>Neutral</v>
      </c>
    </row>
    <row r="2224" spans="1:11" ht="17" x14ac:dyDescent="0.2">
      <c r="A2224" t="s">
        <v>4476</v>
      </c>
      <c r="B2224" s="1" t="s">
        <v>4477</v>
      </c>
      <c r="C2224" t="s">
        <v>4478</v>
      </c>
      <c r="D2224" s="1" t="s">
        <v>2</v>
      </c>
      <c r="E2224" t="b">
        <v>0</v>
      </c>
      <c r="F2224">
        <v>2</v>
      </c>
      <c r="G2224">
        <v>82</v>
      </c>
      <c r="H2224" t="s">
        <v>11</v>
      </c>
      <c r="I2224" t="b">
        <v>0</v>
      </c>
      <c r="J2224" cm="1">
        <f t="array" ref="J2224">sentimentCalc(B2224)</f>
        <v>1</v>
      </c>
      <c r="K2224" t="str" cm="1">
        <f t="array" ref="K2224">sentimentCategory(J2224)</f>
        <v>Positive</v>
      </c>
    </row>
    <row r="2225" spans="1:11" ht="17" x14ac:dyDescent="0.2">
      <c r="A2225" t="s">
        <v>3799</v>
      </c>
      <c r="B2225" s="1" t="s">
        <v>3800</v>
      </c>
      <c r="C2225" t="s">
        <v>2371</v>
      </c>
      <c r="D2225" s="1" t="s">
        <v>2</v>
      </c>
      <c r="E2225" t="b">
        <v>0</v>
      </c>
      <c r="F2225">
        <v>153</v>
      </c>
      <c r="G2225">
        <v>438</v>
      </c>
      <c r="H2225" t="s">
        <v>11</v>
      </c>
      <c r="I2225" t="b">
        <v>0</v>
      </c>
      <c r="J2225" cm="1">
        <f t="array" ref="J2225">sentimentCalc(B2225)</f>
        <v>0</v>
      </c>
      <c r="K2225" t="str" cm="1">
        <f t="array" ref="K2225">sentimentCategory(J2225)</f>
        <v>Neutral</v>
      </c>
    </row>
    <row r="2226" spans="1:11" ht="17" x14ac:dyDescent="0.2">
      <c r="A2226" t="s">
        <v>5068</v>
      </c>
      <c r="B2226" s="1" t="s">
        <v>5069</v>
      </c>
      <c r="C2226" t="s">
        <v>3540</v>
      </c>
      <c r="D2226" s="1" t="s">
        <v>2</v>
      </c>
      <c r="E2226" t="b">
        <v>0</v>
      </c>
      <c r="F2226">
        <v>37</v>
      </c>
      <c r="G2226">
        <v>144</v>
      </c>
      <c r="H2226" t="s">
        <v>11</v>
      </c>
      <c r="I2226" t="b">
        <v>0</v>
      </c>
      <c r="J2226" cm="1">
        <f t="array" ref="J2226">sentimentCalc(B2226)</f>
        <v>-1</v>
      </c>
      <c r="K2226" t="str" cm="1">
        <f t="array" ref="K2226">sentimentCategory(J2226)</f>
        <v>Negative</v>
      </c>
    </row>
    <row r="2227" spans="1:11" ht="17" x14ac:dyDescent="0.2">
      <c r="A2227" t="s">
        <v>4047</v>
      </c>
      <c r="B2227" s="1" t="s">
        <v>4048</v>
      </c>
      <c r="C2227" t="s">
        <v>4049</v>
      </c>
      <c r="D2227" s="1" t="s">
        <v>2</v>
      </c>
      <c r="E2227" t="b">
        <v>0</v>
      </c>
      <c r="F2227">
        <v>287</v>
      </c>
      <c r="G2227">
        <v>250</v>
      </c>
      <c r="H2227" t="s">
        <v>11</v>
      </c>
      <c r="I2227" t="b">
        <v>0</v>
      </c>
      <c r="J2227" cm="1">
        <f t="array" ref="J2227">sentimentCalc(B2227)</f>
        <v>-1</v>
      </c>
      <c r="K2227" t="str" cm="1">
        <f t="array" ref="K2227">sentimentCategory(J2227)</f>
        <v>Negative</v>
      </c>
    </row>
    <row r="2228" spans="1:11" ht="17" x14ac:dyDescent="0.2">
      <c r="A2228" t="s">
        <v>2876</v>
      </c>
      <c r="B2228" s="1" t="s">
        <v>2877</v>
      </c>
      <c r="C2228" t="s">
        <v>94</v>
      </c>
      <c r="D2228" s="1" t="s">
        <v>2878</v>
      </c>
      <c r="E2228" t="b">
        <v>0</v>
      </c>
      <c r="F2228">
        <v>19</v>
      </c>
      <c r="G2228">
        <v>32</v>
      </c>
      <c r="H2228" t="s">
        <v>11</v>
      </c>
      <c r="I2228" t="b">
        <v>0</v>
      </c>
      <c r="J2228" cm="1">
        <f t="array" ref="J2228">sentimentCalc(B2228)</f>
        <v>0</v>
      </c>
      <c r="K2228" t="str" cm="1">
        <f t="array" ref="K2228">sentimentCategory(J2228)</f>
        <v>Neutral</v>
      </c>
    </row>
    <row r="2229" spans="1:11" ht="17" x14ac:dyDescent="0.2">
      <c r="A2229" t="s">
        <v>3937</v>
      </c>
      <c r="B2229" s="1" t="s">
        <v>3938</v>
      </c>
      <c r="C2229" t="s">
        <v>526</v>
      </c>
      <c r="D2229" s="1" t="s">
        <v>2</v>
      </c>
      <c r="E2229" t="b">
        <v>0</v>
      </c>
      <c r="F2229">
        <v>3125</v>
      </c>
      <c r="G2229">
        <v>4907</v>
      </c>
      <c r="H2229" t="s">
        <v>338</v>
      </c>
      <c r="I2229" t="b">
        <v>0</v>
      </c>
      <c r="J2229" cm="1">
        <f t="array" ref="J2229">sentimentCalc(B2229)</f>
        <v>0</v>
      </c>
      <c r="K2229" t="str" cm="1">
        <f t="array" ref="K2229">sentimentCategory(J2229)</f>
        <v>Neutral</v>
      </c>
    </row>
    <row r="2230" spans="1:11" ht="17" x14ac:dyDescent="0.2">
      <c r="A2230" t="s">
        <v>2534</v>
      </c>
      <c r="B2230" s="1" t="s">
        <v>2535</v>
      </c>
      <c r="C2230" t="s">
        <v>716</v>
      </c>
      <c r="D2230" s="1" t="s">
        <v>2536</v>
      </c>
      <c r="E2230" t="b">
        <v>0</v>
      </c>
      <c r="F2230">
        <v>3247</v>
      </c>
      <c r="G2230">
        <v>196</v>
      </c>
      <c r="H2230" t="s">
        <v>11</v>
      </c>
      <c r="I2230" t="b">
        <v>0</v>
      </c>
      <c r="J2230" cm="1">
        <f t="array" ref="J2230">sentimentCalc(B2230)</f>
        <v>-1</v>
      </c>
      <c r="K2230" t="str" cm="1">
        <f t="array" ref="K2230">sentimentCategory(J2230)</f>
        <v>Negative</v>
      </c>
    </row>
    <row r="2231" spans="1:11" ht="34" x14ac:dyDescent="0.2">
      <c r="A2231" t="s">
        <v>1996</v>
      </c>
      <c r="B2231" s="1" t="s">
        <v>1997</v>
      </c>
      <c r="C2231" t="s">
        <v>1998</v>
      </c>
      <c r="D2231" s="1" t="s">
        <v>2</v>
      </c>
      <c r="E2231" t="b">
        <v>0</v>
      </c>
      <c r="F2231">
        <v>4296</v>
      </c>
      <c r="G2231">
        <v>210</v>
      </c>
      <c r="H2231" t="s">
        <v>11</v>
      </c>
      <c r="I2231" t="b">
        <v>0</v>
      </c>
      <c r="J2231" cm="1">
        <f t="array" ref="J2231">sentimentCalc(B2231)</f>
        <v>1</v>
      </c>
      <c r="K2231" t="str" cm="1">
        <f t="array" ref="K2231">sentimentCategory(J2231)</f>
        <v>Positive</v>
      </c>
    </row>
    <row r="2232" spans="1:11" ht="17" x14ac:dyDescent="0.2">
      <c r="A2232" t="s">
        <v>6607</v>
      </c>
      <c r="B2232" s="1" t="s">
        <v>6608</v>
      </c>
      <c r="C2232" t="s">
        <v>1197</v>
      </c>
      <c r="D2232" s="1" t="s">
        <v>6609</v>
      </c>
      <c r="E2232" t="b">
        <v>0</v>
      </c>
      <c r="F2232">
        <v>199</v>
      </c>
      <c r="G2232">
        <v>1865</v>
      </c>
      <c r="H2232" t="s">
        <v>11</v>
      </c>
      <c r="I2232" t="b">
        <v>0</v>
      </c>
      <c r="J2232" cm="1">
        <f t="array" ref="J2232">sentimentCalc(B2232)</f>
        <v>0</v>
      </c>
      <c r="K2232" t="str" cm="1">
        <f t="array" ref="K2232">sentimentCategory(J2232)</f>
        <v>Neutral</v>
      </c>
    </row>
    <row r="2233" spans="1:11" ht="34" x14ac:dyDescent="0.2">
      <c r="A2233" t="s">
        <v>385</v>
      </c>
      <c r="B2233" s="1" t="s">
        <v>386</v>
      </c>
      <c r="C2233" t="s">
        <v>387</v>
      </c>
      <c r="D2233" s="1" t="s">
        <v>388</v>
      </c>
      <c r="E2233" t="b">
        <v>0</v>
      </c>
      <c r="F2233">
        <v>2251</v>
      </c>
      <c r="G2233">
        <v>3132</v>
      </c>
      <c r="H2233" t="s">
        <v>11</v>
      </c>
      <c r="I2233" t="b">
        <v>0</v>
      </c>
      <c r="J2233" cm="1">
        <f t="array" ref="J2233">sentimentCalc(B2233)</f>
        <v>0</v>
      </c>
      <c r="K2233" t="str" cm="1">
        <f t="array" ref="K2233">sentimentCategory(J2233)</f>
        <v>Neutral</v>
      </c>
    </row>
    <row r="2234" spans="1:11" ht="34" x14ac:dyDescent="0.2">
      <c r="A2234" t="s">
        <v>2085</v>
      </c>
      <c r="B2234" s="1" t="s">
        <v>2086</v>
      </c>
      <c r="C2234" t="s">
        <v>2087</v>
      </c>
      <c r="D2234" s="1" t="s">
        <v>2</v>
      </c>
      <c r="E2234" t="b">
        <v>0</v>
      </c>
      <c r="F2234">
        <v>28</v>
      </c>
      <c r="G2234">
        <v>241</v>
      </c>
      <c r="H2234" t="s">
        <v>11</v>
      </c>
      <c r="I2234" t="b">
        <v>0</v>
      </c>
      <c r="J2234" cm="1">
        <f t="array" ref="J2234">sentimentCalc(B2234)</f>
        <v>0</v>
      </c>
      <c r="K2234" t="str" cm="1">
        <f t="array" ref="K2234">sentimentCategory(J2234)</f>
        <v>Neutral</v>
      </c>
    </row>
    <row r="2235" spans="1:11" ht="17" x14ac:dyDescent="0.2">
      <c r="A2235" t="s">
        <v>5412</v>
      </c>
      <c r="B2235" s="1" t="s">
        <v>5413</v>
      </c>
      <c r="C2235" t="s">
        <v>5414</v>
      </c>
      <c r="D2235" s="1" t="s">
        <v>562</v>
      </c>
      <c r="E2235" t="b">
        <v>0</v>
      </c>
      <c r="F2235">
        <v>2</v>
      </c>
      <c r="G2235">
        <v>9</v>
      </c>
      <c r="H2235" t="s">
        <v>359</v>
      </c>
      <c r="I2235" t="b">
        <v>0</v>
      </c>
      <c r="J2235" cm="1">
        <f t="array" ref="J2235">sentimentCalc(B2235)</f>
        <v>0</v>
      </c>
      <c r="K2235" t="str" cm="1">
        <f t="array" ref="K2235">sentimentCategory(J2235)</f>
        <v>Neutral</v>
      </c>
    </row>
    <row r="2236" spans="1:11" ht="34" x14ac:dyDescent="0.2">
      <c r="A2236" t="s">
        <v>1376</v>
      </c>
      <c r="B2236" s="1" t="s">
        <v>1377</v>
      </c>
      <c r="C2236" t="s">
        <v>222</v>
      </c>
      <c r="D2236" s="1" t="s">
        <v>223</v>
      </c>
      <c r="E2236" t="b">
        <v>0</v>
      </c>
      <c r="F2236">
        <v>9224</v>
      </c>
      <c r="G2236">
        <v>7169</v>
      </c>
      <c r="H2236" t="s">
        <v>11</v>
      </c>
      <c r="I2236" t="b">
        <v>0</v>
      </c>
      <c r="J2236" cm="1">
        <f t="array" ref="J2236">sentimentCalc(B2236)</f>
        <v>0</v>
      </c>
      <c r="K2236" t="str" cm="1">
        <f t="array" ref="K2236">sentimentCategory(J2236)</f>
        <v>Neutral</v>
      </c>
    </row>
    <row r="2237" spans="1:11" ht="34" x14ac:dyDescent="0.2">
      <c r="A2237" t="s">
        <v>4032</v>
      </c>
      <c r="B2237" s="1" t="s">
        <v>4033</v>
      </c>
      <c r="C2237" t="s">
        <v>4034</v>
      </c>
      <c r="D2237" s="1" t="s">
        <v>562</v>
      </c>
      <c r="E2237" t="b">
        <v>0</v>
      </c>
      <c r="F2237">
        <v>144</v>
      </c>
      <c r="G2237">
        <v>355</v>
      </c>
      <c r="H2237" t="s">
        <v>11</v>
      </c>
      <c r="I2237" t="b">
        <v>0</v>
      </c>
      <c r="J2237" cm="1">
        <f t="array" ref="J2237">sentimentCalc(B2237)</f>
        <v>0</v>
      </c>
      <c r="K2237" t="str" cm="1">
        <f t="array" ref="K2237">sentimentCategory(J2237)</f>
        <v>Neutral</v>
      </c>
    </row>
    <row r="2238" spans="1:11" ht="34" x14ac:dyDescent="0.2">
      <c r="A2238" t="s">
        <v>228</v>
      </c>
      <c r="B2238" s="1" t="s">
        <v>229</v>
      </c>
      <c r="C2238" t="s">
        <v>230</v>
      </c>
      <c r="D2238" s="1" t="s">
        <v>231</v>
      </c>
      <c r="E2238" t="b">
        <v>0</v>
      </c>
      <c r="F2238">
        <v>22</v>
      </c>
      <c r="G2238">
        <v>105</v>
      </c>
      <c r="H2238" t="s">
        <v>11</v>
      </c>
      <c r="I2238" t="b">
        <v>0</v>
      </c>
      <c r="J2238" cm="1">
        <f t="array" ref="J2238">sentimentCalc(B2238)</f>
        <v>2</v>
      </c>
      <c r="K2238" t="str" cm="1">
        <f t="array" ref="K2238">sentimentCategory(J2238)</f>
        <v>Positive</v>
      </c>
    </row>
    <row r="2239" spans="1:11" ht="17" x14ac:dyDescent="0.2">
      <c r="A2239" t="s">
        <v>3429</v>
      </c>
      <c r="B2239" s="1" t="s">
        <v>3430</v>
      </c>
      <c r="C2239" t="s">
        <v>3431</v>
      </c>
      <c r="D2239" s="1" t="s">
        <v>1653</v>
      </c>
      <c r="E2239" t="b">
        <v>0</v>
      </c>
      <c r="F2239">
        <v>227</v>
      </c>
      <c r="G2239">
        <v>390</v>
      </c>
      <c r="H2239" t="s">
        <v>11</v>
      </c>
      <c r="I2239" t="b">
        <v>0</v>
      </c>
      <c r="J2239" cm="1">
        <f t="array" ref="J2239">sentimentCalc(B2239)</f>
        <v>0</v>
      </c>
      <c r="K2239" t="str" cm="1">
        <f t="array" ref="K2239">sentimentCategory(J2239)</f>
        <v>Neutral</v>
      </c>
    </row>
    <row r="2240" spans="1:11" ht="17" x14ac:dyDescent="0.2">
      <c r="A2240" t="s">
        <v>804</v>
      </c>
      <c r="B2240" s="1" t="s">
        <v>805</v>
      </c>
      <c r="C2240" t="s">
        <v>806</v>
      </c>
      <c r="E2240" t="b">
        <v>0</v>
      </c>
      <c r="F2240">
        <v>2287</v>
      </c>
      <c r="G2240">
        <v>42</v>
      </c>
      <c r="H2240" t="s">
        <v>3</v>
      </c>
      <c r="I2240" t="b">
        <v>0</v>
      </c>
      <c r="J2240" cm="1">
        <f t="array" ref="J2240">sentimentCalc(B2240)</f>
        <v>0</v>
      </c>
      <c r="K2240" t="str" cm="1">
        <f t="array" ref="K2240">sentimentCategory(J2240)</f>
        <v>Neutral</v>
      </c>
    </row>
    <row r="2241" spans="1:11" ht="17" x14ac:dyDescent="0.2">
      <c r="A2241" t="s">
        <v>5782</v>
      </c>
      <c r="B2241" s="1" t="s">
        <v>5783</v>
      </c>
      <c r="C2241" t="s">
        <v>1720</v>
      </c>
      <c r="D2241" s="1" t="s">
        <v>2</v>
      </c>
      <c r="E2241" t="b">
        <v>0</v>
      </c>
      <c r="F2241">
        <v>226</v>
      </c>
      <c r="G2241">
        <v>480</v>
      </c>
      <c r="H2241" t="s">
        <v>11</v>
      </c>
      <c r="I2241" t="b">
        <v>0</v>
      </c>
      <c r="J2241" cm="1">
        <f t="array" ref="J2241">sentimentCalc(B2241)</f>
        <v>0</v>
      </c>
      <c r="K2241" t="str" cm="1">
        <f t="array" ref="K2241">sentimentCategory(J2241)</f>
        <v>Neutral</v>
      </c>
    </row>
    <row r="2242" spans="1:11" ht="17" x14ac:dyDescent="0.2">
      <c r="A2242" t="s">
        <v>3702</v>
      </c>
      <c r="B2242" s="1" t="s">
        <v>3703</v>
      </c>
      <c r="C2242" t="s">
        <v>2926</v>
      </c>
      <c r="D2242" s="1" t="s">
        <v>2</v>
      </c>
      <c r="E2242" t="b">
        <v>0</v>
      </c>
      <c r="F2242">
        <v>67</v>
      </c>
      <c r="G2242">
        <v>366</v>
      </c>
      <c r="H2242" t="s">
        <v>11</v>
      </c>
      <c r="I2242" t="b">
        <v>0</v>
      </c>
      <c r="J2242" cm="1">
        <f t="array" ref="J2242">sentimentCalc(B2242)</f>
        <v>1</v>
      </c>
      <c r="K2242" t="str" cm="1">
        <f t="array" ref="K2242">sentimentCategory(J2242)</f>
        <v>Positive</v>
      </c>
    </row>
    <row r="2243" spans="1:11" ht="17" x14ac:dyDescent="0.2">
      <c r="A2243" t="s">
        <v>6999</v>
      </c>
      <c r="B2243" s="1" t="s">
        <v>7000</v>
      </c>
      <c r="C2243" t="s">
        <v>2900</v>
      </c>
      <c r="D2243" s="1" t="s">
        <v>2</v>
      </c>
      <c r="E2243" t="b">
        <v>0</v>
      </c>
      <c r="F2243">
        <v>304</v>
      </c>
      <c r="G2243">
        <v>116</v>
      </c>
      <c r="H2243" t="s">
        <v>11</v>
      </c>
      <c r="I2243" t="b">
        <v>0</v>
      </c>
      <c r="J2243" cm="1">
        <f t="array" ref="J2243">sentimentCalc(B2243)</f>
        <v>0</v>
      </c>
      <c r="K2243" t="str" cm="1">
        <f t="array" ref="K2243">sentimentCategory(J2243)</f>
        <v>Neutral</v>
      </c>
    </row>
    <row r="2244" spans="1:11" ht="34" x14ac:dyDescent="0.2">
      <c r="A2244" t="s">
        <v>4774</v>
      </c>
      <c r="B2244" s="1" t="s">
        <v>4775</v>
      </c>
      <c r="C2244" t="s">
        <v>2061</v>
      </c>
      <c r="D2244" s="1" t="s">
        <v>2062</v>
      </c>
      <c r="E2244" t="b">
        <v>0</v>
      </c>
      <c r="F2244">
        <v>9754</v>
      </c>
      <c r="G2244">
        <v>399</v>
      </c>
      <c r="H2244" t="s">
        <v>11</v>
      </c>
      <c r="I2244" t="b">
        <v>0</v>
      </c>
      <c r="J2244" cm="1">
        <f t="array" ref="J2244">sentimentCalc(B2244)</f>
        <v>0</v>
      </c>
      <c r="K2244" t="str" cm="1">
        <f t="array" ref="K2244">sentimentCategory(J2244)</f>
        <v>Neutral</v>
      </c>
    </row>
    <row r="2245" spans="1:11" ht="17" x14ac:dyDescent="0.2">
      <c r="A2245" t="s">
        <v>7258</v>
      </c>
      <c r="B2245" s="1" t="s">
        <v>7259</v>
      </c>
      <c r="C2245" t="s">
        <v>100</v>
      </c>
      <c r="D2245" s="1" t="s">
        <v>101</v>
      </c>
      <c r="E2245" t="b">
        <v>0</v>
      </c>
      <c r="F2245">
        <v>4</v>
      </c>
      <c r="G2245">
        <v>54</v>
      </c>
      <c r="H2245" t="s">
        <v>11</v>
      </c>
      <c r="I2245" t="b">
        <v>0</v>
      </c>
      <c r="J2245" cm="1">
        <f t="array" ref="J2245">sentimentCalc(B2245)</f>
        <v>0</v>
      </c>
      <c r="K2245" t="str" cm="1">
        <f t="array" ref="K2245">sentimentCategory(J2245)</f>
        <v>Neutral</v>
      </c>
    </row>
    <row r="2246" spans="1:11" ht="17" x14ac:dyDescent="0.2">
      <c r="A2246" t="s">
        <v>7251</v>
      </c>
      <c r="B2246" s="1" t="s">
        <v>7252</v>
      </c>
      <c r="C2246" t="s">
        <v>769</v>
      </c>
      <c r="D2246" s="1" t="s">
        <v>2</v>
      </c>
      <c r="E2246" t="b">
        <v>0</v>
      </c>
      <c r="F2246">
        <v>5</v>
      </c>
      <c r="G2246">
        <v>3</v>
      </c>
      <c r="H2246" t="s">
        <v>11</v>
      </c>
      <c r="I2246" t="b">
        <v>0</v>
      </c>
      <c r="J2246" cm="1">
        <f t="array" ref="J2246">sentimentCalc(B2246)</f>
        <v>0</v>
      </c>
      <c r="K2246" t="str" cm="1">
        <f t="array" ref="K2246">sentimentCategory(J2246)</f>
        <v>Neutral</v>
      </c>
    </row>
    <row r="2247" spans="1:11" ht="17" x14ac:dyDescent="0.2">
      <c r="A2247" t="s">
        <v>3093</v>
      </c>
      <c r="B2247" s="1" t="s">
        <v>3094</v>
      </c>
      <c r="C2247" t="s">
        <v>2208</v>
      </c>
      <c r="D2247" s="1" t="s">
        <v>2</v>
      </c>
      <c r="E2247" t="b">
        <v>0</v>
      </c>
      <c r="F2247">
        <v>0</v>
      </c>
      <c r="G2247">
        <v>7</v>
      </c>
      <c r="H2247" t="s">
        <v>11</v>
      </c>
      <c r="I2247" t="b">
        <v>0</v>
      </c>
      <c r="J2247" cm="1">
        <f t="array" ref="J2247">sentimentCalc(B2247)</f>
        <v>0</v>
      </c>
      <c r="K2247" t="str" cm="1">
        <f t="array" ref="K2247">sentimentCategory(J2247)</f>
        <v>Neutral</v>
      </c>
    </row>
    <row r="2248" spans="1:11" ht="17" x14ac:dyDescent="0.2">
      <c r="A2248" t="s">
        <v>5168</v>
      </c>
      <c r="B2248" s="1" t="s">
        <v>5169</v>
      </c>
      <c r="C2248" t="s">
        <v>769</v>
      </c>
      <c r="D2248" s="1" t="s">
        <v>1809</v>
      </c>
      <c r="E2248" t="b">
        <v>0</v>
      </c>
      <c r="F2248">
        <v>56</v>
      </c>
      <c r="G2248">
        <v>227</v>
      </c>
      <c r="H2248" t="s">
        <v>11</v>
      </c>
      <c r="I2248" t="b">
        <v>0</v>
      </c>
      <c r="J2248" cm="1">
        <f t="array" ref="J2248">sentimentCalc(B2248)</f>
        <v>1</v>
      </c>
      <c r="K2248" t="str" cm="1">
        <f t="array" ref="K2248">sentimentCategory(J2248)</f>
        <v>Positive</v>
      </c>
    </row>
    <row r="2249" spans="1:11" ht="17" x14ac:dyDescent="0.2">
      <c r="A2249" t="s">
        <v>80</v>
      </c>
      <c r="B2249" s="1" t="s">
        <v>81</v>
      </c>
      <c r="C2249" t="s">
        <v>82</v>
      </c>
      <c r="D2249" s="1" t="s">
        <v>2</v>
      </c>
      <c r="E2249" t="b">
        <v>0</v>
      </c>
      <c r="F2249">
        <v>706</v>
      </c>
      <c r="G2249">
        <v>493</v>
      </c>
      <c r="H2249" t="s">
        <v>83</v>
      </c>
      <c r="I2249" t="b">
        <v>0</v>
      </c>
      <c r="J2249" cm="1">
        <f t="array" ref="J2249">sentimentCalc(B2249)</f>
        <v>0</v>
      </c>
      <c r="K2249" t="str" cm="1">
        <f t="array" ref="K2249">sentimentCategory(J2249)</f>
        <v>Neutral</v>
      </c>
    </row>
    <row r="2250" spans="1:11" ht="17" x14ac:dyDescent="0.2">
      <c r="A2250" t="s">
        <v>1898</v>
      </c>
      <c r="B2250" s="1" t="s">
        <v>1899</v>
      </c>
      <c r="C2250" t="s">
        <v>1885</v>
      </c>
      <c r="D2250" s="1">
        <v>1988</v>
      </c>
      <c r="E2250" t="b">
        <v>0</v>
      </c>
      <c r="F2250">
        <v>134</v>
      </c>
      <c r="G2250">
        <v>196</v>
      </c>
      <c r="H2250" t="s">
        <v>11</v>
      </c>
      <c r="I2250" t="b">
        <v>0</v>
      </c>
      <c r="J2250" cm="1">
        <f t="array" ref="J2250">sentimentCalc(B2250)</f>
        <v>0</v>
      </c>
      <c r="K2250" t="str" cm="1">
        <f t="array" ref="K2250">sentimentCategory(J2250)</f>
        <v>Neutral</v>
      </c>
    </row>
    <row r="2251" spans="1:11" ht="17" x14ac:dyDescent="0.2">
      <c r="A2251" t="s">
        <v>6369</v>
      </c>
      <c r="B2251" s="1" t="s">
        <v>6370</v>
      </c>
      <c r="C2251" t="s">
        <v>6371</v>
      </c>
      <c r="D2251" s="1" t="s">
        <v>6372</v>
      </c>
      <c r="E2251" t="b">
        <v>0</v>
      </c>
      <c r="F2251">
        <v>811</v>
      </c>
      <c r="G2251">
        <v>1814</v>
      </c>
      <c r="H2251" t="s">
        <v>11</v>
      </c>
      <c r="I2251" t="b">
        <v>0</v>
      </c>
      <c r="J2251" cm="1">
        <f t="array" ref="J2251">sentimentCalc(B2251)</f>
        <v>0</v>
      </c>
      <c r="K2251" t="str" cm="1">
        <f t="array" ref="K2251">sentimentCategory(J2251)</f>
        <v>Neutral</v>
      </c>
    </row>
    <row r="2252" spans="1:11" ht="17" x14ac:dyDescent="0.2">
      <c r="A2252" t="s">
        <v>3948</v>
      </c>
      <c r="B2252" s="1" t="s">
        <v>3949</v>
      </c>
      <c r="C2252" t="s">
        <v>2554</v>
      </c>
      <c r="D2252" s="1" t="s">
        <v>2</v>
      </c>
      <c r="E2252" t="b">
        <v>0</v>
      </c>
      <c r="F2252">
        <v>888</v>
      </c>
      <c r="G2252">
        <v>1446</v>
      </c>
      <c r="H2252" t="s">
        <v>11</v>
      </c>
      <c r="I2252" t="b">
        <v>0</v>
      </c>
      <c r="J2252" cm="1">
        <f t="array" ref="J2252">sentimentCalc(B2252)</f>
        <v>0</v>
      </c>
      <c r="K2252" t="str" cm="1">
        <f t="array" ref="K2252">sentimentCategory(J2252)</f>
        <v>Neutral</v>
      </c>
    </row>
    <row r="2253" spans="1:11" ht="17" x14ac:dyDescent="0.2">
      <c r="A2253" t="s">
        <v>6935</v>
      </c>
      <c r="B2253" s="1" t="s">
        <v>6936</v>
      </c>
      <c r="C2253" t="s">
        <v>2604</v>
      </c>
      <c r="D2253" s="1" t="s">
        <v>399</v>
      </c>
      <c r="E2253" t="b">
        <v>0</v>
      </c>
      <c r="F2253">
        <v>3515</v>
      </c>
      <c r="G2253">
        <v>4998</v>
      </c>
      <c r="H2253" t="s">
        <v>11</v>
      </c>
      <c r="I2253" t="b">
        <v>0</v>
      </c>
      <c r="J2253" cm="1">
        <f t="array" ref="J2253">sentimentCalc(B2253)</f>
        <v>0</v>
      </c>
      <c r="K2253" t="str" cm="1">
        <f t="array" ref="K2253">sentimentCategory(J2253)</f>
        <v>Neutral</v>
      </c>
    </row>
    <row r="2254" spans="1:11" ht="34" x14ac:dyDescent="0.2">
      <c r="A2254" t="s">
        <v>4187</v>
      </c>
      <c r="B2254" s="1" t="s">
        <v>4188</v>
      </c>
      <c r="C2254" t="s">
        <v>332</v>
      </c>
      <c r="D2254" s="1" t="s">
        <v>4189</v>
      </c>
      <c r="E2254" t="b">
        <v>0</v>
      </c>
      <c r="F2254">
        <v>492</v>
      </c>
      <c r="G2254">
        <v>1211</v>
      </c>
      <c r="H2254" t="s">
        <v>11</v>
      </c>
      <c r="I2254" t="b">
        <v>0</v>
      </c>
      <c r="J2254" cm="1">
        <f t="array" ref="J2254">sentimentCalc(B2254)</f>
        <v>0</v>
      </c>
      <c r="K2254" t="str" cm="1">
        <f t="array" ref="K2254">sentimentCategory(J2254)</f>
        <v>Neutral</v>
      </c>
    </row>
    <row r="2255" spans="1:11" ht="17" x14ac:dyDescent="0.2">
      <c r="A2255" t="s">
        <v>6954</v>
      </c>
      <c r="B2255" s="1" t="s">
        <v>6955</v>
      </c>
      <c r="C2255" t="s">
        <v>181</v>
      </c>
      <c r="D2255" s="1" t="s">
        <v>5461</v>
      </c>
      <c r="E2255" t="b">
        <v>0</v>
      </c>
      <c r="F2255">
        <v>3715</v>
      </c>
      <c r="G2255">
        <v>3679</v>
      </c>
      <c r="H2255" t="s">
        <v>11</v>
      </c>
      <c r="I2255" t="b">
        <v>0</v>
      </c>
      <c r="J2255" cm="1">
        <f t="array" ref="J2255">sentimentCalc(B2255)</f>
        <v>0</v>
      </c>
      <c r="K2255" t="str" cm="1">
        <f t="array" ref="K2255">sentimentCategory(J2255)</f>
        <v>Neutral</v>
      </c>
    </row>
    <row r="2256" spans="1:11" ht="17" x14ac:dyDescent="0.2">
      <c r="A2256" t="s">
        <v>5034</v>
      </c>
      <c r="B2256" s="1" t="s">
        <v>5035</v>
      </c>
      <c r="C2256" t="s">
        <v>1287</v>
      </c>
      <c r="D2256" s="1" t="s">
        <v>2</v>
      </c>
      <c r="E2256" t="b">
        <v>0</v>
      </c>
      <c r="F2256">
        <v>70</v>
      </c>
      <c r="G2256">
        <v>194</v>
      </c>
      <c r="H2256" t="s">
        <v>11</v>
      </c>
      <c r="I2256" t="b">
        <v>0</v>
      </c>
      <c r="J2256" cm="1">
        <f t="array" ref="J2256">sentimentCalc(B2256)</f>
        <v>0</v>
      </c>
      <c r="K2256" t="str" cm="1">
        <f t="array" ref="K2256">sentimentCategory(J2256)</f>
        <v>Neutral</v>
      </c>
    </row>
    <row r="2257" spans="1:11" ht="17" x14ac:dyDescent="0.2">
      <c r="A2257" t="s">
        <v>6244</v>
      </c>
      <c r="B2257" s="1" t="s">
        <v>6245</v>
      </c>
      <c r="C2257" t="s">
        <v>6246</v>
      </c>
      <c r="D2257" s="1" t="s">
        <v>2</v>
      </c>
      <c r="E2257" t="b">
        <v>0</v>
      </c>
      <c r="F2257">
        <v>13</v>
      </c>
      <c r="G2257">
        <v>33</v>
      </c>
      <c r="H2257" t="s">
        <v>11</v>
      </c>
      <c r="I2257" t="b">
        <v>0</v>
      </c>
      <c r="J2257" cm="1">
        <f t="array" ref="J2257">sentimentCalc(B2257)</f>
        <v>0</v>
      </c>
      <c r="K2257" t="str" cm="1">
        <f t="array" ref="K2257">sentimentCategory(J2257)</f>
        <v>Neutral</v>
      </c>
    </row>
    <row r="2258" spans="1:11" ht="17" x14ac:dyDescent="0.2">
      <c r="A2258" t="s">
        <v>4703</v>
      </c>
      <c r="B2258" s="1" t="s">
        <v>4704</v>
      </c>
      <c r="C2258" t="s">
        <v>4705</v>
      </c>
      <c r="D2258" s="1" t="s">
        <v>2399</v>
      </c>
      <c r="E2258" t="b">
        <v>0</v>
      </c>
      <c r="F2258">
        <v>884</v>
      </c>
      <c r="G2258">
        <v>1704</v>
      </c>
      <c r="H2258" t="s">
        <v>11</v>
      </c>
      <c r="I2258" t="b">
        <v>0</v>
      </c>
      <c r="J2258" cm="1">
        <f t="array" ref="J2258">sentimentCalc(B2258)</f>
        <v>1</v>
      </c>
      <c r="K2258" t="str" cm="1">
        <f t="array" ref="K2258">sentimentCategory(J2258)</f>
        <v>Positive</v>
      </c>
    </row>
    <row r="2259" spans="1:11" ht="34" x14ac:dyDescent="0.2">
      <c r="A2259" t="s">
        <v>2685</v>
      </c>
      <c r="B2259" s="1" t="s">
        <v>2686</v>
      </c>
      <c r="C2259" t="s">
        <v>2687</v>
      </c>
      <c r="D2259" s="1" t="s">
        <v>2688</v>
      </c>
      <c r="E2259" t="b">
        <v>0</v>
      </c>
      <c r="F2259">
        <v>231</v>
      </c>
      <c r="G2259">
        <v>1002</v>
      </c>
      <c r="H2259" t="s">
        <v>11</v>
      </c>
      <c r="I2259" t="b">
        <v>0</v>
      </c>
      <c r="J2259" cm="1">
        <f t="array" ref="J2259">sentimentCalc(B2259)</f>
        <v>1</v>
      </c>
      <c r="K2259" t="str" cm="1">
        <f t="array" ref="K2259">sentimentCategory(J2259)</f>
        <v>Positive</v>
      </c>
    </row>
    <row r="2260" spans="1:11" ht="17" x14ac:dyDescent="0.2">
      <c r="A2260" t="s">
        <v>6914</v>
      </c>
      <c r="B2260" s="1" t="s">
        <v>6915</v>
      </c>
      <c r="C2260" t="s">
        <v>1158</v>
      </c>
      <c r="D2260" s="1" t="s">
        <v>6916</v>
      </c>
      <c r="E2260" t="b">
        <v>0</v>
      </c>
      <c r="F2260">
        <v>73</v>
      </c>
      <c r="G2260">
        <v>68</v>
      </c>
      <c r="H2260" t="s">
        <v>11</v>
      </c>
      <c r="I2260" t="b">
        <v>0</v>
      </c>
      <c r="J2260" cm="1">
        <f t="array" ref="J2260">sentimentCalc(B2260)</f>
        <v>0</v>
      </c>
      <c r="K2260" t="str" cm="1">
        <f t="array" ref="K2260">sentimentCategory(J2260)</f>
        <v>Neutral</v>
      </c>
    </row>
    <row r="2261" spans="1:11" ht="17" x14ac:dyDescent="0.2">
      <c r="A2261" t="s">
        <v>2550</v>
      </c>
      <c r="B2261" s="1" t="s">
        <v>2551</v>
      </c>
      <c r="C2261" t="s">
        <v>700</v>
      </c>
      <c r="D2261" s="1" t="s">
        <v>2</v>
      </c>
      <c r="E2261" t="b">
        <v>0</v>
      </c>
      <c r="F2261">
        <v>3543</v>
      </c>
      <c r="G2261">
        <v>964</v>
      </c>
      <c r="H2261" t="s">
        <v>11</v>
      </c>
      <c r="I2261" t="b">
        <v>0</v>
      </c>
      <c r="J2261" cm="1">
        <f t="array" ref="J2261">sentimentCalc(B2261)</f>
        <v>0</v>
      </c>
      <c r="K2261" t="str" cm="1">
        <f t="array" ref="K2261">sentimentCategory(J2261)</f>
        <v>Neutral</v>
      </c>
    </row>
    <row r="2262" spans="1:11" ht="17" x14ac:dyDescent="0.2">
      <c r="A2262" t="s">
        <v>3455</v>
      </c>
      <c r="B2262" s="1" t="s">
        <v>3456</v>
      </c>
      <c r="C2262" t="s">
        <v>3457</v>
      </c>
      <c r="D2262" s="1" t="s">
        <v>3458</v>
      </c>
      <c r="E2262" t="b">
        <v>0</v>
      </c>
      <c r="F2262">
        <v>22</v>
      </c>
      <c r="G2262">
        <v>39</v>
      </c>
      <c r="H2262" t="s">
        <v>11</v>
      </c>
      <c r="I2262" t="b">
        <v>0</v>
      </c>
      <c r="J2262" cm="1">
        <f t="array" ref="J2262">sentimentCalc(B2262)</f>
        <v>0</v>
      </c>
      <c r="K2262" t="str" cm="1">
        <f t="array" ref="K2262">sentimentCategory(J2262)</f>
        <v>Neutral</v>
      </c>
    </row>
    <row r="2263" spans="1:11" ht="17" x14ac:dyDescent="0.2">
      <c r="A2263" t="s">
        <v>6996</v>
      </c>
      <c r="B2263" s="1" t="s">
        <v>6997</v>
      </c>
      <c r="C2263" t="s">
        <v>6998</v>
      </c>
      <c r="D2263" s="1" t="s">
        <v>1653</v>
      </c>
      <c r="E2263" t="b">
        <v>0</v>
      </c>
      <c r="F2263">
        <v>34</v>
      </c>
      <c r="G2263">
        <v>337</v>
      </c>
      <c r="H2263" t="s">
        <v>11</v>
      </c>
      <c r="I2263" t="b">
        <v>0</v>
      </c>
      <c r="J2263" cm="1">
        <f t="array" ref="J2263">sentimentCalc(B2263)</f>
        <v>0</v>
      </c>
      <c r="K2263" t="str" cm="1">
        <f t="array" ref="K2263">sentimentCategory(J2263)</f>
        <v>Neutral</v>
      </c>
    </row>
    <row r="2264" spans="1:11" ht="17" x14ac:dyDescent="0.2">
      <c r="A2264" t="s">
        <v>309</v>
      </c>
      <c r="B2264" s="1" t="s">
        <v>310</v>
      </c>
      <c r="C2264" t="s">
        <v>311</v>
      </c>
      <c r="D2264" s="1" t="s">
        <v>312</v>
      </c>
      <c r="E2264" t="b">
        <v>0</v>
      </c>
      <c r="F2264">
        <v>207</v>
      </c>
      <c r="G2264">
        <v>630</v>
      </c>
      <c r="H2264" t="s">
        <v>11</v>
      </c>
      <c r="I2264" t="b">
        <v>0</v>
      </c>
      <c r="J2264" cm="1">
        <f t="array" ref="J2264">sentimentCalc(B2264)</f>
        <v>0</v>
      </c>
      <c r="K2264" t="str" cm="1">
        <f t="array" ref="K2264">sentimentCategory(J2264)</f>
        <v>Neutral</v>
      </c>
    </row>
    <row r="2265" spans="1:11" ht="17" x14ac:dyDescent="0.2">
      <c r="A2265" t="s">
        <v>3906</v>
      </c>
      <c r="B2265" s="1" t="s">
        <v>3907</v>
      </c>
      <c r="C2265" t="s">
        <v>3908</v>
      </c>
      <c r="D2265" s="1" t="s">
        <v>2</v>
      </c>
      <c r="E2265" t="b">
        <v>0</v>
      </c>
      <c r="F2265">
        <v>748</v>
      </c>
      <c r="G2265">
        <v>1337</v>
      </c>
      <c r="H2265" t="s">
        <v>11</v>
      </c>
      <c r="I2265" t="b">
        <v>0</v>
      </c>
      <c r="J2265" cm="1">
        <f t="array" ref="J2265">sentimentCalc(B2265)</f>
        <v>0</v>
      </c>
      <c r="K2265" t="str" cm="1">
        <f t="array" ref="K2265">sentimentCategory(J2265)</f>
        <v>Neutral</v>
      </c>
    </row>
    <row r="2266" spans="1:11" ht="17" x14ac:dyDescent="0.2">
      <c r="A2266" t="s">
        <v>2659</v>
      </c>
      <c r="B2266" s="1" t="s">
        <v>2660</v>
      </c>
      <c r="C2266" t="s">
        <v>2661</v>
      </c>
      <c r="D2266" s="1" t="s">
        <v>2662</v>
      </c>
      <c r="E2266" t="b">
        <v>0</v>
      </c>
      <c r="F2266">
        <v>7</v>
      </c>
      <c r="G2266">
        <v>282</v>
      </c>
      <c r="H2266" t="s">
        <v>11</v>
      </c>
      <c r="I2266" t="b">
        <v>0</v>
      </c>
      <c r="J2266" cm="1">
        <f t="array" ref="J2266">sentimentCalc(B2266)</f>
        <v>1</v>
      </c>
      <c r="K2266" t="str" cm="1">
        <f t="array" ref="K2266">sentimentCategory(J2266)</f>
        <v>Positive</v>
      </c>
    </row>
    <row r="2267" spans="1:11" ht="34" x14ac:dyDescent="0.2">
      <c r="A2267" t="s">
        <v>4435</v>
      </c>
      <c r="B2267" s="1" t="s">
        <v>4436</v>
      </c>
      <c r="C2267" t="s">
        <v>644</v>
      </c>
      <c r="D2267" s="1" t="s">
        <v>316</v>
      </c>
      <c r="E2267" t="b">
        <v>0</v>
      </c>
      <c r="F2267">
        <v>194</v>
      </c>
      <c r="G2267">
        <v>297</v>
      </c>
      <c r="H2267" t="s">
        <v>11</v>
      </c>
      <c r="I2267" t="b">
        <v>0</v>
      </c>
      <c r="J2267" cm="1">
        <f t="array" ref="J2267">sentimentCalc(B2267)</f>
        <v>0</v>
      </c>
      <c r="K2267" t="str" cm="1">
        <f t="array" ref="K2267">sentimentCategory(J2267)</f>
        <v>Neutral</v>
      </c>
    </row>
    <row r="2268" spans="1:11" ht="34" x14ac:dyDescent="0.2">
      <c r="A2268" t="s">
        <v>1950</v>
      </c>
      <c r="B2268" s="1" t="s">
        <v>1951</v>
      </c>
      <c r="C2268" t="s">
        <v>1541</v>
      </c>
      <c r="D2268" s="1" t="s">
        <v>2</v>
      </c>
      <c r="E2268" t="b">
        <v>0</v>
      </c>
      <c r="F2268">
        <v>4</v>
      </c>
      <c r="G2268">
        <v>113</v>
      </c>
      <c r="H2268" t="s">
        <v>11</v>
      </c>
      <c r="I2268" t="b">
        <v>0</v>
      </c>
      <c r="J2268" cm="1">
        <f t="array" ref="J2268">sentimentCalc(B2268)</f>
        <v>0</v>
      </c>
      <c r="K2268" t="str" cm="1">
        <f t="array" ref="K2268">sentimentCategory(J2268)</f>
        <v>Neutral</v>
      </c>
    </row>
    <row r="2269" spans="1:11" ht="17" x14ac:dyDescent="0.2">
      <c r="A2269" t="s">
        <v>856</v>
      </c>
      <c r="B2269" s="1" t="s">
        <v>857</v>
      </c>
      <c r="C2269" t="s">
        <v>858</v>
      </c>
      <c r="D2269" s="1" t="s">
        <v>2</v>
      </c>
      <c r="E2269" t="b">
        <v>0</v>
      </c>
      <c r="F2269">
        <v>280</v>
      </c>
      <c r="G2269">
        <v>505</v>
      </c>
      <c r="H2269" t="s">
        <v>11</v>
      </c>
      <c r="I2269" t="b">
        <v>0</v>
      </c>
      <c r="J2269" cm="1">
        <f t="array" ref="J2269">sentimentCalc(B2269)</f>
        <v>0</v>
      </c>
      <c r="K2269" t="str" cm="1">
        <f t="array" ref="K2269">sentimentCategory(J2269)</f>
        <v>Neutral</v>
      </c>
    </row>
    <row r="2270" spans="1:11" ht="17" x14ac:dyDescent="0.2">
      <c r="A2270" t="s">
        <v>3973</v>
      </c>
      <c r="B2270" s="1" t="s">
        <v>3974</v>
      </c>
      <c r="C2270" t="s">
        <v>3072</v>
      </c>
      <c r="D2270" s="1" t="s">
        <v>506</v>
      </c>
      <c r="E2270" t="b">
        <v>0</v>
      </c>
      <c r="F2270">
        <v>8</v>
      </c>
      <c r="G2270">
        <v>35</v>
      </c>
      <c r="H2270" t="s">
        <v>11</v>
      </c>
      <c r="I2270" t="b">
        <v>0</v>
      </c>
      <c r="J2270" cm="1">
        <f t="array" ref="J2270">sentimentCalc(B2270)</f>
        <v>0</v>
      </c>
      <c r="K2270" t="str" cm="1">
        <f t="array" ref="K2270">sentimentCategory(J2270)</f>
        <v>Neutral</v>
      </c>
    </row>
    <row r="2271" spans="1:11" ht="17" x14ac:dyDescent="0.2">
      <c r="A2271" t="s">
        <v>6241</v>
      </c>
      <c r="B2271" s="1" t="s">
        <v>6242</v>
      </c>
      <c r="C2271" t="s">
        <v>6243</v>
      </c>
      <c r="D2271" s="1" t="s">
        <v>2</v>
      </c>
      <c r="E2271" t="b">
        <v>0</v>
      </c>
      <c r="F2271">
        <v>3</v>
      </c>
      <c r="G2271">
        <v>15</v>
      </c>
      <c r="H2271" t="s">
        <v>47</v>
      </c>
      <c r="I2271" t="b">
        <v>0</v>
      </c>
      <c r="J2271" cm="1">
        <f t="array" ref="J2271">sentimentCalc(B2271)</f>
        <v>0</v>
      </c>
      <c r="K2271" t="str" cm="1">
        <f t="array" ref="K2271">sentimentCategory(J2271)</f>
        <v>Neutral</v>
      </c>
    </row>
    <row r="2272" spans="1:11" ht="17" x14ac:dyDescent="0.2">
      <c r="A2272" t="s">
        <v>1074</v>
      </c>
      <c r="B2272" s="1" t="s">
        <v>1075</v>
      </c>
      <c r="C2272" t="s">
        <v>275</v>
      </c>
      <c r="D2272" s="1" t="s">
        <v>565</v>
      </c>
      <c r="E2272" t="b">
        <v>0</v>
      </c>
      <c r="F2272">
        <v>299</v>
      </c>
      <c r="G2272">
        <v>310</v>
      </c>
      <c r="H2272" t="s">
        <v>11</v>
      </c>
      <c r="I2272" t="b">
        <v>0</v>
      </c>
      <c r="J2272" cm="1">
        <f t="array" ref="J2272">sentimentCalc(B2272)</f>
        <v>0</v>
      </c>
      <c r="K2272" t="str" cm="1">
        <f t="array" ref="K2272">sentimentCategory(J2272)</f>
        <v>Neutral</v>
      </c>
    </row>
    <row r="2273" spans="1:11" ht="34" x14ac:dyDescent="0.2">
      <c r="A2273" t="s">
        <v>5234</v>
      </c>
      <c r="B2273" s="1" t="s">
        <v>5235</v>
      </c>
      <c r="C2273" t="s">
        <v>5163</v>
      </c>
      <c r="D2273" s="1" t="s">
        <v>5236</v>
      </c>
      <c r="E2273" t="b">
        <v>0</v>
      </c>
      <c r="F2273">
        <v>224</v>
      </c>
      <c r="G2273">
        <v>572</v>
      </c>
      <c r="H2273" t="s">
        <v>11</v>
      </c>
      <c r="I2273" t="b">
        <v>0</v>
      </c>
      <c r="J2273" cm="1">
        <f t="array" ref="J2273">sentimentCalc(B2273)</f>
        <v>0</v>
      </c>
      <c r="K2273" t="str" cm="1">
        <f t="array" ref="K2273">sentimentCategory(J2273)</f>
        <v>Neutral</v>
      </c>
    </row>
    <row r="2274" spans="1:11" ht="17" x14ac:dyDescent="0.2">
      <c r="A2274" t="s">
        <v>4550</v>
      </c>
      <c r="B2274" s="1" t="s">
        <v>4551</v>
      </c>
      <c r="C2274" t="s">
        <v>406</v>
      </c>
      <c r="D2274" s="1" t="s">
        <v>4552</v>
      </c>
      <c r="E2274" t="b">
        <v>0</v>
      </c>
      <c r="F2274">
        <v>2089</v>
      </c>
      <c r="G2274">
        <v>4647</v>
      </c>
      <c r="H2274" t="s">
        <v>11</v>
      </c>
      <c r="I2274" t="b">
        <v>0</v>
      </c>
      <c r="J2274" cm="1">
        <f t="array" ref="J2274">sentimentCalc(B2274)</f>
        <v>0</v>
      </c>
      <c r="K2274" t="str" cm="1">
        <f t="array" ref="K2274">sentimentCategory(J2274)</f>
        <v>Neutral</v>
      </c>
    </row>
    <row r="2275" spans="1:11" ht="17" x14ac:dyDescent="0.2">
      <c r="A2275" t="s">
        <v>3242</v>
      </c>
      <c r="B2275" s="1" t="s">
        <v>3243</v>
      </c>
      <c r="C2275" t="s">
        <v>3244</v>
      </c>
      <c r="D2275" s="1" t="s">
        <v>2</v>
      </c>
      <c r="E2275" t="b">
        <v>0</v>
      </c>
      <c r="F2275">
        <v>10</v>
      </c>
      <c r="G2275">
        <v>28</v>
      </c>
      <c r="H2275" t="s">
        <v>11</v>
      </c>
      <c r="I2275" t="b">
        <v>0</v>
      </c>
      <c r="J2275" cm="1">
        <f t="array" ref="J2275">sentimentCalc(B2275)</f>
        <v>0</v>
      </c>
      <c r="K2275" t="str" cm="1">
        <f t="array" ref="K2275">sentimentCategory(J2275)</f>
        <v>Neutral</v>
      </c>
    </row>
    <row r="2276" spans="1:11" ht="17" x14ac:dyDescent="0.2">
      <c r="A2276" t="s">
        <v>3923</v>
      </c>
      <c r="B2276" s="1" t="s">
        <v>3924</v>
      </c>
      <c r="C2276" t="s">
        <v>275</v>
      </c>
      <c r="D2276" s="1" t="s">
        <v>95</v>
      </c>
      <c r="E2276" t="b">
        <v>0</v>
      </c>
      <c r="F2276">
        <v>707</v>
      </c>
      <c r="G2276">
        <v>0</v>
      </c>
      <c r="H2276" t="s">
        <v>11</v>
      </c>
      <c r="I2276" t="b">
        <v>0</v>
      </c>
      <c r="J2276" cm="1">
        <f t="array" ref="J2276">sentimentCalc(B2276)</f>
        <v>0</v>
      </c>
      <c r="K2276" t="str" cm="1">
        <f t="array" ref="K2276">sentimentCategory(J2276)</f>
        <v>Neutral</v>
      </c>
    </row>
    <row r="2277" spans="1:11" ht="17" x14ac:dyDescent="0.2">
      <c r="A2277" t="s">
        <v>3158</v>
      </c>
      <c r="B2277" s="1" t="s">
        <v>3159</v>
      </c>
      <c r="C2277" t="s">
        <v>3160</v>
      </c>
      <c r="D2277" s="1" t="s">
        <v>3161</v>
      </c>
      <c r="E2277" t="b">
        <v>0</v>
      </c>
      <c r="F2277">
        <v>66</v>
      </c>
      <c r="G2277">
        <v>97</v>
      </c>
      <c r="H2277" t="s">
        <v>11</v>
      </c>
      <c r="I2277" t="b">
        <v>0</v>
      </c>
      <c r="J2277" cm="1">
        <f t="array" ref="J2277">sentimentCalc(B2277)</f>
        <v>0</v>
      </c>
      <c r="K2277" t="str" cm="1">
        <f t="array" ref="K2277">sentimentCategory(J2277)</f>
        <v>Neutral</v>
      </c>
    </row>
    <row r="2278" spans="1:11" ht="17" x14ac:dyDescent="0.2">
      <c r="A2278" t="s">
        <v>7229</v>
      </c>
      <c r="B2278" s="1" t="s">
        <v>7230</v>
      </c>
      <c r="C2278" t="s">
        <v>2554</v>
      </c>
      <c r="D2278" s="1" t="s">
        <v>2</v>
      </c>
      <c r="E2278" t="b">
        <v>0</v>
      </c>
      <c r="F2278">
        <v>894</v>
      </c>
      <c r="G2278">
        <v>1448</v>
      </c>
      <c r="H2278" t="s">
        <v>11</v>
      </c>
      <c r="I2278" t="b">
        <v>0</v>
      </c>
      <c r="J2278" cm="1">
        <f t="array" ref="J2278">sentimentCalc(B2278)</f>
        <v>0</v>
      </c>
      <c r="K2278" t="str" cm="1">
        <f t="array" ref="K2278">sentimentCategory(J2278)</f>
        <v>Neutral</v>
      </c>
    </row>
    <row r="2279" spans="1:11" ht="34" x14ac:dyDescent="0.2">
      <c r="A2279" t="s">
        <v>4959</v>
      </c>
      <c r="B2279" s="1" t="s">
        <v>4960</v>
      </c>
      <c r="C2279" t="s">
        <v>769</v>
      </c>
      <c r="D2279" s="1" t="s">
        <v>2</v>
      </c>
      <c r="E2279" t="b">
        <v>0</v>
      </c>
      <c r="F2279">
        <v>1</v>
      </c>
      <c r="G2279">
        <v>0</v>
      </c>
      <c r="H2279" t="s">
        <v>11</v>
      </c>
      <c r="I2279" t="b">
        <v>0</v>
      </c>
      <c r="J2279" cm="1">
        <f t="array" ref="J2279">sentimentCalc(B2279)</f>
        <v>0</v>
      </c>
      <c r="K2279" t="str" cm="1">
        <f t="array" ref="K2279">sentimentCategory(J2279)</f>
        <v>Neutral</v>
      </c>
    </row>
    <row r="2280" spans="1:11" ht="17" x14ac:dyDescent="0.2">
      <c r="A2280" t="s">
        <v>4614</v>
      </c>
      <c r="B2280" s="1" t="s">
        <v>4615</v>
      </c>
      <c r="C2280" t="s">
        <v>2896</v>
      </c>
      <c r="D2280" s="1" t="s">
        <v>4616</v>
      </c>
      <c r="E2280" t="b">
        <v>0</v>
      </c>
      <c r="F2280">
        <v>362</v>
      </c>
      <c r="G2280">
        <v>652</v>
      </c>
      <c r="H2280" t="s">
        <v>11</v>
      </c>
      <c r="I2280" t="b">
        <v>0</v>
      </c>
      <c r="J2280" cm="1">
        <f t="array" ref="J2280">sentimentCalc(B2280)</f>
        <v>0</v>
      </c>
      <c r="K2280" t="str" cm="1">
        <f t="array" ref="K2280">sentimentCategory(J2280)</f>
        <v>Neutral</v>
      </c>
    </row>
    <row r="2281" spans="1:11" ht="17" x14ac:dyDescent="0.2">
      <c r="A2281" t="s">
        <v>3544</v>
      </c>
      <c r="B2281" s="1" t="s">
        <v>3545</v>
      </c>
      <c r="C2281" t="s">
        <v>222</v>
      </c>
      <c r="D2281" s="1" t="s">
        <v>3546</v>
      </c>
      <c r="E2281" t="b">
        <v>0</v>
      </c>
      <c r="F2281">
        <v>3236</v>
      </c>
      <c r="G2281">
        <v>3407</v>
      </c>
      <c r="H2281" t="s">
        <v>11</v>
      </c>
      <c r="I2281" t="b">
        <v>0</v>
      </c>
      <c r="J2281" cm="1">
        <f t="array" ref="J2281">sentimentCalc(B2281)</f>
        <v>0</v>
      </c>
      <c r="K2281" t="str" cm="1">
        <f t="array" ref="K2281">sentimentCategory(J2281)</f>
        <v>Neutral</v>
      </c>
    </row>
    <row r="2282" spans="1:11" ht="17" x14ac:dyDescent="0.2">
      <c r="A2282" t="s">
        <v>7168</v>
      </c>
      <c r="B2282" s="1" t="s">
        <v>7169</v>
      </c>
      <c r="C2282" t="s">
        <v>271</v>
      </c>
      <c r="D2282" s="1" t="s">
        <v>2</v>
      </c>
      <c r="E2282" t="b">
        <v>0</v>
      </c>
      <c r="F2282">
        <v>29718</v>
      </c>
      <c r="G2282">
        <v>981</v>
      </c>
      <c r="H2282" t="s">
        <v>47</v>
      </c>
      <c r="I2282" t="b">
        <v>0</v>
      </c>
      <c r="J2282" cm="1">
        <f t="array" ref="J2282">sentimentCalc(B2282)</f>
        <v>0</v>
      </c>
      <c r="K2282" t="str" cm="1">
        <f t="array" ref="K2282">sentimentCategory(J2282)</f>
        <v>Neutral</v>
      </c>
    </row>
    <row r="2283" spans="1:11" ht="17" x14ac:dyDescent="0.2">
      <c r="A2283" t="s">
        <v>5129</v>
      </c>
      <c r="B2283" s="1" t="s">
        <v>5130</v>
      </c>
      <c r="C2283" t="s">
        <v>611</v>
      </c>
      <c r="D2283" s="1" t="s">
        <v>612</v>
      </c>
      <c r="E2283" t="b">
        <v>0</v>
      </c>
      <c r="F2283">
        <v>14</v>
      </c>
      <c r="G2283">
        <v>27</v>
      </c>
      <c r="H2283" t="s">
        <v>47</v>
      </c>
      <c r="I2283" t="b">
        <v>0</v>
      </c>
      <c r="J2283" cm="1">
        <f t="array" ref="J2283">sentimentCalc(B2283)</f>
        <v>0</v>
      </c>
      <c r="K2283" t="str" cm="1">
        <f t="array" ref="K2283">sentimentCategory(J2283)</f>
        <v>Neutral</v>
      </c>
    </row>
    <row r="2284" spans="1:11" ht="34" x14ac:dyDescent="0.2">
      <c r="A2284" t="s">
        <v>3427</v>
      </c>
      <c r="B2284" s="1" t="s">
        <v>3428</v>
      </c>
      <c r="C2284" t="s">
        <v>193</v>
      </c>
      <c r="D2284" s="1" t="s">
        <v>2</v>
      </c>
      <c r="E2284" t="b">
        <v>0</v>
      </c>
      <c r="F2284">
        <v>153</v>
      </c>
      <c r="G2284">
        <v>500</v>
      </c>
      <c r="H2284" t="s">
        <v>11</v>
      </c>
      <c r="I2284" t="b">
        <v>0</v>
      </c>
      <c r="J2284" cm="1">
        <f t="array" ref="J2284">sentimentCalc(B2284)</f>
        <v>0</v>
      </c>
      <c r="K2284" t="str" cm="1">
        <f t="array" ref="K2284">sentimentCategory(J2284)</f>
        <v>Neutral</v>
      </c>
    </row>
    <row r="2285" spans="1:11" ht="17" x14ac:dyDescent="0.2">
      <c r="A2285" t="s">
        <v>3775</v>
      </c>
      <c r="B2285" s="1" t="s">
        <v>3776</v>
      </c>
      <c r="C2285" t="s">
        <v>3765</v>
      </c>
      <c r="D2285" s="1" t="s">
        <v>3777</v>
      </c>
      <c r="E2285" t="b">
        <v>0</v>
      </c>
      <c r="F2285">
        <v>2014</v>
      </c>
      <c r="G2285">
        <v>402</v>
      </c>
      <c r="H2285" t="s">
        <v>11</v>
      </c>
      <c r="I2285" t="b">
        <v>0</v>
      </c>
      <c r="J2285" cm="1">
        <f t="array" ref="J2285">sentimentCalc(B2285)</f>
        <v>1</v>
      </c>
      <c r="K2285" t="str" cm="1">
        <f t="array" ref="K2285">sentimentCategory(J2285)</f>
        <v>Positive</v>
      </c>
    </row>
    <row r="2286" spans="1:11" ht="34" x14ac:dyDescent="0.2">
      <c r="A2286" t="s">
        <v>4853</v>
      </c>
      <c r="B2286" s="1" t="s">
        <v>4854</v>
      </c>
      <c r="C2286" t="s">
        <v>3439</v>
      </c>
      <c r="D2286" s="1" t="s">
        <v>3712</v>
      </c>
      <c r="E2286" t="b">
        <v>0</v>
      </c>
      <c r="F2286">
        <v>2423</v>
      </c>
      <c r="G2286">
        <v>1340</v>
      </c>
      <c r="H2286" t="s">
        <v>11</v>
      </c>
      <c r="I2286" t="b">
        <v>0</v>
      </c>
      <c r="J2286" cm="1">
        <f t="array" ref="J2286">sentimentCalc(B2286)</f>
        <v>0</v>
      </c>
      <c r="K2286" t="str" cm="1">
        <f t="array" ref="K2286">sentimentCategory(J2286)</f>
        <v>Neutral</v>
      </c>
    </row>
    <row r="2287" spans="1:11" ht="17" x14ac:dyDescent="0.2">
      <c r="A2287" t="s">
        <v>743</v>
      </c>
      <c r="B2287" s="1" t="s">
        <v>744</v>
      </c>
      <c r="C2287" t="s">
        <v>745</v>
      </c>
      <c r="D2287" s="1" t="s">
        <v>2</v>
      </c>
      <c r="E2287" t="b">
        <v>0</v>
      </c>
      <c r="F2287">
        <v>32</v>
      </c>
      <c r="G2287">
        <v>0</v>
      </c>
      <c r="H2287" t="s">
        <v>11</v>
      </c>
      <c r="I2287" t="b">
        <v>0</v>
      </c>
      <c r="J2287" cm="1">
        <f t="array" ref="J2287">sentimentCalc(B2287)</f>
        <v>0</v>
      </c>
      <c r="K2287" t="str" cm="1">
        <f t="array" ref="K2287">sentimentCategory(J2287)</f>
        <v>Neutral</v>
      </c>
    </row>
    <row r="2288" spans="1:11" ht="34" x14ac:dyDescent="0.2">
      <c r="A2288" t="s">
        <v>2068</v>
      </c>
      <c r="B2288" s="1" t="s">
        <v>2069</v>
      </c>
      <c r="C2288" t="s">
        <v>289</v>
      </c>
      <c r="D2288" s="1" t="s">
        <v>2</v>
      </c>
      <c r="E2288" t="b">
        <v>0</v>
      </c>
      <c r="F2288">
        <v>3634</v>
      </c>
      <c r="G2288">
        <v>3732</v>
      </c>
      <c r="H2288" t="s">
        <v>11</v>
      </c>
      <c r="I2288" t="b">
        <v>0</v>
      </c>
      <c r="J2288" cm="1">
        <f t="array" ref="J2288">sentimentCalc(B2288)</f>
        <v>-1</v>
      </c>
      <c r="K2288" t="str" cm="1">
        <f t="array" ref="K2288">sentimentCategory(J2288)</f>
        <v>Negative</v>
      </c>
    </row>
    <row r="2289" spans="1:11" ht="34" x14ac:dyDescent="0.2">
      <c r="A2289" t="s">
        <v>3851</v>
      </c>
      <c r="B2289" s="1" t="s">
        <v>3852</v>
      </c>
      <c r="C2289" t="s">
        <v>3853</v>
      </c>
      <c r="D2289" s="1" t="s">
        <v>2</v>
      </c>
      <c r="E2289" t="b">
        <v>0</v>
      </c>
      <c r="F2289">
        <v>21</v>
      </c>
      <c r="G2289">
        <v>137</v>
      </c>
      <c r="H2289" t="s">
        <v>83</v>
      </c>
      <c r="I2289" t="b">
        <v>0</v>
      </c>
      <c r="J2289" cm="1">
        <f t="array" ref="J2289">sentimentCalc(B2289)</f>
        <v>0</v>
      </c>
      <c r="K2289" t="str" cm="1">
        <f t="array" ref="K2289">sentimentCategory(J2289)</f>
        <v>Neutral</v>
      </c>
    </row>
    <row r="2290" spans="1:11" ht="34" x14ac:dyDescent="0.2">
      <c r="A2290" t="s">
        <v>6198</v>
      </c>
      <c r="B2290" s="1" t="s">
        <v>6199</v>
      </c>
      <c r="C2290" t="s">
        <v>222</v>
      </c>
      <c r="D2290" s="1" t="s">
        <v>6200</v>
      </c>
      <c r="E2290" t="b">
        <v>0</v>
      </c>
      <c r="F2290">
        <v>390</v>
      </c>
      <c r="G2290">
        <v>500</v>
      </c>
      <c r="H2290" t="s">
        <v>11</v>
      </c>
      <c r="I2290" t="b">
        <v>0</v>
      </c>
      <c r="J2290" cm="1">
        <f t="array" ref="J2290">sentimentCalc(B2290)</f>
        <v>0</v>
      </c>
      <c r="K2290" t="str" cm="1">
        <f t="array" ref="K2290">sentimentCategory(J2290)</f>
        <v>Neutral</v>
      </c>
    </row>
    <row r="2291" spans="1:11" ht="17" x14ac:dyDescent="0.2">
      <c r="A2291" t="s">
        <v>202</v>
      </c>
      <c r="B2291" s="1" t="s">
        <v>203</v>
      </c>
      <c r="C2291" t="s">
        <v>204</v>
      </c>
      <c r="D2291" s="1" t="s">
        <v>205</v>
      </c>
      <c r="E2291" t="b">
        <v>0</v>
      </c>
      <c r="F2291">
        <v>562</v>
      </c>
      <c r="G2291">
        <v>588</v>
      </c>
      <c r="H2291" t="s">
        <v>11</v>
      </c>
      <c r="I2291" t="b">
        <v>0</v>
      </c>
      <c r="J2291" cm="1">
        <f t="array" ref="J2291">sentimentCalc(B2291)</f>
        <v>0</v>
      </c>
      <c r="K2291" t="str" cm="1">
        <f t="array" ref="K2291">sentimentCategory(J2291)</f>
        <v>Neutral</v>
      </c>
    </row>
    <row r="2292" spans="1:11" ht="34" x14ac:dyDescent="0.2">
      <c r="A2292" t="s">
        <v>1136</v>
      </c>
      <c r="B2292" s="1" t="s">
        <v>1137</v>
      </c>
      <c r="C2292" t="s">
        <v>1138</v>
      </c>
      <c r="D2292" s="1" t="s">
        <v>1139</v>
      </c>
      <c r="E2292" t="b">
        <v>0</v>
      </c>
      <c r="F2292">
        <v>4774</v>
      </c>
      <c r="G2292">
        <v>1095</v>
      </c>
      <c r="H2292" t="s">
        <v>11</v>
      </c>
      <c r="I2292" t="b">
        <v>0</v>
      </c>
      <c r="J2292" cm="1">
        <f t="array" ref="J2292">sentimentCalc(B2292)</f>
        <v>1</v>
      </c>
      <c r="K2292" t="str" cm="1">
        <f t="array" ref="K2292">sentimentCategory(J2292)</f>
        <v>Positive</v>
      </c>
    </row>
    <row r="2293" spans="1:11" ht="34" x14ac:dyDescent="0.2">
      <c r="A2293" t="s">
        <v>5030</v>
      </c>
      <c r="B2293" s="1" t="s">
        <v>5031</v>
      </c>
      <c r="C2293" t="s">
        <v>5032</v>
      </c>
      <c r="D2293" s="1" t="s">
        <v>5033</v>
      </c>
      <c r="E2293" t="b">
        <v>0</v>
      </c>
      <c r="F2293">
        <v>45</v>
      </c>
      <c r="G2293">
        <v>386</v>
      </c>
      <c r="H2293" t="s">
        <v>11</v>
      </c>
      <c r="I2293" t="b">
        <v>0</v>
      </c>
      <c r="J2293" cm="1">
        <f t="array" ref="J2293">sentimentCalc(B2293)</f>
        <v>1</v>
      </c>
      <c r="K2293" t="str" cm="1">
        <f t="array" ref="K2293">sentimentCategory(J2293)</f>
        <v>Positive</v>
      </c>
    </row>
    <row r="2294" spans="1:11" ht="34" x14ac:dyDescent="0.2">
      <c r="A2294" t="s">
        <v>3629</v>
      </c>
      <c r="B2294" s="1" t="s">
        <v>3630</v>
      </c>
      <c r="C2294" t="s">
        <v>3631</v>
      </c>
      <c r="D2294" s="1" t="s">
        <v>534</v>
      </c>
      <c r="E2294" t="b">
        <v>0</v>
      </c>
      <c r="F2294">
        <v>126</v>
      </c>
      <c r="G2294">
        <v>240</v>
      </c>
      <c r="H2294" t="s">
        <v>11</v>
      </c>
      <c r="I2294" t="b">
        <v>0</v>
      </c>
      <c r="J2294" cm="1">
        <f t="array" ref="J2294">sentimentCalc(B2294)</f>
        <v>0</v>
      </c>
      <c r="K2294" t="str" cm="1">
        <f t="array" ref="K2294">sentimentCategory(J2294)</f>
        <v>Neutral</v>
      </c>
    </row>
    <row r="2295" spans="1:11" ht="34" x14ac:dyDescent="0.2">
      <c r="A2295" t="s">
        <v>4628</v>
      </c>
      <c r="B2295" s="1" t="s">
        <v>4629</v>
      </c>
      <c r="C2295" t="s">
        <v>4491</v>
      </c>
      <c r="D2295" s="1" t="s">
        <v>1813</v>
      </c>
      <c r="E2295" t="b">
        <v>0</v>
      </c>
      <c r="F2295">
        <v>2629</v>
      </c>
      <c r="G2295">
        <v>1126</v>
      </c>
      <c r="H2295" t="s">
        <v>11</v>
      </c>
      <c r="I2295" t="b">
        <v>0</v>
      </c>
      <c r="J2295" cm="1">
        <f t="array" ref="J2295">sentimentCalc(B2295)</f>
        <v>1</v>
      </c>
      <c r="K2295" t="str" cm="1">
        <f t="array" ref="K2295">sentimentCategory(J2295)</f>
        <v>Positive</v>
      </c>
    </row>
    <row r="2296" spans="1:11" ht="34" x14ac:dyDescent="0.2">
      <c r="A2296" t="s">
        <v>5509</v>
      </c>
      <c r="B2296" s="1" t="s">
        <v>5510</v>
      </c>
      <c r="C2296" t="s">
        <v>3817</v>
      </c>
      <c r="D2296" s="1" t="s">
        <v>2</v>
      </c>
      <c r="E2296" t="b">
        <v>0</v>
      </c>
      <c r="F2296">
        <v>117</v>
      </c>
      <c r="G2296">
        <v>328</v>
      </c>
      <c r="H2296" t="s">
        <v>641</v>
      </c>
      <c r="I2296" t="b">
        <v>0</v>
      </c>
      <c r="J2296" cm="1">
        <f t="array" ref="J2296">sentimentCalc(B2296)</f>
        <v>0</v>
      </c>
      <c r="K2296" t="str" cm="1">
        <f t="array" ref="K2296">sentimentCategory(J2296)</f>
        <v>Neutral</v>
      </c>
    </row>
    <row r="2297" spans="1:11" ht="17" x14ac:dyDescent="0.2">
      <c r="A2297" t="s">
        <v>3293</v>
      </c>
      <c r="B2297" s="1" t="s">
        <v>3294</v>
      </c>
      <c r="C2297" t="s">
        <v>3295</v>
      </c>
      <c r="D2297" s="1" t="s">
        <v>3296</v>
      </c>
      <c r="E2297" t="b">
        <v>0</v>
      </c>
      <c r="F2297">
        <v>7127</v>
      </c>
      <c r="G2297">
        <v>610</v>
      </c>
      <c r="H2297" t="s">
        <v>11</v>
      </c>
      <c r="I2297" t="b">
        <v>0</v>
      </c>
      <c r="J2297" cm="1">
        <f t="array" ref="J2297">sentimentCalc(B2297)</f>
        <v>0</v>
      </c>
      <c r="K2297" t="str" cm="1">
        <f t="array" ref="K2297">sentimentCategory(J2297)</f>
        <v>Neutral</v>
      </c>
    </row>
    <row r="2298" spans="1:11" ht="17" x14ac:dyDescent="0.2">
      <c r="A2298" t="s">
        <v>3975</v>
      </c>
      <c r="B2298" s="1" t="s">
        <v>3976</v>
      </c>
      <c r="C2298" t="s">
        <v>1095</v>
      </c>
      <c r="D2298" s="1" t="s">
        <v>3977</v>
      </c>
      <c r="E2298" t="b">
        <v>0</v>
      </c>
      <c r="F2298">
        <v>241</v>
      </c>
      <c r="G2298">
        <v>733</v>
      </c>
      <c r="H2298" t="s">
        <v>11</v>
      </c>
      <c r="I2298" t="b">
        <v>0</v>
      </c>
      <c r="J2298" cm="1">
        <f t="array" ref="J2298">sentimentCalc(B2298)</f>
        <v>0</v>
      </c>
      <c r="K2298" t="str" cm="1">
        <f t="array" ref="K2298">sentimentCategory(J2298)</f>
        <v>Neutral</v>
      </c>
    </row>
    <row r="2299" spans="1:11" ht="17" x14ac:dyDescent="0.2">
      <c r="A2299" t="s">
        <v>5021</v>
      </c>
      <c r="B2299" s="1" t="s">
        <v>5022</v>
      </c>
      <c r="C2299" t="s">
        <v>3249</v>
      </c>
      <c r="D2299" s="1" t="s">
        <v>2561</v>
      </c>
      <c r="E2299" t="b">
        <v>0</v>
      </c>
      <c r="F2299">
        <v>74</v>
      </c>
      <c r="G2299">
        <v>1238</v>
      </c>
      <c r="H2299" t="s">
        <v>47</v>
      </c>
      <c r="I2299" t="b">
        <v>0</v>
      </c>
      <c r="J2299" cm="1">
        <f t="array" ref="J2299">sentimentCalc(B2299)</f>
        <v>0</v>
      </c>
      <c r="K2299" t="str" cm="1">
        <f t="array" ref="K2299">sentimentCategory(J2299)</f>
        <v>Neutral</v>
      </c>
    </row>
    <row r="2300" spans="1:11" ht="17" x14ac:dyDescent="0.2">
      <c r="A2300" t="s">
        <v>3766</v>
      </c>
      <c r="B2300" s="1" t="s">
        <v>3767</v>
      </c>
      <c r="C2300" t="s">
        <v>3768</v>
      </c>
      <c r="D2300" s="1" t="s">
        <v>1368</v>
      </c>
      <c r="E2300" t="b">
        <v>0</v>
      </c>
      <c r="F2300">
        <v>73</v>
      </c>
      <c r="G2300">
        <v>420</v>
      </c>
      <c r="H2300" t="s">
        <v>11</v>
      </c>
      <c r="I2300" t="b">
        <v>0</v>
      </c>
      <c r="J2300" cm="1">
        <f t="array" ref="J2300">sentimentCalc(B2300)</f>
        <v>0</v>
      </c>
      <c r="K2300" t="str" cm="1">
        <f t="array" ref="K2300">sentimentCategory(J2300)</f>
        <v>Neutral</v>
      </c>
    </row>
    <row r="2301" spans="1:11" ht="17" x14ac:dyDescent="0.2">
      <c r="A2301" t="s">
        <v>5203</v>
      </c>
      <c r="B2301" s="1" t="s">
        <v>5204</v>
      </c>
      <c r="C2301" t="s">
        <v>3244</v>
      </c>
      <c r="D2301" s="1" t="s">
        <v>5205</v>
      </c>
      <c r="E2301" t="b">
        <v>0</v>
      </c>
      <c r="F2301">
        <v>258</v>
      </c>
      <c r="G2301">
        <v>237</v>
      </c>
      <c r="H2301" t="s">
        <v>11</v>
      </c>
      <c r="I2301" t="b">
        <v>0</v>
      </c>
      <c r="J2301" cm="1">
        <f t="array" ref="J2301">sentimentCalc(B2301)</f>
        <v>0</v>
      </c>
      <c r="K2301" t="str" cm="1">
        <f t="array" ref="K2301">sentimentCategory(J2301)</f>
        <v>Neutral</v>
      </c>
    </row>
    <row r="2302" spans="1:11" ht="17" x14ac:dyDescent="0.2">
      <c r="A2302" t="s">
        <v>3579</v>
      </c>
      <c r="B2302" s="1" t="s">
        <v>3580</v>
      </c>
      <c r="C2302" t="s">
        <v>3278</v>
      </c>
      <c r="D2302" s="1" t="s">
        <v>3581</v>
      </c>
      <c r="E2302" t="b">
        <v>0</v>
      </c>
      <c r="F2302">
        <v>1135</v>
      </c>
      <c r="G2302">
        <v>336</v>
      </c>
      <c r="H2302" t="s">
        <v>11</v>
      </c>
      <c r="I2302" t="b">
        <v>0</v>
      </c>
      <c r="J2302" cm="1">
        <f t="array" ref="J2302">sentimentCalc(B2302)</f>
        <v>0</v>
      </c>
      <c r="K2302" t="str" cm="1">
        <f t="array" ref="K2302">sentimentCategory(J2302)</f>
        <v>Neutral</v>
      </c>
    </row>
    <row r="2303" spans="1:11" ht="17" x14ac:dyDescent="0.2">
      <c r="A2303" t="s">
        <v>4370</v>
      </c>
      <c r="B2303" s="1" t="s">
        <v>4371</v>
      </c>
      <c r="C2303" t="s">
        <v>3102</v>
      </c>
      <c r="D2303" s="1" t="s">
        <v>4372</v>
      </c>
      <c r="E2303" t="b">
        <v>0</v>
      </c>
      <c r="F2303">
        <v>436</v>
      </c>
      <c r="G2303">
        <v>1289</v>
      </c>
      <c r="H2303" t="s">
        <v>11</v>
      </c>
      <c r="I2303" t="b">
        <v>0</v>
      </c>
      <c r="J2303" cm="1">
        <f t="array" ref="J2303">sentimentCalc(B2303)</f>
        <v>0</v>
      </c>
      <c r="K2303" t="str" cm="1">
        <f t="array" ref="K2303">sentimentCategory(J2303)</f>
        <v>Neutral</v>
      </c>
    </row>
    <row r="2304" spans="1:11" ht="17" x14ac:dyDescent="0.2">
      <c r="A2304" t="s">
        <v>4494</v>
      </c>
      <c r="B2304" s="1" t="s">
        <v>4495</v>
      </c>
      <c r="C2304" t="s">
        <v>133</v>
      </c>
      <c r="D2304" s="1" t="s">
        <v>2</v>
      </c>
      <c r="E2304" t="b">
        <v>0</v>
      </c>
      <c r="F2304">
        <v>12</v>
      </c>
      <c r="G2304">
        <v>51</v>
      </c>
      <c r="H2304" t="s">
        <v>11</v>
      </c>
      <c r="I2304" t="b">
        <v>0</v>
      </c>
      <c r="J2304" cm="1">
        <f t="array" ref="J2304">sentimentCalc(B2304)</f>
        <v>-1</v>
      </c>
      <c r="K2304" t="str" cm="1">
        <f t="array" ref="K2304">sentimentCategory(J2304)</f>
        <v>Negative</v>
      </c>
    </row>
    <row r="2305" spans="1:11" ht="34" x14ac:dyDescent="0.2">
      <c r="A2305" t="s">
        <v>1751</v>
      </c>
      <c r="B2305" s="1" t="s">
        <v>1752</v>
      </c>
      <c r="C2305" t="s">
        <v>1753</v>
      </c>
      <c r="D2305" s="1" t="s">
        <v>2</v>
      </c>
      <c r="E2305" t="b">
        <v>0</v>
      </c>
      <c r="F2305">
        <v>194</v>
      </c>
      <c r="G2305">
        <v>89</v>
      </c>
      <c r="H2305" t="s">
        <v>1580</v>
      </c>
      <c r="I2305" t="b">
        <v>0</v>
      </c>
      <c r="J2305" cm="1">
        <f t="array" ref="J2305">sentimentCalc(B2305)</f>
        <v>0</v>
      </c>
      <c r="K2305" t="str" cm="1">
        <f t="array" ref="K2305">sentimentCategory(J2305)</f>
        <v>Neutral</v>
      </c>
    </row>
    <row r="2306" spans="1:11" ht="17" x14ac:dyDescent="0.2">
      <c r="A2306" t="s">
        <v>5333</v>
      </c>
      <c r="B2306" s="1" t="s">
        <v>5334</v>
      </c>
      <c r="C2306" t="s">
        <v>5335</v>
      </c>
      <c r="D2306" s="1" t="s">
        <v>5336</v>
      </c>
      <c r="E2306" t="b">
        <v>0</v>
      </c>
      <c r="F2306">
        <v>323</v>
      </c>
      <c r="G2306">
        <v>526</v>
      </c>
      <c r="H2306" t="s">
        <v>11</v>
      </c>
      <c r="I2306" t="b">
        <v>0</v>
      </c>
      <c r="J2306" cm="1">
        <f t="array" ref="J2306">sentimentCalc(B2306)</f>
        <v>0</v>
      </c>
      <c r="K2306" t="str" cm="1">
        <f t="array" ref="K2306">sentimentCategory(J2306)</f>
        <v>Neutral</v>
      </c>
    </row>
    <row r="2307" spans="1:11" ht="17" x14ac:dyDescent="0.2">
      <c r="A2307" t="s">
        <v>396</v>
      </c>
      <c r="B2307" s="1" t="s">
        <v>397</v>
      </c>
      <c r="C2307" t="s">
        <v>398</v>
      </c>
      <c r="D2307" s="1" t="s">
        <v>399</v>
      </c>
      <c r="E2307" t="b">
        <v>0</v>
      </c>
      <c r="F2307">
        <v>1</v>
      </c>
      <c r="G2307">
        <v>3</v>
      </c>
      <c r="H2307" t="s">
        <v>11</v>
      </c>
      <c r="I2307" t="b">
        <v>0</v>
      </c>
      <c r="J2307" cm="1">
        <f t="array" ref="J2307">sentimentCalc(B2307)</f>
        <v>0</v>
      </c>
      <c r="K2307" t="str" cm="1">
        <f t="array" ref="K2307">sentimentCategory(J2307)</f>
        <v>Neutral</v>
      </c>
    </row>
    <row r="2308" spans="1:11" ht="34" x14ac:dyDescent="0.2">
      <c r="A2308" t="s">
        <v>5817</v>
      </c>
      <c r="B2308" s="1" t="s">
        <v>5818</v>
      </c>
      <c r="C2308" t="s">
        <v>5819</v>
      </c>
      <c r="D2308" s="1" t="s">
        <v>2</v>
      </c>
      <c r="E2308" t="b">
        <v>0</v>
      </c>
      <c r="F2308">
        <v>563</v>
      </c>
      <c r="G2308">
        <v>1699</v>
      </c>
      <c r="H2308" t="s">
        <v>4413</v>
      </c>
      <c r="I2308" t="b">
        <v>0</v>
      </c>
      <c r="J2308" cm="1">
        <f t="array" ref="J2308">sentimentCalc(B2308)</f>
        <v>1</v>
      </c>
      <c r="K2308" t="str" cm="1">
        <f t="array" ref="K2308">sentimentCategory(J2308)</f>
        <v>Positive</v>
      </c>
    </row>
    <row r="2309" spans="1:11" ht="17" x14ac:dyDescent="0.2">
      <c r="A2309" t="s">
        <v>84</v>
      </c>
      <c r="B2309" s="1" t="s">
        <v>85</v>
      </c>
      <c r="C2309" t="s">
        <v>86</v>
      </c>
      <c r="D2309" s="1" t="s">
        <v>87</v>
      </c>
      <c r="E2309" t="b">
        <v>0</v>
      </c>
      <c r="F2309">
        <v>1196</v>
      </c>
      <c r="G2309">
        <v>403</v>
      </c>
      <c r="H2309" t="s">
        <v>11</v>
      </c>
      <c r="I2309" t="b">
        <v>0</v>
      </c>
      <c r="J2309" cm="1">
        <f t="array" ref="J2309">sentimentCalc(B2309)</f>
        <v>0</v>
      </c>
      <c r="K2309" t="str" cm="1">
        <f t="array" ref="K2309">sentimentCategory(J2309)</f>
        <v>Neutral</v>
      </c>
    </row>
    <row r="2310" spans="1:11" ht="17" x14ac:dyDescent="0.2">
      <c r="A2310" t="s">
        <v>4111</v>
      </c>
      <c r="B2310" s="1" t="s">
        <v>4112</v>
      </c>
      <c r="C2310" t="s">
        <v>1477</v>
      </c>
      <c r="D2310" s="1" t="s">
        <v>4096</v>
      </c>
      <c r="E2310" t="b">
        <v>0</v>
      </c>
      <c r="F2310">
        <v>13777</v>
      </c>
      <c r="G2310">
        <v>1750</v>
      </c>
      <c r="H2310" t="s">
        <v>11</v>
      </c>
      <c r="I2310" t="b">
        <v>0</v>
      </c>
      <c r="J2310" cm="1">
        <f t="array" ref="J2310">sentimentCalc(B2310)</f>
        <v>0</v>
      </c>
      <c r="K2310" t="str" cm="1">
        <f t="array" ref="K2310">sentimentCategory(J2310)</f>
        <v>Neutral</v>
      </c>
    </row>
    <row r="2311" spans="1:11" ht="17" x14ac:dyDescent="0.2">
      <c r="A2311" t="s">
        <v>3811</v>
      </c>
      <c r="B2311" s="1" t="s">
        <v>3812</v>
      </c>
      <c r="C2311" t="s">
        <v>3813</v>
      </c>
      <c r="D2311" s="1" t="s">
        <v>3814</v>
      </c>
      <c r="E2311" t="b">
        <v>0</v>
      </c>
      <c r="F2311">
        <v>1629</v>
      </c>
      <c r="G2311">
        <v>2295</v>
      </c>
      <c r="H2311" t="s">
        <v>11</v>
      </c>
      <c r="I2311" t="b">
        <v>0</v>
      </c>
      <c r="J2311" cm="1">
        <f t="array" ref="J2311">sentimentCalc(B2311)</f>
        <v>1</v>
      </c>
      <c r="K2311" t="str" cm="1">
        <f t="array" ref="K2311">sentimentCategory(J2311)</f>
        <v>Positive</v>
      </c>
    </row>
    <row r="2312" spans="1:11" ht="17" x14ac:dyDescent="0.2">
      <c r="A2312" t="s">
        <v>6026</v>
      </c>
      <c r="B2312" s="1" t="s">
        <v>6027</v>
      </c>
      <c r="C2312" t="s">
        <v>4359</v>
      </c>
      <c r="D2312" s="1" t="s">
        <v>2</v>
      </c>
      <c r="E2312" t="b">
        <v>0</v>
      </c>
      <c r="F2312">
        <v>8</v>
      </c>
      <c r="G2312">
        <v>38</v>
      </c>
      <c r="H2312" t="s">
        <v>11</v>
      </c>
      <c r="I2312" t="b">
        <v>0</v>
      </c>
      <c r="J2312" cm="1">
        <f t="array" ref="J2312">sentimentCalc(B2312)</f>
        <v>0</v>
      </c>
      <c r="K2312" t="str" cm="1">
        <f t="array" ref="K2312">sentimentCategory(J2312)</f>
        <v>Neutral</v>
      </c>
    </row>
    <row r="2313" spans="1:11" ht="34" x14ac:dyDescent="0.2">
      <c r="A2313" t="s">
        <v>6917</v>
      </c>
      <c r="B2313" s="1" t="s">
        <v>6918</v>
      </c>
      <c r="C2313" t="s">
        <v>2413</v>
      </c>
      <c r="D2313" s="1" t="s">
        <v>2</v>
      </c>
      <c r="E2313" t="b">
        <v>0</v>
      </c>
      <c r="F2313">
        <v>61</v>
      </c>
      <c r="G2313">
        <v>945</v>
      </c>
      <c r="H2313" t="s">
        <v>1565</v>
      </c>
      <c r="I2313" t="b">
        <v>0</v>
      </c>
      <c r="J2313" cm="1">
        <f t="array" ref="J2313">sentimentCalc(B2313)</f>
        <v>0</v>
      </c>
      <c r="K2313" t="str" cm="1">
        <f t="array" ref="K2313">sentimentCategory(J2313)</f>
        <v>Neutral</v>
      </c>
    </row>
    <row r="2314" spans="1:11" ht="17" x14ac:dyDescent="0.2">
      <c r="A2314" t="s">
        <v>5262</v>
      </c>
      <c r="B2314" s="1" t="s">
        <v>5263</v>
      </c>
      <c r="C2314" t="s">
        <v>3553</v>
      </c>
      <c r="D2314" s="1" t="s">
        <v>1435</v>
      </c>
      <c r="E2314" t="b">
        <v>0</v>
      </c>
      <c r="F2314">
        <v>9</v>
      </c>
      <c r="G2314">
        <v>18</v>
      </c>
      <c r="H2314" t="s">
        <v>11</v>
      </c>
      <c r="I2314" t="b">
        <v>0</v>
      </c>
      <c r="J2314" cm="1">
        <f t="array" ref="J2314">sentimentCalc(B2314)</f>
        <v>0</v>
      </c>
      <c r="K2314" t="str" cm="1">
        <f t="array" ref="K2314">sentimentCategory(J2314)</f>
        <v>Neutral</v>
      </c>
    </row>
    <row r="2315" spans="1:11" ht="17" x14ac:dyDescent="0.2">
      <c r="A2315" t="s">
        <v>6073</v>
      </c>
      <c r="B2315" s="1" t="s">
        <v>6074</v>
      </c>
      <c r="C2315" t="s">
        <v>920</v>
      </c>
      <c r="D2315" s="1" t="s">
        <v>6075</v>
      </c>
      <c r="E2315" t="b">
        <v>0</v>
      </c>
      <c r="F2315">
        <v>171</v>
      </c>
      <c r="G2315">
        <v>98</v>
      </c>
      <c r="H2315" t="s">
        <v>11</v>
      </c>
      <c r="I2315" t="b">
        <v>0</v>
      </c>
      <c r="J2315" cm="1">
        <f t="array" ref="J2315">sentimentCalc(B2315)</f>
        <v>0</v>
      </c>
      <c r="K2315" t="str" cm="1">
        <f t="array" ref="K2315">sentimentCategory(J2315)</f>
        <v>Neutral</v>
      </c>
    </row>
    <row r="2316" spans="1:11" ht="17" x14ac:dyDescent="0.2">
      <c r="A2316" t="s">
        <v>1537</v>
      </c>
      <c r="B2316" s="1" t="s">
        <v>1538</v>
      </c>
      <c r="C2316" t="s">
        <v>219</v>
      </c>
      <c r="D2316" s="1" t="s">
        <v>2</v>
      </c>
      <c r="E2316" t="b">
        <v>0</v>
      </c>
      <c r="F2316">
        <v>16</v>
      </c>
      <c r="G2316">
        <v>41</v>
      </c>
      <c r="H2316" t="s">
        <v>3</v>
      </c>
      <c r="I2316" t="b">
        <v>0</v>
      </c>
      <c r="J2316" cm="1">
        <f t="array" ref="J2316">sentimentCalc(B2316)</f>
        <v>1</v>
      </c>
      <c r="K2316" t="str" cm="1">
        <f t="array" ref="K2316">sentimentCategory(J2316)</f>
        <v>Positive</v>
      </c>
    </row>
    <row r="2317" spans="1:11" ht="34" x14ac:dyDescent="0.2">
      <c r="A2317" t="s">
        <v>6492</v>
      </c>
      <c r="B2317" s="1" t="s">
        <v>6493</v>
      </c>
      <c r="C2317" t="s">
        <v>3908</v>
      </c>
      <c r="D2317" s="1" t="s">
        <v>6494</v>
      </c>
      <c r="E2317" t="b">
        <v>0</v>
      </c>
      <c r="F2317">
        <v>140</v>
      </c>
      <c r="G2317">
        <v>438</v>
      </c>
      <c r="H2317" t="s">
        <v>11</v>
      </c>
      <c r="I2317" t="b">
        <v>0</v>
      </c>
      <c r="J2317" cm="1">
        <f t="array" ref="J2317">sentimentCalc(B2317)</f>
        <v>0</v>
      </c>
      <c r="K2317" t="str" cm="1">
        <f t="array" ref="K2317">sentimentCategory(J2317)</f>
        <v>Neutral</v>
      </c>
    </row>
    <row r="2318" spans="1:11" ht="17" x14ac:dyDescent="0.2">
      <c r="A2318" t="s">
        <v>2053</v>
      </c>
      <c r="B2318" s="1" t="s">
        <v>2054</v>
      </c>
      <c r="C2318" t="s">
        <v>787</v>
      </c>
      <c r="D2318" s="1" t="s">
        <v>95</v>
      </c>
      <c r="E2318" t="b">
        <v>0</v>
      </c>
      <c r="F2318">
        <v>289</v>
      </c>
      <c r="G2318">
        <v>881</v>
      </c>
      <c r="H2318" t="s">
        <v>11</v>
      </c>
      <c r="I2318" t="b">
        <v>0</v>
      </c>
      <c r="J2318" cm="1">
        <f t="array" ref="J2318">sentimentCalc(B2318)</f>
        <v>0</v>
      </c>
      <c r="K2318" t="str" cm="1">
        <f t="array" ref="K2318">sentimentCategory(J2318)</f>
        <v>Neutral</v>
      </c>
    </row>
    <row r="2319" spans="1:11" ht="17" x14ac:dyDescent="0.2">
      <c r="A2319" t="s">
        <v>4582</v>
      </c>
      <c r="B2319" s="1" t="s">
        <v>4583</v>
      </c>
      <c r="C2319" t="s">
        <v>476</v>
      </c>
      <c r="D2319" s="1" t="s">
        <v>414</v>
      </c>
      <c r="E2319" t="b">
        <v>0</v>
      </c>
      <c r="F2319">
        <v>2</v>
      </c>
      <c r="G2319">
        <v>29</v>
      </c>
      <c r="H2319" t="s">
        <v>11</v>
      </c>
      <c r="I2319" t="b">
        <v>0</v>
      </c>
      <c r="J2319" cm="1">
        <f t="array" ref="J2319">sentimentCalc(B2319)</f>
        <v>0</v>
      </c>
      <c r="K2319" t="str" cm="1">
        <f t="array" ref="K2319">sentimentCategory(J2319)</f>
        <v>Neutral</v>
      </c>
    </row>
    <row r="2320" spans="1:11" ht="34" x14ac:dyDescent="0.2">
      <c r="A2320" t="s">
        <v>6668</v>
      </c>
      <c r="B2320" s="1" t="s">
        <v>6669</v>
      </c>
      <c r="C2320" t="s">
        <v>2024</v>
      </c>
      <c r="D2320" s="1" t="s">
        <v>2</v>
      </c>
      <c r="E2320" t="b">
        <v>0</v>
      </c>
      <c r="F2320">
        <v>3305</v>
      </c>
      <c r="G2320">
        <v>197</v>
      </c>
      <c r="H2320" t="s">
        <v>11</v>
      </c>
      <c r="I2320" t="b">
        <v>0</v>
      </c>
      <c r="J2320" cm="1">
        <f t="array" ref="J2320">sentimentCalc(B2320)</f>
        <v>0</v>
      </c>
      <c r="K2320" t="str" cm="1">
        <f t="array" ref="K2320">sentimentCategory(J2320)</f>
        <v>Neutral</v>
      </c>
    </row>
    <row r="2321" spans="1:11" ht="17" x14ac:dyDescent="0.2">
      <c r="A2321" t="s">
        <v>3045</v>
      </c>
      <c r="B2321" s="1" t="s">
        <v>3046</v>
      </c>
      <c r="C2321" t="s">
        <v>3047</v>
      </c>
      <c r="D2321" s="1" t="s">
        <v>3048</v>
      </c>
      <c r="E2321" t="b">
        <v>0</v>
      </c>
      <c r="F2321">
        <v>3137</v>
      </c>
      <c r="G2321">
        <v>566</v>
      </c>
      <c r="H2321" t="s">
        <v>11</v>
      </c>
      <c r="I2321" t="b">
        <v>0</v>
      </c>
      <c r="J2321" cm="1">
        <f t="array" ref="J2321">sentimentCalc(B2321)</f>
        <v>0</v>
      </c>
      <c r="K2321" t="str" cm="1">
        <f t="array" ref="K2321">sentimentCategory(J2321)</f>
        <v>Neutral</v>
      </c>
    </row>
    <row r="2322" spans="1:11" ht="34" x14ac:dyDescent="0.2">
      <c r="A2322" t="s">
        <v>6589</v>
      </c>
      <c r="B2322" s="1" t="s">
        <v>6590</v>
      </c>
      <c r="C2322" t="s">
        <v>6591</v>
      </c>
      <c r="D2322" s="1" t="s">
        <v>2</v>
      </c>
      <c r="E2322" t="b">
        <v>0</v>
      </c>
      <c r="F2322">
        <v>63</v>
      </c>
      <c r="G2322">
        <v>1</v>
      </c>
      <c r="H2322" t="s">
        <v>11</v>
      </c>
      <c r="I2322" t="b">
        <v>0</v>
      </c>
      <c r="J2322" cm="1">
        <f t="array" ref="J2322">sentimentCalc(B2322)</f>
        <v>0</v>
      </c>
      <c r="K2322" t="str" cm="1">
        <f t="array" ref="K2322">sentimentCategory(J2322)</f>
        <v>Neutral</v>
      </c>
    </row>
    <row r="2323" spans="1:11" ht="17" x14ac:dyDescent="0.2">
      <c r="A2323" t="s">
        <v>4771</v>
      </c>
      <c r="B2323" s="1" t="s">
        <v>4772</v>
      </c>
      <c r="C2323" t="s">
        <v>79</v>
      </c>
      <c r="D2323" s="1" t="s">
        <v>4773</v>
      </c>
      <c r="E2323" t="b">
        <v>1</v>
      </c>
      <c r="F2323">
        <v>33554</v>
      </c>
      <c r="G2323">
        <v>84</v>
      </c>
      <c r="H2323" t="s">
        <v>11</v>
      </c>
      <c r="I2323" t="b">
        <v>0</v>
      </c>
      <c r="J2323" cm="1">
        <f t="array" ref="J2323">sentimentCalc(B2323)</f>
        <v>0</v>
      </c>
      <c r="K2323" t="str" cm="1">
        <f t="array" ref="K2323">sentimentCategory(J2323)</f>
        <v>Neutral</v>
      </c>
    </row>
    <row r="2324" spans="1:11" ht="17" x14ac:dyDescent="0.2">
      <c r="A2324" t="s">
        <v>4538</v>
      </c>
      <c r="B2324" s="1" t="s">
        <v>4539</v>
      </c>
      <c r="C2324" t="s">
        <v>4540</v>
      </c>
      <c r="D2324" s="1" t="s">
        <v>4541</v>
      </c>
      <c r="E2324" t="b">
        <v>0</v>
      </c>
      <c r="F2324">
        <v>6545</v>
      </c>
      <c r="G2324">
        <v>482</v>
      </c>
      <c r="H2324" t="s">
        <v>11</v>
      </c>
      <c r="I2324" t="b">
        <v>0</v>
      </c>
      <c r="J2324" cm="1">
        <f t="array" ref="J2324">sentimentCalc(B2324)</f>
        <v>-1</v>
      </c>
      <c r="K2324" t="str" cm="1">
        <f t="array" ref="K2324">sentimentCategory(J2324)</f>
        <v>Negative</v>
      </c>
    </row>
    <row r="2325" spans="1:11" ht="34" x14ac:dyDescent="0.2">
      <c r="A2325" t="s">
        <v>3358</v>
      </c>
      <c r="B2325" s="1" t="s">
        <v>3359</v>
      </c>
      <c r="C2325" t="s">
        <v>2471</v>
      </c>
      <c r="D2325" s="1" t="s">
        <v>3360</v>
      </c>
      <c r="E2325" t="b">
        <v>0</v>
      </c>
      <c r="F2325">
        <v>263</v>
      </c>
      <c r="G2325">
        <v>192</v>
      </c>
      <c r="H2325" t="s">
        <v>11</v>
      </c>
      <c r="I2325" t="b">
        <v>0</v>
      </c>
      <c r="J2325" cm="1">
        <f t="array" ref="J2325">sentimentCalc(B2325)</f>
        <v>0</v>
      </c>
      <c r="K2325" t="str" cm="1">
        <f t="array" ref="K2325">sentimentCategory(J2325)</f>
        <v>Neutral</v>
      </c>
    </row>
    <row r="2326" spans="1:11" ht="17" x14ac:dyDescent="0.2">
      <c r="A2326" t="s">
        <v>4957</v>
      </c>
      <c r="B2326" s="1" t="s">
        <v>4958</v>
      </c>
      <c r="C2326" t="s">
        <v>79</v>
      </c>
      <c r="D2326" s="1" t="s">
        <v>2</v>
      </c>
      <c r="E2326" t="b">
        <v>0</v>
      </c>
      <c r="F2326">
        <v>10</v>
      </c>
      <c r="G2326">
        <v>155</v>
      </c>
      <c r="H2326" t="s">
        <v>11</v>
      </c>
      <c r="I2326" t="b">
        <v>0</v>
      </c>
      <c r="J2326" cm="1">
        <f t="array" ref="J2326">sentimentCalc(B2326)</f>
        <v>-1</v>
      </c>
      <c r="K2326" t="str" cm="1">
        <f t="array" ref="K2326">sentimentCategory(J2326)</f>
        <v>Negative</v>
      </c>
    </row>
    <row r="2327" spans="1:11" ht="17" x14ac:dyDescent="0.2">
      <c r="A2327" t="s">
        <v>1106</v>
      </c>
      <c r="B2327" s="1" t="s">
        <v>1107</v>
      </c>
      <c r="C2327" t="s">
        <v>406</v>
      </c>
      <c r="D2327" s="1" t="s">
        <v>562</v>
      </c>
      <c r="E2327" t="b">
        <v>0</v>
      </c>
      <c r="F2327">
        <v>1308</v>
      </c>
      <c r="G2327">
        <v>1994</v>
      </c>
      <c r="H2327" t="s">
        <v>11</v>
      </c>
      <c r="I2327" t="b">
        <v>0</v>
      </c>
      <c r="J2327" cm="1">
        <f t="array" ref="J2327">sentimentCalc(B2327)</f>
        <v>0</v>
      </c>
      <c r="K2327" t="str" cm="1">
        <f t="array" ref="K2327">sentimentCategory(J2327)</f>
        <v>Neutral</v>
      </c>
    </row>
    <row r="2328" spans="1:11" ht="17" x14ac:dyDescent="0.2">
      <c r="A2328" t="s">
        <v>2419</v>
      </c>
      <c r="B2328" s="1" t="s">
        <v>2420</v>
      </c>
      <c r="C2328" t="s">
        <v>2421</v>
      </c>
      <c r="D2328" s="1" t="s">
        <v>2422</v>
      </c>
      <c r="E2328" t="b">
        <v>0</v>
      </c>
      <c r="F2328">
        <v>109</v>
      </c>
      <c r="G2328">
        <v>372</v>
      </c>
      <c r="H2328" t="s">
        <v>11</v>
      </c>
      <c r="I2328" t="b">
        <v>0</v>
      </c>
      <c r="J2328" cm="1">
        <f t="array" ref="J2328">sentimentCalc(B2328)</f>
        <v>0</v>
      </c>
      <c r="K2328" t="str" cm="1">
        <f t="array" ref="K2328">sentimentCategory(J2328)</f>
        <v>Neutral</v>
      </c>
    </row>
    <row r="2329" spans="1:11" ht="17" x14ac:dyDescent="0.2">
      <c r="A2329" t="s">
        <v>3571</v>
      </c>
      <c r="B2329" s="1" t="s">
        <v>3572</v>
      </c>
      <c r="C2329" t="s">
        <v>1287</v>
      </c>
      <c r="D2329" s="1" t="s">
        <v>61</v>
      </c>
      <c r="E2329" t="b">
        <v>0</v>
      </c>
      <c r="F2329">
        <v>208</v>
      </c>
      <c r="G2329">
        <v>80</v>
      </c>
      <c r="H2329" t="s">
        <v>11</v>
      </c>
      <c r="I2329" t="b">
        <v>0</v>
      </c>
      <c r="J2329" cm="1">
        <f t="array" ref="J2329">sentimentCalc(B2329)</f>
        <v>0</v>
      </c>
      <c r="K2329" t="str" cm="1">
        <f t="array" ref="K2329">sentimentCategory(J2329)</f>
        <v>Neutral</v>
      </c>
    </row>
    <row r="2330" spans="1:11" ht="17" x14ac:dyDescent="0.2">
      <c r="A2330" t="s">
        <v>1689</v>
      </c>
      <c r="B2330" s="1" t="s">
        <v>1690</v>
      </c>
      <c r="C2330" t="s">
        <v>1287</v>
      </c>
      <c r="D2330" s="1" t="s">
        <v>2</v>
      </c>
      <c r="E2330" t="b">
        <v>0</v>
      </c>
      <c r="F2330">
        <v>1184</v>
      </c>
      <c r="G2330">
        <v>1977</v>
      </c>
      <c r="H2330" t="s">
        <v>11</v>
      </c>
      <c r="I2330" t="b">
        <v>0</v>
      </c>
      <c r="J2330" cm="1">
        <f t="array" ref="J2330">sentimentCalc(B2330)</f>
        <v>0</v>
      </c>
      <c r="K2330" t="str" cm="1">
        <f t="array" ref="K2330">sentimentCategory(J2330)</f>
        <v>Neutral</v>
      </c>
    </row>
    <row r="2331" spans="1:11" ht="17" x14ac:dyDescent="0.2">
      <c r="A2331" t="s">
        <v>4606</v>
      </c>
      <c r="B2331" s="1" t="s">
        <v>4607</v>
      </c>
      <c r="C2331" t="s">
        <v>90</v>
      </c>
      <c r="D2331" s="1" t="s">
        <v>2</v>
      </c>
      <c r="E2331" t="b">
        <v>0</v>
      </c>
      <c r="F2331">
        <v>29</v>
      </c>
      <c r="G2331">
        <v>258</v>
      </c>
      <c r="H2331" t="s">
        <v>11</v>
      </c>
      <c r="I2331" t="b">
        <v>0</v>
      </c>
      <c r="J2331" cm="1">
        <f t="array" ref="J2331">sentimentCalc(B2331)</f>
        <v>1</v>
      </c>
      <c r="K2331" t="str" cm="1">
        <f t="array" ref="K2331">sentimentCategory(J2331)</f>
        <v>Positive</v>
      </c>
    </row>
    <row r="2332" spans="1:11" ht="17" x14ac:dyDescent="0.2">
      <c r="A2332" t="s">
        <v>4352</v>
      </c>
      <c r="B2332" s="1" t="s">
        <v>4353</v>
      </c>
      <c r="C2332" t="s">
        <v>617</v>
      </c>
      <c r="D2332" s="1" t="s">
        <v>701</v>
      </c>
      <c r="E2332" t="b">
        <v>0</v>
      </c>
      <c r="F2332">
        <v>25</v>
      </c>
      <c r="G2332">
        <v>175</v>
      </c>
      <c r="H2332" t="s">
        <v>11</v>
      </c>
      <c r="I2332" t="b">
        <v>0</v>
      </c>
      <c r="J2332" cm="1">
        <f t="array" ref="J2332">sentimentCalc(B2332)</f>
        <v>-1</v>
      </c>
      <c r="K2332" t="str" cm="1">
        <f t="array" ref="K2332">sentimentCategory(J2332)</f>
        <v>Negative</v>
      </c>
    </row>
    <row r="2333" spans="1:11" ht="17" x14ac:dyDescent="0.2">
      <c r="A2333" t="s">
        <v>1210</v>
      </c>
      <c r="B2333" s="1" t="s">
        <v>1211</v>
      </c>
      <c r="C2333" t="s">
        <v>490</v>
      </c>
      <c r="D2333" s="1" t="s">
        <v>1212</v>
      </c>
      <c r="E2333" t="b">
        <v>0</v>
      </c>
      <c r="F2333">
        <v>204</v>
      </c>
      <c r="G2333">
        <v>327</v>
      </c>
      <c r="H2333" t="s">
        <v>11</v>
      </c>
      <c r="I2333" t="b">
        <v>0</v>
      </c>
      <c r="J2333" cm="1">
        <f t="array" ref="J2333">sentimentCalc(B2333)</f>
        <v>0</v>
      </c>
      <c r="K2333" t="str" cm="1">
        <f t="array" ref="K2333">sentimentCategory(J2333)</f>
        <v>Neutral</v>
      </c>
    </row>
    <row r="2334" spans="1:11" ht="34" x14ac:dyDescent="0.2">
      <c r="A2334" t="s">
        <v>1470</v>
      </c>
      <c r="B2334" s="1" t="s">
        <v>1471</v>
      </c>
      <c r="C2334" t="s">
        <v>1112</v>
      </c>
      <c r="D2334" s="1" t="s">
        <v>1113</v>
      </c>
      <c r="E2334" t="b">
        <v>0</v>
      </c>
      <c r="F2334">
        <v>3495</v>
      </c>
      <c r="G2334">
        <v>1203</v>
      </c>
      <c r="H2334" t="s">
        <v>11</v>
      </c>
      <c r="I2334" t="b">
        <v>0</v>
      </c>
      <c r="J2334" cm="1">
        <f t="array" ref="J2334">sentimentCalc(B2334)</f>
        <v>0</v>
      </c>
      <c r="K2334" t="str" cm="1">
        <f t="array" ref="K2334">sentimentCategory(J2334)</f>
        <v>Neutral</v>
      </c>
    </row>
    <row r="2335" spans="1:11" ht="17" x14ac:dyDescent="0.2">
      <c r="A2335" t="s">
        <v>5977</v>
      </c>
      <c r="B2335" s="1" t="s">
        <v>5978</v>
      </c>
      <c r="C2335" t="s">
        <v>5979</v>
      </c>
      <c r="D2335" s="1" t="s">
        <v>5980</v>
      </c>
      <c r="E2335" t="b">
        <v>0</v>
      </c>
      <c r="F2335">
        <v>412</v>
      </c>
      <c r="G2335">
        <v>438</v>
      </c>
      <c r="H2335" t="s">
        <v>11</v>
      </c>
      <c r="I2335" t="b">
        <v>0</v>
      </c>
      <c r="J2335" cm="1">
        <f t="array" ref="J2335">sentimentCalc(B2335)</f>
        <v>0</v>
      </c>
      <c r="K2335" t="str" cm="1">
        <f t="array" ref="K2335">sentimentCategory(J2335)</f>
        <v>Neutral</v>
      </c>
    </row>
    <row r="2336" spans="1:11" ht="34" x14ac:dyDescent="0.2">
      <c r="A2336" t="s">
        <v>4441</v>
      </c>
      <c r="B2336" s="1" t="s">
        <v>4442</v>
      </c>
      <c r="C2336" t="s">
        <v>3261</v>
      </c>
      <c r="D2336" s="1" t="s">
        <v>2</v>
      </c>
      <c r="E2336" t="b">
        <v>0</v>
      </c>
      <c r="F2336">
        <v>216</v>
      </c>
      <c r="G2336">
        <v>125</v>
      </c>
      <c r="H2336" t="s">
        <v>11</v>
      </c>
      <c r="I2336" t="b">
        <v>0</v>
      </c>
      <c r="J2336" cm="1">
        <f t="array" ref="J2336">sentimentCalc(B2336)</f>
        <v>1</v>
      </c>
      <c r="K2336" t="str" cm="1">
        <f t="array" ref="K2336">sentimentCategory(J2336)</f>
        <v>Positive</v>
      </c>
    </row>
    <row r="2337" spans="1:11" ht="34" x14ac:dyDescent="0.2">
      <c r="A2337" t="s">
        <v>4542</v>
      </c>
      <c r="B2337" s="1" t="s">
        <v>4543</v>
      </c>
      <c r="C2337" t="s">
        <v>425</v>
      </c>
      <c r="D2337" s="1" t="s">
        <v>4544</v>
      </c>
      <c r="E2337" t="b">
        <v>0</v>
      </c>
      <c r="F2337">
        <v>51</v>
      </c>
      <c r="G2337">
        <v>114</v>
      </c>
      <c r="H2337" t="s">
        <v>11</v>
      </c>
      <c r="I2337" t="b">
        <v>0</v>
      </c>
      <c r="J2337" cm="1">
        <f t="array" ref="J2337">sentimentCalc(B2337)</f>
        <v>2</v>
      </c>
      <c r="K2337" t="str" cm="1">
        <f t="array" ref="K2337">sentimentCategory(J2337)</f>
        <v>Positive</v>
      </c>
    </row>
    <row r="2338" spans="1:11" ht="34" x14ac:dyDescent="0.2">
      <c r="A2338" t="s">
        <v>175</v>
      </c>
      <c r="B2338" s="1" t="s">
        <v>176</v>
      </c>
      <c r="C2338" t="s">
        <v>177</v>
      </c>
      <c r="D2338" s="1" t="s">
        <v>178</v>
      </c>
      <c r="E2338" t="b">
        <v>0</v>
      </c>
      <c r="F2338">
        <v>885</v>
      </c>
      <c r="G2338">
        <v>406</v>
      </c>
      <c r="H2338" t="s">
        <v>11</v>
      </c>
      <c r="I2338" t="b">
        <v>0</v>
      </c>
      <c r="J2338" cm="1">
        <f t="array" ref="J2338">sentimentCalc(B2338)</f>
        <v>0</v>
      </c>
      <c r="K2338" t="str" cm="1">
        <f t="array" ref="K2338">sentimentCategory(J2338)</f>
        <v>Neutral</v>
      </c>
    </row>
    <row r="2339" spans="1:11" ht="17" x14ac:dyDescent="0.2">
      <c r="A2339" t="s">
        <v>6912</v>
      </c>
      <c r="B2339" s="1" t="s">
        <v>6913</v>
      </c>
      <c r="C2339" t="s">
        <v>6697</v>
      </c>
      <c r="D2339" s="1" t="s">
        <v>534</v>
      </c>
      <c r="E2339" t="b">
        <v>0</v>
      </c>
      <c r="F2339">
        <v>86</v>
      </c>
      <c r="G2339">
        <v>93</v>
      </c>
      <c r="H2339" t="s">
        <v>11</v>
      </c>
      <c r="I2339" t="b">
        <v>0</v>
      </c>
      <c r="J2339" cm="1">
        <f t="array" ref="J2339">sentimentCalc(B2339)</f>
        <v>0</v>
      </c>
      <c r="K2339" t="str" cm="1">
        <f t="array" ref="K2339">sentimentCategory(J2339)</f>
        <v>Neutral</v>
      </c>
    </row>
    <row r="2340" spans="1:11" ht="34" x14ac:dyDescent="0.2">
      <c r="A2340" t="s">
        <v>6098</v>
      </c>
      <c r="B2340" s="1" t="s">
        <v>6099</v>
      </c>
      <c r="C2340" t="s">
        <v>2896</v>
      </c>
      <c r="D2340" s="1" t="s">
        <v>821</v>
      </c>
      <c r="E2340" t="b">
        <v>0</v>
      </c>
      <c r="F2340">
        <v>137</v>
      </c>
      <c r="G2340">
        <v>779</v>
      </c>
      <c r="H2340" t="s">
        <v>110</v>
      </c>
      <c r="I2340" t="b">
        <v>0</v>
      </c>
      <c r="J2340" cm="1">
        <f t="array" ref="J2340">sentimentCalc(B2340)</f>
        <v>1</v>
      </c>
      <c r="K2340" t="str" cm="1">
        <f t="array" ref="K2340">sentimentCategory(J2340)</f>
        <v>Positive</v>
      </c>
    </row>
    <row r="2341" spans="1:11" ht="17" x14ac:dyDescent="0.2">
      <c r="A2341" t="s">
        <v>2663</v>
      </c>
      <c r="B2341" s="1" t="s">
        <v>2664</v>
      </c>
      <c r="C2341" t="s">
        <v>1579</v>
      </c>
      <c r="D2341" s="1" t="s">
        <v>2</v>
      </c>
      <c r="E2341" t="b">
        <v>0</v>
      </c>
      <c r="F2341">
        <v>17</v>
      </c>
      <c r="G2341">
        <v>0</v>
      </c>
      <c r="H2341" t="s">
        <v>11</v>
      </c>
      <c r="I2341" t="b">
        <v>0</v>
      </c>
      <c r="J2341" cm="1">
        <f t="array" ref="J2341">sentimentCalc(B2341)</f>
        <v>1</v>
      </c>
      <c r="K2341" t="str" cm="1">
        <f t="array" ref="K2341">sentimentCategory(J2341)</f>
        <v>Positive</v>
      </c>
    </row>
    <row r="2342" spans="1:11" ht="17" x14ac:dyDescent="0.2">
      <c r="A2342" t="s">
        <v>7212</v>
      </c>
      <c r="B2342" s="1" t="s">
        <v>7213</v>
      </c>
      <c r="C2342" t="s">
        <v>7214</v>
      </c>
      <c r="D2342" s="1" t="s">
        <v>7215</v>
      </c>
      <c r="E2342" t="b">
        <v>0</v>
      </c>
      <c r="F2342">
        <v>238</v>
      </c>
      <c r="G2342">
        <v>168</v>
      </c>
      <c r="H2342" t="s">
        <v>11</v>
      </c>
      <c r="I2342" t="b">
        <v>0</v>
      </c>
      <c r="J2342" cm="1">
        <f t="array" ref="J2342">sentimentCalc(B2342)</f>
        <v>1</v>
      </c>
      <c r="K2342" t="str" cm="1">
        <f t="array" ref="K2342">sentimentCategory(J2342)</f>
        <v>Positive</v>
      </c>
    </row>
    <row r="2343" spans="1:11" ht="17" x14ac:dyDescent="0.2">
      <c r="A2343" t="s">
        <v>5465</v>
      </c>
      <c r="B2343" s="1" t="s">
        <v>5466</v>
      </c>
      <c r="C2343" t="s">
        <v>4689</v>
      </c>
      <c r="D2343" s="1" t="s">
        <v>2</v>
      </c>
      <c r="E2343" t="b">
        <v>0</v>
      </c>
      <c r="F2343">
        <v>641</v>
      </c>
      <c r="G2343">
        <v>0</v>
      </c>
      <c r="H2343" t="s">
        <v>11</v>
      </c>
      <c r="I2343" t="b">
        <v>0</v>
      </c>
      <c r="J2343" cm="1">
        <f t="array" ref="J2343">sentimentCalc(B2343)</f>
        <v>1</v>
      </c>
      <c r="K2343" t="str" cm="1">
        <f t="array" ref="K2343">sentimentCategory(J2343)</f>
        <v>Positive</v>
      </c>
    </row>
    <row r="2344" spans="1:11" ht="17" x14ac:dyDescent="0.2">
      <c r="A2344" t="s">
        <v>4723</v>
      </c>
      <c r="B2344" s="1" t="s">
        <v>4724</v>
      </c>
      <c r="C2344" t="s">
        <v>2039</v>
      </c>
      <c r="D2344" s="1" t="s">
        <v>2688</v>
      </c>
      <c r="E2344" t="b">
        <v>0</v>
      </c>
      <c r="F2344">
        <v>3187</v>
      </c>
      <c r="G2344">
        <v>686</v>
      </c>
      <c r="H2344" t="s">
        <v>11</v>
      </c>
      <c r="I2344" t="b">
        <v>0</v>
      </c>
      <c r="J2344" cm="1">
        <f t="array" ref="J2344">sentimentCalc(B2344)</f>
        <v>0</v>
      </c>
      <c r="K2344" t="str" cm="1">
        <f t="array" ref="K2344">sentimentCategory(J2344)</f>
        <v>Neutral</v>
      </c>
    </row>
    <row r="2345" spans="1:11" ht="17" x14ac:dyDescent="0.2">
      <c r="A2345" t="s">
        <v>2126</v>
      </c>
      <c r="B2345" s="1" t="s">
        <v>2127</v>
      </c>
      <c r="C2345" t="s">
        <v>2128</v>
      </c>
      <c r="D2345" s="1" t="s">
        <v>1238</v>
      </c>
      <c r="E2345" t="b">
        <v>0</v>
      </c>
      <c r="F2345">
        <v>7</v>
      </c>
      <c r="G2345">
        <v>27</v>
      </c>
      <c r="H2345" t="s">
        <v>11</v>
      </c>
      <c r="I2345" t="b">
        <v>0</v>
      </c>
      <c r="J2345" cm="1">
        <f t="array" ref="J2345">sentimentCalc(B2345)</f>
        <v>0</v>
      </c>
      <c r="K2345" t="str" cm="1">
        <f t="array" ref="K2345">sentimentCategory(J2345)</f>
        <v>Neutral</v>
      </c>
    </row>
    <row r="2346" spans="1:11" ht="17" x14ac:dyDescent="0.2">
      <c r="A2346" t="s">
        <v>4362</v>
      </c>
      <c r="B2346" s="1" t="s">
        <v>4363</v>
      </c>
      <c r="C2346" t="s">
        <v>2628</v>
      </c>
      <c r="E2346" t="b">
        <v>0</v>
      </c>
      <c r="F2346">
        <v>84</v>
      </c>
      <c r="G2346">
        <v>57</v>
      </c>
      <c r="H2346" t="s">
        <v>11</v>
      </c>
      <c r="I2346" t="b">
        <v>0</v>
      </c>
      <c r="J2346" cm="1">
        <f t="array" ref="J2346">sentimentCalc(B2346)</f>
        <v>0</v>
      </c>
      <c r="K2346" t="str" cm="1">
        <f t="array" ref="K2346">sentimentCategory(J2346)</f>
        <v>Neutral</v>
      </c>
    </row>
    <row r="2347" spans="1:11" ht="17" x14ac:dyDescent="0.2">
      <c r="A2347" t="s">
        <v>4759</v>
      </c>
      <c r="B2347" s="1" t="s">
        <v>4760</v>
      </c>
      <c r="C2347" t="s">
        <v>1005</v>
      </c>
      <c r="D2347" s="1" t="s">
        <v>4761</v>
      </c>
      <c r="E2347" t="b">
        <v>0</v>
      </c>
      <c r="F2347">
        <v>2142</v>
      </c>
      <c r="G2347">
        <v>2517</v>
      </c>
      <c r="H2347" t="s">
        <v>11</v>
      </c>
      <c r="I2347" t="b">
        <v>0</v>
      </c>
      <c r="J2347" cm="1">
        <f t="array" ref="J2347">sentimentCalc(B2347)</f>
        <v>0</v>
      </c>
      <c r="K2347" t="str" cm="1">
        <f t="array" ref="K2347">sentimentCategory(J2347)</f>
        <v>Neutral</v>
      </c>
    </row>
    <row r="2348" spans="1:11" ht="17" x14ac:dyDescent="0.2">
      <c r="A2348" t="s">
        <v>5115</v>
      </c>
      <c r="B2348" s="1" t="s">
        <v>5116</v>
      </c>
      <c r="C2348" t="s">
        <v>5117</v>
      </c>
      <c r="D2348" s="1" t="s">
        <v>5118</v>
      </c>
      <c r="E2348" t="b">
        <v>0</v>
      </c>
      <c r="F2348">
        <v>1638</v>
      </c>
      <c r="G2348">
        <v>1207</v>
      </c>
      <c r="H2348" t="s">
        <v>11</v>
      </c>
      <c r="I2348" t="b">
        <v>0</v>
      </c>
      <c r="J2348" cm="1">
        <f t="array" ref="J2348">sentimentCalc(B2348)</f>
        <v>0</v>
      </c>
      <c r="K2348" t="str" cm="1">
        <f t="array" ref="K2348">sentimentCategory(J2348)</f>
        <v>Neutral</v>
      </c>
    </row>
    <row r="2349" spans="1:11" ht="34" x14ac:dyDescent="0.2">
      <c r="A2349" t="s">
        <v>6518</v>
      </c>
      <c r="B2349" s="1" t="s">
        <v>6519</v>
      </c>
      <c r="C2349" t="s">
        <v>6520</v>
      </c>
      <c r="D2349" s="1" t="s">
        <v>1813</v>
      </c>
      <c r="E2349" t="b">
        <v>0</v>
      </c>
      <c r="F2349">
        <v>104</v>
      </c>
      <c r="G2349">
        <v>493</v>
      </c>
      <c r="H2349" t="s">
        <v>11</v>
      </c>
      <c r="I2349" t="b">
        <v>0</v>
      </c>
      <c r="J2349" cm="1">
        <f t="array" ref="J2349">sentimentCalc(B2349)</f>
        <v>0</v>
      </c>
      <c r="K2349" t="str" cm="1">
        <f t="array" ref="K2349">sentimentCategory(J2349)</f>
        <v>Neutral</v>
      </c>
    </row>
    <row r="2350" spans="1:11" ht="34" x14ac:dyDescent="0.2">
      <c r="A2350" t="s">
        <v>3089</v>
      </c>
      <c r="B2350" s="1" t="s">
        <v>3090</v>
      </c>
      <c r="C2350" t="s">
        <v>1598</v>
      </c>
      <c r="D2350" s="1" t="s">
        <v>1960</v>
      </c>
      <c r="E2350" t="b">
        <v>0</v>
      </c>
      <c r="F2350">
        <v>7051</v>
      </c>
      <c r="G2350">
        <v>4719</v>
      </c>
      <c r="H2350" t="s">
        <v>11</v>
      </c>
      <c r="I2350" t="b">
        <v>0</v>
      </c>
      <c r="J2350" cm="1">
        <f t="array" ref="J2350">sentimentCalc(B2350)</f>
        <v>1</v>
      </c>
      <c r="K2350" t="str" cm="1">
        <f t="array" ref="K2350">sentimentCategory(J2350)</f>
        <v>Positive</v>
      </c>
    </row>
    <row r="2351" spans="1:11" ht="17" x14ac:dyDescent="0.2">
      <c r="A2351" t="s">
        <v>3095</v>
      </c>
      <c r="B2351" s="1" t="s">
        <v>3096</v>
      </c>
      <c r="C2351" t="s">
        <v>1245</v>
      </c>
      <c r="D2351" s="1" t="s">
        <v>3097</v>
      </c>
      <c r="E2351" t="b">
        <v>0</v>
      </c>
      <c r="F2351">
        <v>357</v>
      </c>
      <c r="G2351">
        <v>157</v>
      </c>
      <c r="H2351" t="s">
        <v>11</v>
      </c>
      <c r="I2351" t="b">
        <v>0</v>
      </c>
      <c r="J2351" cm="1">
        <f t="array" ref="J2351">sentimentCalc(B2351)</f>
        <v>1</v>
      </c>
      <c r="K2351" t="str" cm="1">
        <f t="array" ref="K2351">sentimentCategory(J2351)</f>
        <v>Positive</v>
      </c>
    </row>
    <row r="2352" spans="1:11" ht="17" x14ac:dyDescent="0.2">
      <c r="A2352" t="s">
        <v>939</v>
      </c>
      <c r="B2352" s="1" t="s">
        <v>940</v>
      </c>
      <c r="C2352" t="s">
        <v>941</v>
      </c>
      <c r="D2352" s="1" t="s">
        <v>2</v>
      </c>
      <c r="E2352" t="b">
        <v>0</v>
      </c>
      <c r="F2352">
        <v>0</v>
      </c>
      <c r="G2352">
        <v>19</v>
      </c>
      <c r="H2352" t="s">
        <v>11</v>
      </c>
      <c r="I2352" t="b">
        <v>0</v>
      </c>
      <c r="J2352" cm="1">
        <f t="array" ref="J2352">sentimentCalc(B2352)</f>
        <v>1</v>
      </c>
      <c r="K2352" t="str" cm="1">
        <f t="array" ref="K2352">sentimentCategory(J2352)</f>
        <v>Positive</v>
      </c>
    </row>
    <row r="2353" spans="1:11" ht="17" x14ac:dyDescent="0.2">
      <c r="A2353" t="s">
        <v>242</v>
      </c>
      <c r="B2353" s="1" t="s">
        <v>243</v>
      </c>
      <c r="C2353" t="s">
        <v>244</v>
      </c>
      <c r="D2353" s="1" t="s">
        <v>2</v>
      </c>
      <c r="E2353" t="b">
        <v>0</v>
      </c>
      <c r="F2353">
        <v>155</v>
      </c>
      <c r="G2353">
        <v>401</v>
      </c>
      <c r="H2353" t="s">
        <v>11</v>
      </c>
      <c r="I2353" t="b">
        <v>0</v>
      </c>
      <c r="J2353" cm="1">
        <f t="array" ref="J2353">sentimentCalc(B2353)</f>
        <v>0</v>
      </c>
      <c r="K2353" t="str" cm="1">
        <f t="array" ref="K2353">sentimentCategory(J2353)</f>
        <v>Neutral</v>
      </c>
    </row>
    <row r="2354" spans="1:11" ht="17" x14ac:dyDescent="0.2">
      <c r="A2354" t="s">
        <v>3899</v>
      </c>
      <c r="B2354" s="1" t="s">
        <v>3900</v>
      </c>
      <c r="C2354" t="s">
        <v>1524</v>
      </c>
      <c r="D2354" s="1" t="s">
        <v>2</v>
      </c>
      <c r="E2354" t="b">
        <v>0</v>
      </c>
      <c r="F2354">
        <v>438</v>
      </c>
      <c r="G2354">
        <v>334</v>
      </c>
      <c r="H2354" t="s">
        <v>11</v>
      </c>
      <c r="I2354" t="b">
        <v>0</v>
      </c>
      <c r="J2354" cm="1">
        <f t="array" ref="J2354">sentimentCalc(B2354)</f>
        <v>0</v>
      </c>
      <c r="K2354" t="str" cm="1">
        <f t="array" ref="K2354">sentimentCategory(J2354)</f>
        <v>Neutral</v>
      </c>
    </row>
    <row r="2355" spans="1:11" ht="17" x14ac:dyDescent="0.2">
      <c r="A2355" t="s">
        <v>1271</v>
      </c>
      <c r="B2355" s="1" t="s">
        <v>1272</v>
      </c>
      <c r="C2355" t="s">
        <v>1158</v>
      </c>
      <c r="D2355" s="1" t="s">
        <v>2</v>
      </c>
      <c r="E2355" t="b">
        <v>0</v>
      </c>
      <c r="F2355">
        <v>19</v>
      </c>
      <c r="G2355">
        <v>322</v>
      </c>
      <c r="H2355" t="s">
        <v>11</v>
      </c>
      <c r="I2355" t="b">
        <v>0</v>
      </c>
      <c r="J2355" cm="1">
        <f t="array" ref="J2355">sentimentCalc(B2355)</f>
        <v>0</v>
      </c>
      <c r="K2355" t="str" cm="1">
        <f t="array" ref="K2355">sentimentCategory(J2355)</f>
        <v>Neutral</v>
      </c>
    </row>
    <row r="2356" spans="1:11" ht="34" x14ac:dyDescent="0.2">
      <c r="A2356" t="s">
        <v>6731</v>
      </c>
      <c r="B2356" s="1" t="s">
        <v>6732</v>
      </c>
      <c r="C2356" t="s">
        <v>4106</v>
      </c>
      <c r="D2356" s="1" t="s">
        <v>6733</v>
      </c>
      <c r="E2356" t="b">
        <v>0</v>
      </c>
      <c r="F2356">
        <v>229</v>
      </c>
      <c r="G2356">
        <v>573</v>
      </c>
      <c r="H2356" t="s">
        <v>11</v>
      </c>
      <c r="I2356" t="b">
        <v>0</v>
      </c>
      <c r="J2356" cm="1">
        <f t="array" ref="J2356">sentimentCalc(B2356)</f>
        <v>0</v>
      </c>
      <c r="K2356" t="str" cm="1">
        <f t="array" ref="K2356">sentimentCategory(J2356)</f>
        <v>Neutral</v>
      </c>
    </row>
    <row r="2357" spans="1:11" ht="17" x14ac:dyDescent="0.2">
      <c r="A2357" t="s">
        <v>7246</v>
      </c>
      <c r="B2357" s="1" t="s">
        <v>7247</v>
      </c>
      <c r="C2357" t="s">
        <v>561</v>
      </c>
      <c r="D2357" s="1" t="s">
        <v>7248</v>
      </c>
      <c r="E2357" t="b">
        <v>1</v>
      </c>
      <c r="F2357">
        <v>10698</v>
      </c>
      <c r="G2357">
        <v>905</v>
      </c>
      <c r="H2357" t="s">
        <v>11</v>
      </c>
      <c r="I2357" t="b">
        <v>0</v>
      </c>
      <c r="J2357" cm="1">
        <f t="array" ref="J2357">sentimentCalc(B2357)</f>
        <v>0</v>
      </c>
      <c r="K2357" t="str" cm="1">
        <f t="array" ref="K2357">sentimentCategory(J2357)</f>
        <v>Neutral</v>
      </c>
    </row>
    <row r="2358" spans="1:11" ht="17" x14ac:dyDescent="0.2">
      <c r="A2358" t="s">
        <v>3154</v>
      </c>
      <c r="B2358" s="1" t="s">
        <v>3155</v>
      </c>
      <c r="C2358" t="s">
        <v>1981</v>
      </c>
      <c r="D2358" s="1" t="s">
        <v>2</v>
      </c>
      <c r="E2358" t="b">
        <v>0</v>
      </c>
      <c r="F2358">
        <v>37</v>
      </c>
      <c r="G2358">
        <v>209</v>
      </c>
      <c r="H2358" t="s">
        <v>11</v>
      </c>
      <c r="I2358" t="b">
        <v>0</v>
      </c>
      <c r="J2358" cm="1">
        <f t="array" ref="J2358">sentimentCalc(B2358)</f>
        <v>0</v>
      </c>
      <c r="K2358" t="str" cm="1">
        <f t="array" ref="K2358">sentimentCategory(J2358)</f>
        <v>Neutral</v>
      </c>
    </row>
    <row r="2359" spans="1:11" ht="17" x14ac:dyDescent="0.2">
      <c r="A2359" t="s">
        <v>6225</v>
      </c>
      <c r="B2359" s="1" t="s">
        <v>6226</v>
      </c>
      <c r="C2359" t="s">
        <v>6227</v>
      </c>
      <c r="D2359" s="1" t="s">
        <v>2</v>
      </c>
      <c r="E2359" t="b">
        <v>0</v>
      </c>
      <c r="F2359">
        <v>8</v>
      </c>
      <c r="G2359">
        <v>230</v>
      </c>
      <c r="H2359" t="s">
        <v>11</v>
      </c>
      <c r="I2359" t="b">
        <v>0</v>
      </c>
      <c r="J2359" cm="1">
        <f t="array" ref="J2359">sentimentCalc(B2359)</f>
        <v>0</v>
      </c>
      <c r="K2359" t="str" cm="1">
        <f t="array" ref="K2359">sentimentCategory(J2359)</f>
        <v>Neutral</v>
      </c>
    </row>
    <row r="2360" spans="1:11" ht="17" x14ac:dyDescent="0.2">
      <c r="A2360" t="s">
        <v>5242</v>
      </c>
      <c r="B2360" s="1" t="s">
        <v>5243</v>
      </c>
      <c r="C2360" t="s">
        <v>5244</v>
      </c>
      <c r="D2360" s="1" t="s">
        <v>5245</v>
      </c>
      <c r="E2360" t="b">
        <v>0</v>
      </c>
      <c r="F2360">
        <v>2395</v>
      </c>
      <c r="G2360">
        <v>623</v>
      </c>
      <c r="H2360" t="s">
        <v>11</v>
      </c>
      <c r="I2360" t="b">
        <v>0</v>
      </c>
      <c r="J2360" cm="1">
        <f t="array" ref="J2360">sentimentCalc(B2360)</f>
        <v>0</v>
      </c>
      <c r="K2360" t="str" cm="1">
        <f t="array" ref="K2360">sentimentCategory(J2360)</f>
        <v>Neutral</v>
      </c>
    </row>
    <row r="2361" spans="1:11" ht="17" x14ac:dyDescent="0.2">
      <c r="A2361" t="s">
        <v>4178</v>
      </c>
      <c r="B2361" s="1" t="s">
        <v>4179</v>
      </c>
      <c r="C2361" t="s">
        <v>2749</v>
      </c>
      <c r="D2361" s="1" t="s">
        <v>4180</v>
      </c>
      <c r="E2361" t="b">
        <v>0</v>
      </c>
      <c r="F2361">
        <v>149</v>
      </c>
      <c r="G2361">
        <v>248</v>
      </c>
      <c r="H2361" t="s">
        <v>11</v>
      </c>
      <c r="I2361" t="b">
        <v>0</v>
      </c>
      <c r="J2361" cm="1">
        <f t="array" ref="J2361">sentimentCalc(B2361)</f>
        <v>0</v>
      </c>
      <c r="K2361" t="str" cm="1">
        <f t="array" ref="K2361">sentimentCategory(J2361)</f>
        <v>Neutral</v>
      </c>
    </row>
    <row r="2362" spans="1:11" ht="17" x14ac:dyDescent="0.2">
      <c r="A2362" t="s">
        <v>5693</v>
      </c>
      <c r="B2362" s="1" t="s">
        <v>5694</v>
      </c>
      <c r="C2362" t="s">
        <v>2539</v>
      </c>
      <c r="D2362" s="1" t="s">
        <v>1251</v>
      </c>
      <c r="E2362" t="b">
        <v>0</v>
      </c>
      <c r="F2362">
        <v>1189</v>
      </c>
      <c r="G2362">
        <v>1103</v>
      </c>
      <c r="H2362" t="s">
        <v>11</v>
      </c>
      <c r="I2362" t="b">
        <v>0</v>
      </c>
      <c r="J2362" cm="1">
        <f t="array" ref="J2362">sentimentCalc(B2362)</f>
        <v>1</v>
      </c>
      <c r="K2362" t="str" cm="1">
        <f t="array" ref="K2362">sentimentCategory(J2362)</f>
        <v>Positive</v>
      </c>
    </row>
    <row r="2363" spans="1:11" ht="34" x14ac:dyDescent="0.2">
      <c r="A2363" t="s">
        <v>4172</v>
      </c>
      <c r="B2363" s="1" t="s">
        <v>4173</v>
      </c>
      <c r="C2363" t="s">
        <v>1095</v>
      </c>
      <c r="D2363" s="1" t="s">
        <v>4174</v>
      </c>
      <c r="E2363" t="b">
        <v>0</v>
      </c>
      <c r="F2363">
        <v>633</v>
      </c>
      <c r="G2363">
        <v>952</v>
      </c>
      <c r="H2363" t="s">
        <v>11</v>
      </c>
      <c r="I2363" t="b">
        <v>0</v>
      </c>
      <c r="J2363" cm="1">
        <f t="array" ref="J2363">sentimentCalc(B2363)</f>
        <v>0</v>
      </c>
      <c r="K2363" t="str" cm="1">
        <f t="array" ref="K2363">sentimentCategory(J2363)</f>
        <v>Neutral</v>
      </c>
    </row>
    <row r="2364" spans="1:11" ht="34" x14ac:dyDescent="0.2">
      <c r="A2364" t="s">
        <v>5450</v>
      </c>
      <c r="B2364" s="1" t="s">
        <v>5451</v>
      </c>
      <c r="C2364" t="s">
        <v>289</v>
      </c>
      <c r="D2364" s="1" t="s">
        <v>2</v>
      </c>
      <c r="E2364" t="b">
        <v>0</v>
      </c>
      <c r="F2364">
        <v>44</v>
      </c>
      <c r="G2364">
        <v>204</v>
      </c>
      <c r="H2364" t="s">
        <v>11</v>
      </c>
      <c r="I2364" t="b">
        <v>0</v>
      </c>
      <c r="J2364" cm="1">
        <f t="array" ref="J2364">sentimentCalc(B2364)</f>
        <v>1</v>
      </c>
      <c r="K2364" t="str" cm="1">
        <f t="array" ref="K2364">sentimentCategory(J2364)</f>
        <v>Positive</v>
      </c>
    </row>
    <row r="2365" spans="1:11" ht="34" x14ac:dyDescent="0.2">
      <c r="A2365" t="s">
        <v>5984</v>
      </c>
      <c r="B2365" s="1" t="s">
        <v>5985</v>
      </c>
      <c r="C2365" t="s">
        <v>2675</v>
      </c>
      <c r="D2365" s="1" t="s">
        <v>5986</v>
      </c>
      <c r="E2365" t="b">
        <v>0</v>
      </c>
      <c r="F2365">
        <v>366</v>
      </c>
      <c r="G2365">
        <v>502</v>
      </c>
      <c r="H2365" t="s">
        <v>11</v>
      </c>
      <c r="I2365" t="b">
        <v>0</v>
      </c>
      <c r="J2365" cm="1">
        <f t="array" ref="J2365">sentimentCalc(B2365)</f>
        <v>0</v>
      </c>
      <c r="K2365" t="str" cm="1">
        <f t="array" ref="K2365">sentimentCategory(J2365)</f>
        <v>Neutral</v>
      </c>
    </row>
    <row r="2366" spans="1:11" ht="17" x14ac:dyDescent="0.2">
      <c r="A2366" t="s">
        <v>6989</v>
      </c>
      <c r="B2366" s="1" t="s">
        <v>6990</v>
      </c>
      <c r="C2366" t="s">
        <v>1885</v>
      </c>
      <c r="D2366" s="1" t="s">
        <v>1573</v>
      </c>
      <c r="E2366" t="b">
        <v>0</v>
      </c>
      <c r="F2366">
        <v>41</v>
      </c>
      <c r="G2366">
        <v>228</v>
      </c>
      <c r="H2366" t="s">
        <v>11</v>
      </c>
      <c r="I2366" t="b">
        <v>0</v>
      </c>
      <c r="J2366" cm="1">
        <f t="array" ref="J2366">sentimentCalc(B2366)</f>
        <v>0</v>
      </c>
      <c r="K2366" t="str" cm="1">
        <f t="array" ref="K2366">sentimentCategory(J2366)</f>
        <v>Neutral</v>
      </c>
    </row>
    <row r="2367" spans="1:11" ht="17" x14ac:dyDescent="0.2">
      <c r="A2367" t="s">
        <v>1765</v>
      </c>
      <c r="B2367" s="1" t="s">
        <v>1766</v>
      </c>
      <c r="C2367" t="s">
        <v>1767</v>
      </c>
      <c r="D2367" s="1" t="s">
        <v>1768</v>
      </c>
      <c r="E2367" t="b">
        <v>0</v>
      </c>
      <c r="F2367">
        <v>28</v>
      </c>
      <c r="G2367">
        <v>101</v>
      </c>
      <c r="H2367" t="s">
        <v>11</v>
      </c>
      <c r="I2367" t="b">
        <v>0</v>
      </c>
      <c r="J2367" cm="1">
        <f t="array" ref="J2367">sentimentCalc(B2367)</f>
        <v>0</v>
      </c>
      <c r="K2367" t="str" cm="1">
        <f t="array" ref="K2367">sentimentCategory(J2367)</f>
        <v>Neutral</v>
      </c>
    </row>
    <row r="2368" spans="1:11" ht="17" x14ac:dyDescent="0.2">
      <c r="A2368" t="s">
        <v>1993</v>
      </c>
      <c r="B2368" s="1" t="s">
        <v>1994</v>
      </c>
      <c r="C2368" t="s">
        <v>1506</v>
      </c>
      <c r="D2368" s="1" t="s">
        <v>1995</v>
      </c>
      <c r="E2368" t="b">
        <v>1</v>
      </c>
      <c r="F2368">
        <v>32161</v>
      </c>
      <c r="G2368">
        <v>1573</v>
      </c>
      <c r="H2368" t="s">
        <v>11</v>
      </c>
      <c r="I2368" t="b">
        <v>0</v>
      </c>
      <c r="J2368" cm="1">
        <f t="array" ref="J2368">sentimentCalc(B2368)</f>
        <v>0</v>
      </c>
      <c r="K2368" t="str" cm="1">
        <f t="array" ref="K2368">sentimentCategory(J2368)</f>
        <v>Neutral</v>
      </c>
    </row>
    <row r="2369" spans="1:11" ht="34" x14ac:dyDescent="0.2">
      <c r="A2369" t="s">
        <v>462</v>
      </c>
      <c r="B2369" s="1" t="s">
        <v>463</v>
      </c>
      <c r="C2369" t="s">
        <v>464</v>
      </c>
      <c r="D2369" s="1" t="s">
        <v>465</v>
      </c>
      <c r="E2369" t="b">
        <v>0</v>
      </c>
      <c r="F2369">
        <v>3</v>
      </c>
      <c r="G2369">
        <v>13</v>
      </c>
      <c r="H2369" t="s">
        <v>11</v>
      </c>
      <c r="I2369" t="b">
        <v>0</v>
      </c>
      <c r="J2369" cm="1">
        <f t="array" ref="J2369">sentimentCalc(B2369)</f>
        <v>2</v>
      </c>
      <c r="K2369" t="str" cm="1">
        <f t="array" ref="K2369">sentimentCategory(J2369)</f>
        <v>Positive</v>
      </c>
    </row>
    <row r="2370" spans="1:11" ht="17" x14ac:dyDescent="0.2">
      <c r="A2370" t="s">
        <v>1761</v>
      </c>
      <c r="B2370" s="1" t="s">
        <v>1762</v>
      </c>
      <c r="C2370" t="s">
        <v>1746</v>
      </c>
      <c r="D2370" s="1" t="s">
        <v>1747</v>
      </c>
      <c r="E2370" t="b">
        <v>0</v>
      </c>
      <c r="F2370">
        <v>101</v>
      </c>
      <c r="G2370">
        <v>542</v>
      </c>
      <c r="H2370" t="s">
        <v>11</v>
      </c>
      <c r="I2370" t="b">
        <v>0</v>
      </c>
      <c r="J2370" cm="1">
        <f t="array" ref="J2370">sentimentCalc(B2370)</f>
        <v>0</v>
      </c>
      <c r="K2370" t="str" cm="1">
        <f t="array" ref="K2370">sentimentCategory(J2370)</f>
        <v>Neutral</v>
      </c>
    </row>
    <row r="2371" spans="1:11" ht="17" x14ac:dyDescent="0.2">
      <c r="A2371" t="s">
        <v>3043</v>
      </c>
      <c r="B2371" s="1" t="s">
        <v>3044</v>
      </c>
      <c r="C2371" t="s">
        <v>22</v>
      </c>
      <c r="D2371" s="1" t="s">
        <v>178</v>
      </c>
      <c r="E2371" t="b">
        <v>0</v>
      </c>
      <c r="F2371">
        <v>36</v>
      </c>
      <c r="G2371">
        <v>38</v>
      </c>
      <c r="H2371" t="s">
        <v>11</v>
      </c>
      <c r="I2371" t="b">
        <v>0</v>
      </c>
      <c r="J2371" cm="1">
        <f t="array" ref="J2371">sentimentCalc(B2371)</f>
        <v>0</v>
      </c>
      <c r="K2371" t="str" cm="1">
        <f t="array" ref="K2371">sentimentCategory(J2371)</f>
        <v>Neutral</v>
      </c>
    </row>
    <row r="2372" spans="1:11" ht="34" x14ac:dyDescent="0.2">
      <c r="A2372" t="s">
        <v>6445</v>
      </c>
      <c r="B2372" s="1" t="s">
        <v>6446</v>
      </c>
      <c r="C2372" t="s">
        <v>222</v>
      </c>
      <c r="E2372" t="b">
        <v>0</v>
      </c>
      <c r="F2372">
        <v>2363</v>
      </c>
      <c r="G2372">
        <v>2741</v>
      </c>
      <c r="H2372" t="s">
        <v>31</v>
      </c>
      <c r="I2372" t="b">
        <v>0</v>
      </c>
      <c r="J2372" cm="1">
        <f t="array" ref="J2372">sentimentCalc(B2372)</f>
        <v>0</v>
      </c>
      <c r="K2372" t="str" cm="1">
        <f t="array" ref="K2372">sentimentCategory(J2372)</f>
        <v>Neutral</v>
      </c>
    </row>
    <row r="2373" spans="1:11" ht="17" x14ac:dyDescent="0.2">
      <c r="A2373" t="s">
        <v>1546</v>
      </c>
      <c r="B2373" s="1" t="s">
        <v>1547</v>
      </c>
      <c r="C2373" t="s">
        <v>1548</v>
      </c>
      <c r="D2373" s="1" t="s">
        <v>2</v>
      </c>
      <c r="E2373" t="b">
        <v>0</v>
      </c>
      <c r="F2373">
        <v>99</v>
      </c>
      <c r="G2373">
        <v>9</v>
      </c>
      <c r="H2373" t="s">
        <v>11</v>
      </c>
      <c r="I2373" t="b">
        <v>0</v>
      </c>
      <c r="J2373" cm="1">
        <f t="array" ref="J2373">sentimentCalc(B2373)</f>
        <v>1</v>
      </c>
      <c r="K2373" t="str" cm="1">
        <f t="array" ref="K2373">sentimentCategory(J2373)</f>
        <v>Positive</v>
      </c>
    </row>
    <row r="2374" spans="1:11" ht="17" x14ac:dyDescent="0.2">
      <c r="A2374" t="s">
        <v>5503</v>
      </c>
      <c r="B2374" s="1" t="s">
        <v>5504</v>
      </c>
      <c r="C2374" t="s">
        <v>5505</v>
      </c>
      <c r="D2374" s="1" t="s">
        <v>61</v>
      </c>
      <c r="E2374" t="b">
        <v>0</v>
      </c>
      <c r="F2374">
        <v>26</v>
      </c>
      <c r="G2374">
        <v>285</v>
      </c>
      <c r="H2374" t="s">
        <v>11</v>
      </c>
      <c r="I2374" t="b">
        <v>0</v>
      </c>
      <c r="J2374" cm="1">
        <f t="array" ref="J2374">sentimentCalc(B2374)</f>
        <v>-1</v>
      </c>
      <c r="K2374" t="str" cm="1">
        <f t="array" ref="K2374">sentimentCategory(J2374)</f>
        <v>Negative</v>
      </c>
    </row>
    <row r="2375" spans="1:11" ht="17" x14ac:dyDescent="0.2">
      <c r="A2375" t="s">
        <v>2082</v>
      </c>
      <c r="B2375" s="1" t="s">
        <v>2083</v>
      </c>
      <c r="C2375" t="s">
        <v>136</v>
      </c>
      <c r="D2375" s="1" t="s">
        <v>2084</v>
      </c>
      <c r="E2375" t="b">
        <v>0</v>
      </c>
      <c r="F2375">
        <v>323</v>
      </c>
      <c r="G2375">
        <v>566</v>
      </c>
      <c r="H2375" t="s">
        <v>11</v>
      </c>
      <c r="I2375" t="b">
        <v>0</v>
      </c>
      <c r="J2375" cm="1">
        <f t="array" ref="J2375">sentimentCalc(B2375)</f>
        <v>1</v>
      </c>
      <c r="K2375" t="str" cm="1">
        <f t="array" ref="K2375">sentimentCategory(J2375)</f>
        <v>Positive</v>
      </c>
    </row>
    <row r="2376" spans="1:11" ht="17" x14ac:dyDescent="0.2">
      <c r="A2376" t="s">
        <v>6354</v>
      </c>
      <c r="B2376" s="1" t="s">
        <v>6355</v>
      </c>
      <c r="C2376" t="s">
        <v>345</v>
      </c>
      <c r="D2376" s="1" t="s">
        <v>2</v>
      </c>
      <c r="E2376" t="b">
        <v>0</v>
      </c>
      <c r="F2376">
        <v>90</v>
      </c>
      <c r="G2376">
        <v>594</v>
      </c>
      <c r="H2376" t="s">
        <v>11</v>
      </c>
      <c r="I2376" t="b">
        <v>0</v>
      </c>
      <c r="J2376" cm="1">
        <f t="array" ref="J2376">sentimentCalc(B2376)</f>
        <v>0</v>
      </c>
      <c r="K2376" t="str" cm="1">
        <f t="array" ref="K2376">sentimentCategory(J2376)</f>
        <v>Neutral</v>
      </c>
    </row>
    <row r="2377" spans="1:11" ht="17" x14ac:dyDescent="0.2">
      <c r="A2377" t="s">
        <v>5602</v>
      </c>
      <c r="B2377" s="1" t="s">
        <v>5603</v>
      </c>
      <c r="C2377" t="s">
        <v>2024</v>
      </c>
      <c r="D2377" s="1" t="s">
        <v>5604</v>
      </c>
      <c r="E2377" t="b">
        <v>0</v>
      </c>
      <c r="F2377">
        <v>37541</v>
      </c>
      <c r="G2377">
        <v>734</v>
      </c>
      <c r="H2377" t="s">
        <v>11</v>
      </c>
      <c r="I2377" t="b">
        <v>0</v>
      </c>
      <c r="J2377" cm="1">
        <f t="array" ref="J2377">sentimentCalc(B2377)</f>
        <v>0</v>
      </c>
      <c r="K2377" t="str" cm="1">
        <f t="array" ref="K2377">sentimentCategory(J2377)</f>
        <v>Neutral</v>
      </c>
    </row>
    <row r="2378" spans="1:11" ht="17" x14ac:dyDescent="0.2">
      <c r="A2378" t="s">
        <v>258</v>
      </c>
      <c r="B2378" s="1" t="s">
        <v>259</v>
      </c>
      <c r="C2378" t="s">
        <v>260</v>
      </c>
      <c r="D2378" s="1" t="s">
        <v>261</v>
      </c>
      <c r="E2378" t="b">
        <v>0</v>
      </c>
      <c r="F2378">
        <v>419</v>
      </c>
      <c r="G2378">
        <v>81</v>
      </c>
      <c r="H2378" t="s">
        <v>262</v>
      </c>
      <c r="I2378" t="b">
        <v>0</v>
      </c>
      <c r="J2378" cm="1">
        <f t="array" ref="J2378">sentimentCalc(B2378)</f>
        <v>0</v>
      </c>
      <c r="K2378" t="str" cm="1">
        <f t="array" ref="K2378">sentimentCategory(J2378)</f>
        <v>Neutral</v>
      </c>
    </row>
    <row r="2379" spans="1:11" ht="17" x14ac:dyDescent="0.2">
      <c r="A2379" t="s">
        <v>645</v>
      </c>
      <c r="B2379" s="1" t="s">
        <v>646</v>
      </c>
      <c r="C2379" t="s">
        <v>108</v>
      </c>
      <c r="D2379" s="1" t="s">
        <v>2</v>
      </c>
      <c r="E2379" t="b">
        <v>0</v>
      </c>
      <c r="F2379">
        <v>2</v>
      </c>
      <c r="G2379">
        <v>75</v>
      </c>
      <c r="H2379" t="s">
        <v>11</v>
      </c>
      <c r="I2379" t="b">
        <v>0</v>
      </c>
      <c r="J2379" cm="1">
        <f t="array" ref="J2379">sentimentCalc(B2379)</f>
        <v>0</v>
      </c>
      <c r="K2379" t="str" cm="1">
        <f t="array" ref="K2379">sentimentCategory(J2379)</f>
        <v>Neutral</v>
      </c>
    </row>
    <row r="2380" spans="1:11" ht="34" x14ac:dyDescent="0.2">
      <c r="A2380" t="s">
        <v>6352</v>
      </c>
      <c r="B2380" s="1" t="s">
        <v>6353</v>
      </c>
      <c r="C2380" t="s">
        <v>2729</v>
      </c>
      <c r="D2380" s="1" t="s">
        <v>3570</v>
      </c>
      <c r="E2380" t="b">
        <v>0</v>
      </c>
      <c r="F2380">
        <v>46</v>
      </c>
      <c r="G2380">
        <v>212</v>
      </c>
      <c r="H2380" t="s">
        <v>11</v>
      </c>
      <c r="I2380" t="b">
        <v>0</v>
      </c>
      <c r="J2380" cm="1">
        <f t="array" ref="J2380">sentimentCalc(B2380)</f>
        <v>0</v>
      </c>
      <c r="K2380" t="str" cm="1">
        <f t="array" ref="K2380">sentimentCategory(J2380)</f>
        <v>Neutral</v>
      </c>
    </row>
    <row r="2381" spans="1:11" ht="34" x14ac:dyDescent="0.2">
      <c r="A2381" t="s">
        <v>4443</v>
      </c>
      <c r="B2381" s="1" t="s">
        <v>4444</v>
      </c>
      <c r="C2381" t="s">
        <v>82</v>
      </c>
      <c r="D2381" s="1" t="s">
        <v>2</v>
      </c>
      <c r="E2381" t="b">
        <v>0</v>
      </c>
      <c r="F2381">
        <v>171</v>
      </c>
      <c r="G2381">
        <v>236</v>
      </c>
      <c r="H2381" t="s">
        <v>11</v>
      </c>
      <c r="I2381" t="b">
        <v>0</v>
      </c>
      <c r="J2381" cm="1">
        <f t="array" ref="J2381">sentimentCalc(B2381)</f>
        <v>-1</v>
      </c>
      <c r="K2381" t="str" cm="1">
        <f t="array" ref="K2381">sentimentCategory(J2381)</f>
        <v>Negative</v>
      </c>
    </row>
    <row r="2382" spans="1:11" ht="17" x14ac:dyDescent="0.2">
      <c r="A2382" t="s">
        <v>4946</v>
      </c>
      <c r="B2382" s="1" t="s">
        <v>4947</v>
      </c>
      <c r="C2382" t="s">
        <v>271</v>
      </c>
      <c r="D2382" s="1" t="s">
        <v>61</v>
      </c>
      <c r="E2382" t="b">
        <v>0</v>
      </c>
      <c r="F2382">
        <v>84</v>
      </c>
      <c r="G2382">
        <v>118</v>
      </c>
      <c r="H2382" t="s">
        <v>11</v>
      </c>
      <c r="I2382" t="b">
        <v>0</v>
      </c>
      <c r="J2382" cm="1">
        <f t="array" ref="J2382">sentimentCalc(B2382)</f>
        <v>0</v>
      </c>
      <c r="K2382" t="str" cm="1">
        <f t="array" ref="K2382">sentimentCategory(J2382)</f>
        <v>Neutral</v>
      </c>
    </row>
    <row r="2383" spans="1:11" ht="17" x14ac:dyDescent="0.2">
      <c r="A2383" t="s">
        <v>5084</v>
      </c>
      <c r="B2383" s="1" t="s">
        <v>5085</v>
      </c>
      <c r="C2383" t="s">
        <v>3244</v>
      </c>
      <c r="D2383" s="1" t="s">
        <v>5086</v>
      </c>
      <c r="E2383" t="b">
        <v>0</v>
      </c>
      <c r="F2383">
        <v>110</v>
      </c>
      <c r="G2383">
        <v>131</v>
      </c>
      <c r="H2383" t="s">
        <v>11</v>
      </c>
      <c r="I2383" t="b">
        <v>0</v>
      </c>
      <c r="J2383" cm="1">
        <f t="array" ref="J2383">sentimentCalc(B2383)</f>
        <v>0</v>
      </c>
      <c r="K2383" t="str" cm="1">
        <f t="array" ref="K2383">sentimentCategory(J2383)</f>
        <v>Neutral</v>
      </c>
    </row>
    <row r="2384" spans="1:11" ht="34" x14ac:dyDescent="0.2">
      <c r="A2384" t="s">
        <v>4700</v>
      </c>
      <c r="B2384" s="1" t="s">
        <v>4701</v>
      </c>
      <c r="C2384" t="s">
        <v>1148</v>
      </c>
      <c r="D2384" s="1" t="s">
        <v>4702</v>
      </c>
      <c r="E2384" t="b">
        <v>0</v>
      </c>
      <c r="F2384">
        <v>104</v>
      </c>
      <c r="G2384">
        <v>87</v>
      </c>
      <c r="H2384" t="s">
        <v>11</v>
      </c>
      <c r="I2384" t="b">
        <v>0</v>
      </c>
      <c r="J2384" cm="1">
        <f t="array" ref="J2384">sentimentCalc(B2384)</f>
        <v>0</v>
      </c>
      <c r="K2384" t="str" cm="1">
        <f t="array" ref="K2384">sentimentCategory(J2384)</f>
        <v>Neutral</v>
      </c>
    </row>
    <row r="2385" spans="1:11" ht="34" x14ac:dyDescent="0.2">
      <c r="A2385" t="s">
        <v>2540</v>
      </c>
      <c r="B2385" s="1" t="s">
        <v>2541</v>
      </c>
      <c r="C2385" t="s">
        <v>1753</v>
      </c>
      <c r="D2385" s="1" t="s">
        <v>2542</v>
      </c>
      <c r="E2385" t="b">
        <v>0</v>
      </c>
      <c r="F2385">
        <v>24</v>
      </c>
      <c r="G2385">
        <v>62</v>
      </c>
      <c r="H2385" t="s">
        <v>11</v>
      </c>
      <c r="I2385" t="b">
        <v>0</v>
      </c>
      <c r="J2385" cm="1">
        <f t="array" ref="J2385">sentimentCalc(B2385)</f>
        <v>-1</v>
      </c>
      <c r="K2385" t="str" cm="1">
        <f t="array" ref="K2385">sentimentCategory(J2385)</f>
        <v>Negative</v>
      </c>
    </row>
    <row r="2386" spans="1:11" ht="34" x14ac:dyDescent="0.2">
      <c r="A2386" t="s">
        <v>6080</v>
      </c>
      <c r="B2386" s="1" t="s">
        <v>6081</v>
      </c>
      <c r="C2386" t="s">
        <v>108</v>
      </c>
      <c r="D2386" s="1" t="s">
        <v>2</v>
      </c>
      <c r="E2386" t="b">
        <v>0</v>
      </c>
      <c r="F2386">
        <v>3</v>
      </c>
      <c r="G2386">
        <v>75</v>
      </c>
      <c r="H2386" t="s">
        <v>11</v>
      </c>
      <c r="I2386" t="b">
        <v>0</v>
      </c>
      <c r="J2386" cm="1">
        <f t="array" ref="J2386">sentimentCalc(B2386)</f>
        <v>-1</v>
      </c>
      <c r="K2386" t="str" cm="1">
        <f t="array" ref="K2386">sentimentCategory(J2386)</f>
        <v>Negative</v>
      </c>
    </row>
    <row r="2387" spans="1:11" ht="17" x14ac:dyDescent="0.2">
      <c r="A2387" t="s">
        <v>1522</v>
      </c>
      <c r="B2387" s="1" t="s">
        <v>1523</v>
      </c>
      <c r="C2387" t="s">
        <v>1524</v>
      </c>
      <c r="D2387" s="1" t="s">
        <v>1525</v>
      </c>
      <c r="E2387" t="b">
        <v>0</v>
      </c>
      <c r="F2387">
        <v>378</v>
      </c>
      <c r="G2387">
        <v>959</v>
      </c>
      <c r="H2387" t="s">
        <v>11</v>
      </c>
      <c r="I2387" t="b">
        <v>0</v>
      </c>
      <c r="J2387" cm="1">
        <f t="array" ref="J2387">sentimentCalc(B2387)</f>
        <v>0</v>
      </c>
      <c r="K2387" t="str" cm="1">
        <f t="array" ref="K2387">sentimentCategory(J2387)</f>
        <v>Neutral</v>
      </c>
    </row>
    <row r="2388" spans="1:11" ht="17" x14ac:dyDescent="0.2">
      <c r="A2388" t="s">
        <v>6695</v>
      </c>
      <c r="B2388" s="1" t="s">
        <v>6696</v>
      </c>
      <c r="C2388" t="s">
        <v>6697</v>
      </c>
      <c r="D2388" s="1" t="s">
        <v>534</v>
      </c>
      <c r="E2388" t="b">
        <v>0</v>
      </c>
      <c r="F2388">
        <v>86</v>
      </c>
      <c r="G2388">
        <v>93</v>
      </c>
      <c r="H2388" t="s">
        <v>11</v>
      </c>
      <c r="I2388" t="b">
        <v>0</v>
      </c>
      <c r="J2388" cm="1">
        <f t="array" ref="J2388">sentimentCalc(B2388)</f>
        <v>0</v>
      </c>
      <c r="K2388" t="str" cm="1">
        <f t="array" ref="K2388">sentimentCategory(J2388)</f>
        <v>Neutral</v>
      </c>
    </row>
    <row r="2389" spans="1:11" ht="17" x14ac:dyDescent="0.2">
      <c r="A2389" t="s">
        <v>3933</v>
      </c>
      <c r="B2389" s="1" t="s">
        <v>3934</v>
      </c>
      <c r="C2389" t="s">
        <v>3282</v>
      </c>
      <c r="D2389" s="1" t="s">
        <v>2</v>
      </c>
      <c r="E2389" t="b">
        <v>0</v>
      </c>
      <c r="F2389">
        <v>55</v>
      </c>
      <c r="G2389">
        <v>210</v>
      </c>
      <c r="H2389" t="s">
        <v>11</v>
      </c>
      <c r="I2389" t="b">
        <v>0</v>
      </c>
      <c r="J2389" cm="1">
        <f t="array" ref="J2389">sentimentCalc(B2389)</f>
        <v>0</v>
      </c>
      <c r="K2389" t="str" cm="1">
        <f t="array" ref="K2389">sentimentCategory(J2389)</f>
        <v>Neutral</v>
      </c>
    </row>
    <row r="2390" spans="1:11" ht="34" x14ac:dyDescent="0.2">
      <c r="A2390" t="s">
        <v>3286</v>
      </c>
      <c r="B2390" s="1" t="s">
        <v>3287</v>
      </c>
      <c r="C2390" t="s">
        <v>345</v>
      </c>
      <c r="D2390" s="1" t="s">
        <v>2</v>
      </c>
      <c r="E2390" t="b">
        <v>0</v>
      </c>
      <c r="F2390">
        <v>137</v>
      </c>
      <c r="G2390">
        <v>676</v>
      </c>
      <c r="H2390" t="s">
        <v>11</v>
      </c>
      <c r="I2390" t="b">
        <v>0</v>
      </c>
      <c r="J2390" cm="1">
        <f t="array" ref="J2390">sentimentCalc(B2390)</f>
        <v>0</v>
      </c>
      <c r="K2390" t="str" cm="1">
        <f t="array" ref="K2390">sentimentCategory(J2390)</f>
        <v>Neutral</v>
      </c>
    </row>
    <row r="2391" spans="1:11" ht="34" x14ac:dyDescent="0.2">
      <c r="A2391" t="s">
        <v>7103</v>
      </c>
      <c r="B2391" s="1" t="s">
        <v>7106</v>
      </c>
      <c r="C2391" t="s">
        <v>10</v>
      </c>
      <c r="D2391" s="1" t="s">
        <v>2</v>
      </c>
      <c r="E2391" t="b">
        <v>0</v>
      </c>
      <c r="F2391">
        <v>4</v>
      </c>
      <c r="G2391">
        <v>38</v>
      </c>
      <c r="H2391" t="s">
        <v>11</v>
      </c>
      <c r="I2391" t="b">
        <v>0</v>
      </c>
      <c r="J2391" cm="1">
        <f t="array" ref="J2391">sentimentCalc(B2391)</f>
        <v>1</v>
      </c>
      <c r="K2391" t="str" cm="1">
        <f t="array" ref="K2391">sentimentCategory(J2391)</f>
        <v>Positive</v>
      </c>
    </row>
    <row r="2392" spans="1:11" ht="34" x14ac:dyDescent="0.2">
      <c r="A2392" t="s">
        <v>2761</v>
      </c>
      <c r="B2392" s="1" t="s">
        <v>2763</v>
      </c>
      <c r="C2392" t="s">
        <v>2764</v>
      </c>
      <c r="D2392" s="1" t="s">
        <v>2</v>
      </c>
      <c r="E2392" t="b">
        <v>0</v>
      </c>
      <c r="F2392">
        <v>260</v>
      </c>
      <c r="G2392">
        <v>261</v>
      </c>
      <c r="H2392" t="s">
        <v>11</v>
      </c>
      <c r="I2392" t="b">
        <v>0</v>
      </c>
      <c r="J2392" cm="1">
        <f t="array" ref="J2392">sentimentCalc(B2392)</f>
        <v>1</v>
      </c>
      <c r="K2392" t="str" cm="1">
        <f t="array" ref="K2392">sentimentCategory(J2392)</f>
        <v>Positive</v>
      </c>
    </row>
    <row r="2393" spans="1:11" ht="17" x14ac:dyDescent="0.2">
      <c r="A2393" t="s">
        <v>1806</v>
      </c>
      <c r="B2393" s="1" t="s">
        <v>1807</v>
      </c>
      <c r="C2393" t="s">
        <v>1808</v>
      </c>
      <c r="D2393" s="1" t="s">
        <v>1809</v>
      </c>
      <c r="E2393" t="b">
        <v>0</v>
      </c>
      <c r="F2393">
        <v>1162</v>
      </c>
      <c r="G2393">
        <v>861</v>
      </c>
      <c r="H2393" t="s">
        <v>11</v>
      </c>
      <c r="I2393" t="b">
        <v>0</v>
      </c>
      <c r="J2393" cm="1">
        <f t="array" ref="J2393">sentimentCalc(B2393)</f>
        <v>0</v>
      </c>
      <c r="K2393" t="str" cm="1">
        <f t="array" ref="K2393">sentimentCategory(J2393)</f>
        <v>Neutral</v>
      </c>
    </row>
    <row r="2394" spans="1:11" ht="34" x14ac:dyDescent="0.2">
      <c r="A2394" t="s">
        <v>6019</v>
      </c>
      <c r="B2394" s="1" t="s">
        <v>6020</v>
      </c>
      <c r="C2394" t="s">
        <v>1065</v>
      </c>
      <c r="D2394" s="1" t="s">
        <v>6021</v>
      </c>
      <c r="E2394" t="b">
        <v>0</v>
      </c>
      <c r="F2394">
        <v>258</v>
      </c>
      <c r="G2394">
        <v>972</v>
      </c>
      <c r="H2394" t="s">
        <v>11</v>
      </c>
      <c r="I2394" t="b">
        <v>0</v>
      </c>
      <c r="J2394" cm="1">
        <f t="array" ref="J2394">sentimentCalc(B2394)</f>
        <v>3</v>
      </c>
      <c r="K2394" t="str" cm="1">
        <f t="array" ref="K2394">sentimentCategory(J2394)</f>
        <v>Positive</v>
      </c>
    </row>
    <row r="2395" spans="1:11" ht="17" x14ac:dyDescent="0.2">
      <c r="A2395" t="s">
        <v>3780</v>
      </c>
      <c r="B2395" s="1" t="s">
        <v>3781</v>
      </c>
      <c r="C2395" t="s">
        <v>3782</v>
      </c>
      <c r="D2395" s="1" t="s">
        <v>1343</v>
      </c>
      <c r="E2395" t="b">
        <v>0</v>
      </c>
      <c r="F2395">
        <v>171</v>
      </c>
      <c r="G2395">
        <v>416</v>
      </c>
      <c r="H2395" t="s">
        <v>11</v>
      </c>
      <c r="I2395" t="b">
        <v>0</v>
      </c>
      <c r="J2395" cm="1">
        <f t="array" ref="J2395">sentimentCalc(B2395)</f>
        <v>0</v>
      </c>
      <c r="K2395" t="str" cm="1">
        <f t="array" ref="K2395">sentimentCategory(J2395)</f>
        <v>Neutral</v>
      </c>
    </row>
    <row r="2396" spans="1:11" ht="17" x14ac:dyDescent="0.2">
      <c r="A2396" t="s">
        <v>5350</v>
      </c>
      <c r="B2396" s="1" t="s">
        <v>5351</v>
      </c>
      <c r="C2396" t="s">
        <v>402</v>
      </c>
      <c r="D2396" s="1" t="s">
        <v>5352</v>
      </c>
      <c r="E2396" t="b">
        <v>0</v>
      </c>
      <c r="F2396">
        <v>374</v>
      </c>
      <c r="G2396">
        <v>410</v>
      </c>
      <c r="H2396" t="s">
        <v>11</v>
      </c>
      <c r="I2396" t="b">
        <v>0</v>
      </c>
      <c r="J2396" cm="1">
        <f t="array" ref="J2396">sentimentCalc(B2396)</f>
        <v>0</v>
      </c>
      <c r="K2396" t="str" cm="1">
        <f t="array" ref="K2396">sentimentCategory(J2396)</f>
        <v>Neutral</v>
      </c>
    </row>
    <row r="2397" spans="1:11" ht="17" x14ac:dyDescent="0.2">
      <c r="A2397" t="s">
        <v>453</v>
      </c>
      <c r="B2397" s="1" t="s">
        <v>454</v>
      </c>
      <c r="C2397" t="s">
        <v>455</v>
      </c>
      <c r="D2397" s="1" t="s">
        <v>2</v>
      </c>
      <c r="E2397" t="b">
        <v>0</v>
      </c>
      <c r="F2397">
        <v>17</v>
      </c>
      <c r="G2397">
        <v>95</v>
      </c>
      <c r="H2397" t="s">
        <v>47</v>
      </c>
      <c r="I2397" t="b">
        <v>0</v>
      </c>
      <c r="J2397" cm="1">
        <f t="array" ref="J2397">sentimentCalc(B2397)</f>
        <v>0</v>
      </c>
      <c r="K2397" t="str" cm="1">
        <f t="array" ref="K2397">sentimentCategory(J2397)</f>
        <v>Neutral</v>
      </c>
    </row>
    <row r="2398" spans="1:11" ht="17" x14ac:dyDescent="0.2">
      <c r="A2398" t="s">
        <v>6400</v>
      </c>
      <c r="B2398" s="1" t="s">
        <v>6401</v>
      </c>
      <c r="C2398" t="s">
        <v>472</v>
      </c>
      <c r="D2398" s="1" t="s">
        <v>473</v>
      </c>
      <c r="E2398" t="b">
        <v>0</v>
      </c>
      <c r="F2398">
        <v>293</v>
      </c>
      <c r="G2398">
        <v>0</v>
      </c>
      <c r="H2398" t="s">
        <v>110</v>
      </c>
      <c r="I2398" t="b">
        <v>0</v>
      </c>
      <c r="J2398" cm="1">
        <f t="array" ref="J2398">sentimentCalc(B2398)</f>
        <v>0</v>
      </c>
      <c r="K2398" t="str" cm="1">
        <f t="array" ref="K2398">sentimentCategory(J2398)</f>
        <v>Neutral</v>
      </c>
    </row>
    <row r="2399" spans="1:11" ht="17" x14ac:dyDescent="0.2">
      <c r="A2399" t="s">
        <v>4713</v>
      </c>
      <c r="B2399" s="1" t="s">
        <v>4714</v>
      </c>
      <c r="C2399" t="s">
        <v>2336</v>
      </c>
      <c r="D2399" s="1" t="s">
        <v>4715</v>
      </c>
      <c r="E2399" t="b">
        <v>0</v>
      </c>
      <c r="F2399">
        <v>464</v>
      </c>
      <c r="G2399">
        <v>862</v>
      </c>
      <c r="H2399" t="s">
        <v>11</v>
      </c>
      <c r="I2399" t="b">
        <v>0</v>
      </c>
      <c r="J2399" cm="1">
        <f t="array" ref="J2399">sentimentCalc(B2399)</f>
        <v>0</v>
      </c>
      <c r="K2399" t="str" cm="1">
        <f t="array" ref="K2399">sentimentCategory(J2399)</f>
        <v>Neutral</v>
      </c>
    </row>
    <row r="2400" spans="1:11" ht="17" x14ac:dyDescent="0.2">
      <c r="A2400" t="s">
        <v>3921</v>
      </c>
      <c r="B2400" s="1" t="s">
        <v>3922</v>
      </c>
      <c r="C2400" t="s">
        <v>151</v>
      </c>
      <c r="D2400" s="1" t="s">
        <v>2</v>
      </c>
      <c r="E2400" t="b">
        <v>0</v>
      </c>
      <c r="F2400">
        <v>650</v>
      </c>
      <c r="G2400">
        <v>2191</v>
      </c>
      <c r="H2400" t="s">
        <v>11</v>
      </c>
      <c r="I2400" t="b">
        <v>0</v>
      </c>
      <c r="J2400" cm="1">
        <f t="array" ref="J2400">sentimentCalc(B2400)</f>
        <v>0</v>
      </c>
      <c r="K2400" t="str" cm="1">
        <f t="array" ref="K2400">sentimentCategory(J2400)</f>
        <v>Neutral</v>
      </c>
    </row>
    <row r="2401" spans="1:11" ht="34" x14ac:dyDescent="0.2">
      <c r="A2401" t="s">
        <v>535</v>
      </c>
      <c r="B2401" s="1" t="s">
        <v>536</v>
      </c>
      <c r="C2401" t="s">
        <v>100</v>
      </c>
      <c r="D2401" s="1" t="s">
        <v>2</v>
      </c>
      <c r="E2401" t="b">
        <v>0</v>
      </c>
      <c r="F2401">
        <v>0</v>
      </c>
      <c r="G2401">
        <v>2</v>
      </c>
      <c r="H2401" t="s">
        <v>11</v>
      </c>
      <c r="I2401" t="b">
        <v>0</v>
      </c>
      <c r="J2401" cm="1">
        <f t="array" ref="J2401">sentimentCalc(B2401)</f>
        <v>0</v>
      </c>
      <c r="K2401" t="str" cm="1">
        <f t="array" ref="K2401">sentimentCategory(J2401)</f>
        <v>Neutral</v>
      </c>
    </row>
    <row r="2403" spans="1:11" x14ac:dyDescent="0.2">
      <c r="B2403"/>
      <c r="D2403"/>
    </row>
    <row r="2404" spans="1:11" x14ac:dyDescent="0.2">
      <c r="B2404"/>
      <c r="D2404"/>
    </row>
    <row r="2405" spans="1:11" x14ac:dyDescent="0.2">
      <c r="B2405"/>
      <c r="D2405"/>
    </row>
    <row r="2406" spans="1:11" x14ac:dyDescent="0.2">
      <c r="B2406"/>
      <c r="D2406"/>
    </row>
    <row r="2407" spans="1:11" x14ac:dyDescent="0.2">
      <c r="B2407"/>
      <c r="D2407"/>
    </row>
    <row r="2408" spans="1:11" x14ac:dyDescent="0.2">
      <c r="B2408"/>
      <c r="D2408"/>
    </row>
    <row r="2409" spans="1:11" x14ac:dyDescent="0.2">
      <c r="B2409"/>
      <c r="D2409"/>
    </row>
    <row r="2410" spans="1:11" x14ac:dyDescent="0.2">
      <c r="B2410"/>
      <c r="D2410"/>
    </row>
    <row r="2411" spans="1:11" x14ac:dyDescent="0.2">
      <c r="B2411"/>
      <c r="D2411"/>
    </row>
    <row r="2412" spans="1:11" x14ac:dyDescent="0.2">
      <c r="B2412"/>
      <c r="D2412"/>
    </row>
    <row r="2413" spans="1:11" x14ac:dyDescent="0.2">
      <c r="B2413"/>
      <c r="D2413"/>
    </row>
    <row r="2414" spans="1:11" x14ac:dyDescent="0.2">
      <c r="B2414"/>
      <c r="D2414"/>
    </row>
    <row r="2415" spans="1:11" x14ac:dyDescent="0.2">
      <c r="B2415"/>
      <c r="D2415"/>
    </row>
    <row r="2416" spans="1:11" x14ac:dyDescent="0.2">
      <c r="B2416"/>
      <c r="D2416"/>
    </row>
    <row r="2417" spans="2:4" x14ac:dyDescent="0.2">
      <c r="B2417"/>
      <c r="D2417"/>
    </row>
    <row r="2418" spans="2:4" x14ac:dyDescent="0.2">
      <c r="B2418"/>
      <c r="D2418"/>
    </row>
    <row r="2419" spans="2:4" x14ac:dyDescent="0.2">
      <c r="B2419"/>
      <c r="D2419"/>
    </row>
    <row r="2420" spans="2:4" x14ac:dyDescent="0.2">
      <c r="B2420"/>
      <c r="D2420"/>
    </row>
    <row r="2421" spans="2:4" x14ac:dyDescent="0.2">
      <c r="B2421"/>
      <c r="D2421"/>
    </row>
    <row r="2422" spans="2:4" x14ac:dyDescent="0.2">
      <c r="B2422"/>
      <c r="D2422"/>
    </row>
    <row r="2423" spans="2:4" x14ac:dyDescent="0.2">
      <c r="B2423"/>
      <c r="D2423"/>
    </row>
    <row r="2424" spans="2:4" x14ac:dyDescent="0.2">
      <c r="B2424"/>
      <c r="D2424"/>
    </row>
    <row r="2425" spans="2:4" x14ac:dyDescent="0.2">
      <c r="B2425"/>
      <c r="D2425"/>
    </row>
    <row r="2426" spans="2:4" x14ac:dyDescent="0.2">
      <c r="B2426"/>
      <c r="D2426"/>
    </row>
    <row r="2427" spans="2:4" x14ac:dyDescent="0.2">
      <c r="B2427"/>
      <c r="D2427"/>
    </row>
    <row r="2428" spans="2:4" x14ac:dyDescent="0.2">
      <c r="B2428"/>
      <c r="D2428"/>
    </row>
    <row r="2429" spans="2:4" x14ac:dyDescent="0.2">
      <c r="B2429"/>
      <c r="D2429"/>
    </row>
    <row r="2430" spans="2:4" x14ac:dyDescent="0.2">
      <c r="B2430"/>
      <c r="D2430"/>
    </row>
    <row r="2431" spans="2:4" x14ac:dyDescent="0.2">
      <c r="B2431"/>
      <c r="D2431"/>
    </row>
    <row r="2432" spans="2:4" x14ac:dyDescent="0.2">
      <c r="B2432"/>
      <c r="D2432"/>
    </row>
    <row r="2433" spans="2:4" x14ac:dyDescent="0.2">
      <c r="B2433"/>
      <c r="D2433"/>
    </row>
    <row r="2434" spans="2:4" x14ac:dyDescent="0.2">
      <c r="B2434"/>
      <c r="D2434"/>
    </row>
    <row r="2435" spans="2:4" x14ac:dyDescent="0.2">
      <c r="B2435"/>
      <c r="D2435"/>
    </row>
    <row r="2436" spans="2:4" x14ac:dyDescent="0.2">
      <c r="B2436"/>
      <c r="D2436"/>
    </row>
    <row r="2437" spans="2:4" x14ac:dyDescent="0.2">
      <c r="B2437"/>
      <c r="D2437"/>
    </row>
    <row r="2438" spans="2:4" x14ac:dyDescent="0.2">
      <c r="B2438"/>
      <c r="D2438"/>
    </row>
    <row r="2439" spans="2:4" x14ac:dyDescent="0.2">
      <c r="B2439"/>
      <c r="D2439"/>
    </row>
    <row r="2440" spans="2:4" x14ac:dyDescent="0.2">
      <c r="B2440"/>
      <c r="D2440"/>
    </row>
    <row r="2441" spans="2:4" x14ac:dyDescent="0.2">
      <c r="B2441"/>
      <c r="D2441"/>
    </row>
    <row r="2442" spans="2:4" x14ac:dyDescent="0.2">
      <c r="B2442"/>
      <c r="D2442"/>
    </row>
    <row r="2443" spans="2:4" x14ac:dyDescent="0.2">
      <c r="B2443"/>
      <c r="D2443"/>
    </row>
    <row r="2444" spans="2:4" x14ac:dyDescent="0.2">
      <c r="B2444"/>
      <c r="D2444"/>
    </row>
    <row r="2445" spans="2:4" x14ac:dyDescent="0.2">
      <c r="B2445"/>
      <c r="D2445"/>
    </row>
    <row r="2446" spans="2:4" x14ac:dyDescent="0.2">
      <c r="B2446"/>
      <c r="D2446"/>
    </row>
    <row r="2447" spans="2:4" x14ac:dyDescent="0.2">
      <c r="B2447"/>
      <c r="D2447"/>
    </row>
    <row r="2448" spans="2:4" x14ac:dyDescent="0.2">
      <c r="B2448"/>
      <c r="D2448"/>
    </row>
    <row r="2449" spans="2:4" x14ac:dyDescent="0.2">
      <c r="B2449"/>
      <c r="D2449"/>
    </row>
    <row r="2450" spans="2:4" x14ac:dyDescent="0.2">
      <c r="B2450"/>
      <c r="D2450"/>
    </row>
    <row r="2451" spans="2:4" x14ac:dyDescent="0.2">
      <c r="B2451"/>
      <c r="D2451"/>
    </row>
    <row r="2452" spans="2:4" x14ac:dyDescent="0.2">
      <c r="B2452"/>
      <c r="D2452"/>
    </row>
    <row r="2453" spans="2:4" x14ac:dyDescent="0.2">
      <c r="B2453"/>
      <c r="D2453"/>
    </row>
    <row r="2454" spans="2:4" x14ac:dyDescent="0.2">
      <c r="B2454"/>
      <c r="D2454"/>
    </row>
    <row r="2455" spans="2:4" x14ac:dyDescent="0.2">
      <c r="B2455"/>
      <c r="D2455"/>
    </row>
    <row r="2456" spans="2:4" x14ac:dyDescent="0.2">
      <c r="B2456"/>
      <c r="D2456"/>
    </row>
    <row r="2457" spans="2:4" x14ac:dyDescent="0.2">
      <c r="B2457"/>
      <c r="D2457"/>
    </row>
    <row r="2458" spans="2:4" x14ac:dyDescent="0.2">
      <c r="B2458"/>
      <c r="D2458"/>
    </row>
    <row r="2459" spans="2:4" x14ac:dyDescent="0.2">
      <c r="B2459"/>
      <c r="D2459"/>
    </row>
    <row r="2460" spans="2:4" x14ac:dyDescent="0.2">
      <c r="B2460"/>
      <c r="D2460"/>
    </row>
    <row r="2461" spans="2:4" x14ac:dyDescent="0.2">
      <c r="B2461"/>
      <c r="D2461"/>
    </row>
    <row r="2462" spans="2:4" x14ac:dyDescent="0.2">
      <c r="B2462"/>
      <c r="D2462"/>
    </row>
    <row r="2463" spans="2:4" x14ac:dyDescent="0.2">
      <c r="B2463"/>
      <c r="D2463"/>
    </row>
    <row r="2464" spans="2:4" x14ac:dyDescent="0.2">
      <c r="B2464"/>
      <c r="D2464"/>
    </row>
    <row r="2465" spans="2:4" x14ac:dyDescent="0.2">
      <c r="B2465"/>
      <c r="D2465"/>
    </row>
    <row r="2466" spans="2:4" x14ac:dyDescent="0.2">
      <c r="B2466"/>
      <c r="D2466"/>
    </row>
    <row r="2467" spans="2:4" x14ac:dyDescent="0.2">
      <c r="B2467"/>
      <c r="D2467"/>
    </row>
    <row r="2468" spans="2:4" x14ac:dyDescent="0.2">
      <c r="B2468"/>
      <c r="D2468"/>
    </row>
    <row r="2469" spans="2:4" x14ac:dyDescent="0.2">
      <c r="B2469"/>
      <c r="D2469"/>
    </row>
    <row r="2470" spans="2:4" x14ac:dyDescent="0.2">
      <c r="B2470"/>
      <c r="D2470"/>
    </row>
    <row r="2471" spans="2:4" x14ac:dyDescent="0.2">
      <c r="B2471"/>
      <c r="D2471"/>
    </row>
    <row r="2472" spans="2:4" x14ac:dyDescent="0.2">
      <c r="B2472"/>
      <c r="D2472"/>
    </row>
    <row r="2473" spans="2:4" x14ac:dyDescent="0.2">
      <c r="B2473"/>
      <c r="D2473"/>
    </row>
    <row r="2474" spans="2:4" x14ac:dyDescent="0.2">
      <c r="B2474"/>
      <c r="D2474"/>
    </row>
    <row r="2475" spans="2:4" x14ac:dyDescent="0.2">
      <c r="B2475"/>
      <c r="D2475"/>
    </row>
    <row r="2476" spans="2:4" x14ac:dyDescent="0.2">
      <c r="B2476"/>
      <c r="D2476"/>
    </row>
    <row r="2477" spans="2:4" x14ac:dyDescent="0.2">
      <c r="B2477"/>
      <c r="D2477"/>
    </row>
    <row r="2478" spans="2:4" x14ac:dyDescent="0.2">
      <c r="B2478"/>
      <c r="D2478"/>
    </row>
    <row r="2479" spans="2:4" x14ac:dyDescent="0.2">
      <c r="B2479"/>
      <c r="D2479"/>
    </row>
    <row r="2480" spans="2:4" x14ac:dyDescent="0.2">
      <c r="B2480"/>
      <c r="D2480"/>
    </row>
    <row r="2481" spans="2:4" x14ac:dyDescent="0.2">
      <c r="B2481"/>
      <c r="D2481"/>
    </row>
    <row r="2482" spans="2:4" x14ac:dyDescent="0.2">
      <c r="B2482"/>
      <c r="D2482"/>
    </row>
    <row r="2483" spans="2:4" x14ac:dyDescent="0.2">
      <c r="B2483"/>
      <c r="D2483"/>
    </row>
    <row r="2484" spans="2:4" x14ac:dyDescent="0.2">
      <c r="B2484"/>
      <c r="D2484"/>
    </row>
    <row r="2485" spans="2:4" x14ac:dyDescent="0.2">
      <c r="B2485"/>
      <c r="D2485"/>
    </row>
    <row r="2486" spans="2:4" x14ac:dyDescent="0.2">
      <c r="B2486"/>
      <c r="D2486"/>
    </row>
    <row r="2487" spans="2:4" x14ac:dyDescent="0.2">
      <c r="B2487"/>
      <c r="D2487"/>
    </row>
    <row r="2488" spans="2:4" x14ac:dyDescent="0.2">
      <c r="B2488"/>
      <c r="D2488"/>
    </row>
    <row r="2489" spans="2:4" x14ac:dyDescent="0.2">
      <c r="B2489"/>
      <c r="D2489"/>
    </row>
    <row r="2490" spans="2:4" x14ac:dyDescent="0.2">
      <c r="B2490"/>
      <c r="D2490"/>
    </row>
    <row r="2491" spans="2:4" x14ac:dyDescent="0.2">
      <c r="B2491"/>
      <c r="D2491"/>
    </row>
    <row r="2492" spans="2:4" x14ac:dyDescent="0.2">
      <c r="B2492"/>
      <c r="D2492"/>
    </row>
    <row r="2493" spans="2:4" x14ac:dyDescent="0.2">
      <c r="B2493"/>
      <c r="D2493"/>
    </row>
    <row r="2494" spans="2:4" x14ac:dyDescent="0.2">
      <c r="B2494"/>
      <c r="D2494"/>
    </row>
    <row r="2495" spans="2:4" x14ac:dyDescent="0.2">
      <c r="B2495"/>
      <c r="D2495"/>
    </row>
    <row r="2496" spans="2:4" x14ac:dyDescent="0.2">
      <c r="B2496"/>
      <c r="D2496"/>
    </row>
    <row r="2497" spans="2:4" x14ac:dyDescent="0.2">
      <c r="B2497"/>
      <c r="D2497"/>
    </row>
    <row r="2498" spans="2:4" x14ac:dyDescent="0.2">
      <c r="B2498"/>
      <c r="D2498"/>
    </row>
    <row r="2499" spans="2:4" x14ac:dyDescent="0.2">
      <c r="B2499"/>
      <c r="D2499"/>
    </row>
    <row r="2500" spans="2:4" x14ac:dyDescent="0.2">
      <c r="B2500"/>
      <c r="D2500"/>
    </row>
    <row r="2501" spans="2:4" x14ac:dyDescent="0.2">
      <c r="B2501"/>
      <c r="D2501"/>
    </row>
    <row r="2502" spans="2:4" x14ac:dyDescent="0.2">
      <c r="B2502"/>
      <c r="D2502"/>
    </row>
    <row r="2503" spans="2:4" x14ac:dyDescent="0.2">
      <c r="B2503"/>
      <c r="D2503"/>
    </row>
    <row r="2504" spans="2:4" x14ac:dyDescent="0.2">
      <c r="B2504"/>
      <c r="D2504"/>
    </row>
    <row r="2505" spans="2:4" x14ac:dyDescent="0.2">
      <c r="B2505"/>
      <c r="D2505"/>
    </row>
    <row r="2506" spans="2:4" x14ac:dyDescent="0.2">
      <c r="B2506"/>
      <c r="D2506"/>
    </row>
    <row r="2507" spans="2:4" x14ac:dyDescent="0.2">
      <c r="B2507"/>
      <c r="D2507"/>
    </row>
    <row r="2508" spans="2:4" x14ac:dyDescent="0.2">
      <c r="B2508"/>
      <c r="D2508"/>
    </row>
    <row r="2509" spans="2:4" x14ac:dyDescent="0.2">
      <c r="B2509"/>
      <c r="D2509"/>
    </row>
    <row r="2510" spans="2:4" x14ac:dyDescent="0.2">
      <c r="B2510"/>
      <c r="D2510"/>
    </row>
    <row r="2511" spans="2:4" x14ac:dyDescent="0.2">
      <c r="B2511"/>
      <c r="D2511"/>
    </row>
    <row r="2512" spans="2:4" x14ac:dyDescent="0.2">
      <c r="B2512"/>
      <c r="D2512"/>
    </row>
    <row r="2513" spans="2:4" x14ac:dyDescent="0.2">
      <c r="B2513"/>
      <c r="D2513"/>
    </row>
    <row r="2514" spans="2:4" x14ac:dyDescent="0.2">
      <c r="B2514"/>
      <c r="D2514"/>
    </row>
    <row r="2515" spans="2:4" x14ac:dyDescent="0.2">
      <c r="B2515"/>
      <c r="D2515"/>
    </row>
    <row r="2516" spans="2:4" x14ac:dyDescent="0.2">
      <c r="B2516"/>
      <c r="D2516"/>
    </row>
    <row r="2517" spans="2:4" x14ac:dyDescent="0.2">
      <c r="B2517"/>
      <c r="D2517"/>
    </row>
    <row r="2518" spans="2:4" x14ac:dyDescent="0.2">
      <c r="B2518"/>
      <c r="D2518"/>
    </row>
    <row r="2519" spans="2:4" x14ac:dyDescent="0.2">
      <c r="B2519"/>
      <c r="D2519"/>
    </row>
    <row r="2520" spans="2:4" x14ac:dyDescent="0.2">
      <c r="B2520"/>
      <c r="D2520"/>
    </row>
    <row r="2521" spans="2:4" x14ac:dyDescent="0.2">
      <c r="B2521"/>
      <c r="D2521"/>
    </row>
    <row r="2522" spans="2:4" x14ac:dyDescent="0.2">
      <c r="B2522"/>
      <c r="D2522"/>
    </row>
    <row r="2523" spans="2:4" x14ac:dyDescent="0.2">
      <c r="B2523"/>
      <c r="D2523"/>
    </row>
    <row r="2524" spans="2:4" x14ac:dyDescent="0.2">
      <c r="B2524"/>
      <c r="D2524"/>
    </row>
    <row r="2525" spans="2:4" x14ac:dyDescent="0.2">
      <c r="B2525"/>
      <c r="D2525"/>
    </row>
    <row r="2526" spans="2:4" x14ac:dyDescent="0.2">
      <c r="B2526"/>
      <c r="D2526"/>
    </row>
    <row r="2527" spans="2:4" x14ac:dyDescent="0.2">
      <c r="B2527"/>
      <c r="D2527"/>
    </row>
    <row r="2528" spans="2:4" x14ac:dyDescent="0.2">
      <c r="B2528"/>
      <c r="D2528"/>
    </row>
    <row r="2529" spans="2:4" x14ac:dyDescent="0.2">
      <c r="B2529"/>
      <c r="D2529"/>
    </row>
    <row r="2530" spans="2:4" x14ac:dyDescent="0.2">
      <c r="B2530"/>
      <c r="D2530"/>
    </row>
    <row r="2531" spans="2:4" x14ac:dyDescent="0.2">
      <c r="B2531"/>
      <c r="D2531"/>
    </row>
    <row r="2532" spans="2:4" x14ac:dyDescent="0.2">
      <c r="B2532"/>
      <c r="D2532"/>
    </row>
    <row r="2533" spans="2:4" x14ac:dyDescent="0.2">
      <c r="B2533"/>
      <c r="D2533"/>
    </row>
    <row r="2534" spans="2:4" x14ac:dyDescent="0.2">
      <c r="B2534"/>
      <c r="D2534"/>
    </row>
    <row r="2535" spans="2:4" x14ac:dyDescent="0.2">
      <c r="B2535"/>
      <c r="D2535"/>
    </row>
    <row r="2536" spans="2:4" x14ac:dyDescent="0.2">
      <c r="B2536"/>
      <c r="D2536"/>
    </row>
    <row r="2537" spans="2:4" x14ac:dyDescent="0.2">
      <c r="B2537"/>
      <c r="D2537"/>
    </row>
    <row r="2538" spans="2:4" x14ac:dyDescent="0.2">
      <c r="B2538"/>
      <c r="D2538"/>
    </row>
    <row r="2539" spans="2:4" x14ac:dyDescent="0.2">
      <c r="B2539"/>
      <c r="D2539"/>
    </row>
    <row r="2540" spans="2:4" x14ac:dyDescent="0.2">
      <c r="B2540"/>
      <c r="D2540"/>
    </row>
    <row r="2541" spans="2:4" x14ac:dyDescent="0.2">
      <c r="B2541"/>
      <c r="D2541"/>
    </row>
    <row r="2542" spans="2:4" x14ac:dyDescent="0.2">
      <c r="B2542"/>
      <c r="D2542"/>
    </row>
    <row r="2543" spans="2:4" x14ac:dyDescent="0.2">
      <c r="B2543"/>
      <c r="D2543"/>
    </row>
    <row r="2544" spans="2:4" x14ac:dyDescent="0.2">
      <c r="B2544"/>
      <c r="D2544"/>
    </row>
    <row r="2545" spans="2:4" x14ac:dyDescent="0.2">
      <c r="B2545"/>
      <c r="D2545"/>
    </row>
    <row r="2546" spans="2:4" x14ac:dyDescent="0.2">
      <c r="B2546"/>
      <c r="D2546"/>
    </row>
    <row r="2547" spans="2:4" x14ac:dyDescent="0.2">
      <c r="B2547"/>
      <c r="D2547"/>
    </row>
    <row r="2548" spans="2:4" x14ac:dyDescent="0.2">
      <c r="B2548"/>
      <c r="D2548"/>
    </row>
    <row r="2549" spans="2:4" x14ac:dyDescent="0.2">
      <c r="B2549"/>
      <c r="D2549"/>
    </row>
    <row r="2550" spans="2:4" x14ac:dyDescent="0.2">
      <c r="B2550"/>
      <c r="D2550"/>
    </row>
    <row r="2551" spans="2:4" x14ac:dyDescent="0.2">
      <c r="B2551"/>
      <c r="D2551"/>
    </row>
    <row r="2552" spans="2:4" x14ac:dyDescent="0.2">
      <c r="B2552"/>
      <c r="D2552"/>
    </row>
    <row r="2553" spans="2:4" x14ac:dyDescent="0.2">
      <c r="B2553"/>
      <c r="D2553"/>
    </row>
    <row r="2554" spans="2:4" x14ac:dyDescent="0.2">
      <c r="B2554"/>
      <c r="D2554"/>
    </row>
  </sheetData>
  <sortState xmlns:xlrd2="http://schemas.microsoft.com/office/spreadsheetml/2017/richdata2" ref="A2:I2554">
    <sortCondition descending="1" ref="I2:I2554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0941-B0BB-D242-9E5B-C12B031421EC}">
  <sheetPr codeName="Sheet4"/>
  <dimension ref="B2:H28"/>
  <sheetViews>
    <sheetView tabSelected="1" zoomScale="144" workbookViewId="0">
      <selection activeCell="B8" sqref="B8"/>
    </sheetView>
  </sheetViews>
  <sheetFormatPr baseColWidth="10" defaultRowHeight="16" x14ac:dyDescent="0.2"/>
  <cols>
    <col min="2" max="2" width="17.6640625" customWidth="1"/>
    <col min="6" max="6" width="32.6640625" bestFit="1" customWidth="1"/>
  </cols>
  <sheetData>
    <row r="2" spans="2:8" x14ac:dyDescent="0.2">
      <c r="B2" s="11" t="s">
        <v>7379</v>
      </c>
      <c r="C2" s="10"/>
    </row>
    <row r="3" spans="2:8" x14ac:dyDescent="0.2">
      <c r="B3" s="4" t="s">
        <v>7380</v>
      </c>
      <c r="C3" s="4">
        <f>AVERAGE(processedData!J2:J2401)</f>
        <v>9.7500000000000003E-2</v>
      </c>
    </row>
    <row r="4" spans="2:8" x14ac:dyDescent="0.2">
      <c r="B4" s="4" t="s">
        <v>7381</v>
      </c>
      <c r="C4" s="4">
        <f>COUNTIFS(processedData!K2:K2401,"Positive")</f>
        <v>365</v>
      </c>
    </row>
    <row r="5" spans="2:8" x14ac:dyDescent="0.2">
      <c r="B5" s="4" t="s">
        <v>7382</v>
      </c>
      <c r="C5" s="4">
        <f>COUNTIFS(processedData!K2:K2401,"Negative")</f>
        <v>172</v>
      </c>
    </row>
    <row r="6" spans="2:8" x14ac:dyDescent="0.2">
      <c r="B6" s="4" t="s">
        <v>7383</v>
      </c>
      <c r="C6" s="4">
        <f>COUNTIFS(processedData!K2:K2401,"Neutral")</f>
        <v>1863</v>
      </c>
    </row>
    <row r="7" spans="2:8" x14ac:dyDescent="0.2">
      <c r="F7" s="9"/>
      <c r="G7" s="9"/>
    </row>
    <row r="8" spans="2:8" x14ac:dyDescent="0.2">
      <c r="B8" s="13" t="s">
        <v>7384</v>
      </c>
      <c r="C8" s="12"/>
      <c r="F8" s="17" t="s">
        <v>7386</v>
      </c>
      <c r="G8" s="18"/>
    </row>
    <row r="9" spans="2:8" x14ac:dyDescent="0.2">
      <c r="B9" s="5" t="s">
        <v>7380</v>
      </c>
      <c r="C9" s="5">
        <f>AVERAGEIF(processedData!E2:E2401,"TRUE",processedData!J2:J2401)</f>
        <v>0.11538461538461539</v>
      </c>
      <c r="F9" s="16" t="s">
        <v>7380</v>
      </c>
      <c r="G9" s="16">
        <f>AVERAGEIF(processedData!F2:F2401,"&gt;3000",processedData!J2:J2401)</f>
        <v>0.13207547169811321</v>
      </c>
    </row>
    <row r="10" spans="2:8" x14ac:dyDescent="0.2">
      <c r="B10" s="5" t="s">
        <v>7381</v>
      </c>
      <c r="C10" s="5">
        <f>COUNTIFS(processedData!E2:E2401,"TRUE",processedData!K2:K2401,"Positive")</f>
        <v>3</v>
      </c>
      <c r="F10" s="8" t="s">
        <v>7381</v>
      </c>
      <c r="G10" s="8">
        <f>COUNTIFS(processedData!F2:F2401,"&gt;3000",processedData!K2:K2401,"Positive")</f>
        <v>54</v>
      </c>
    </row>
    <row r="11" spans="2:8" x14ac:dyDescent="0.2">
      <c r="B11" s="5" t="s">
        <v>7382</v>
      </c>
      <c r="C11" s="5" cm="1">
        <f t="array" ref="C11">COUNTIFS(processedData!E2:E2401,"TRUE",processedData!K2:K2401,Negative)</f>
        <v>0</v>
      </c>
      <c r="F11" s="8" t="s">
        <v>7382</v>
      </c>
      <c r="G11" s="8">
        <f>COUNTIFS(processedData!F2:F2401,"&gt;3000",processedData!K2:K2401,"Negative")</f>
        <v>18</v>
      </c>
    </row>
    <row r="12" spans="2:8" x14ac:dyDescent="0.2">
      <c r="B12" s="5" t="s">
        <v>7383</v>
      </c>
      <c r="C12" s="5">
        <f>COUNTIFS(processedData!E2:E2401,"TRUE",processedData!K2:K2401,"Neutral")</f>
        <v>23</v>
      </c>
      <c r="F12" s="8" t="s">
        <v>7383</v>
      </c>
      <c r="G12" s="8">
        <f>COUNTIFS(processedData!F2:F2401,"&gt;3000",processedData!K2:K2401,"Neutral")</f>
        <v>246</v>
      </c>
    </row>
    <row r="15" spans="2:8" x14ac:dyDescent="0.2">
      <c r="G15" s="9"/>
    </row>
    <row r="16" spans="2:8" x14ac:dyDescent="0.2">
      <c r="B16" s="6" t="s">
        <v>7385</v>
      </c>
      <c r="C16" s="6"/>
      <c r="F16" s="19" t="s">
        <v>7387</v>
      </c>
      <c r="G16" s="20"/>
      <c r="H16" s="14"/>
    </row>
    <row r="17" spans="2:8" x14ac:dyDescent="0.2">
      <c r="B17" s="6" t="s">
        <v>68</v>
      </c>
      <c r="C17" s="6">
        <f>AVERAGEIF(processedData!$D$2:$D$2401,"*australia*",processedData!$J$2:$J$2401)</f>
        <v>0.26315789473684209</v>
      </c>
      <c r="F17" s="15" t="s">
        <v>7388</v>
      </c>
      <c r="G17" s="15" t="s">
        <v>11</v>
      </c>
      <c r="H17" s="15">
        <f>AVERAGEIF(processedData!$H$2:$H$2401,G17,processedData!$J$2:$J$2401)</f>
        <v>9.9516908212560387E-2</v>
      </c>
    </row>
    <row r="18" spans="2:8" x14ac:dyDescent="0.2">
      <c r="B18" s="6" t="s">
        <v>1653</v>
      </c>
      <c r="C18" s="6">
        <f>AVERAGEIF(processedData!$D$2:$D$2401,"*canada*",processedData!$J$2:$J$2401)</f>
        <v>0.14814814814814814</v>
      </c>
      <c r="F18" s="7" t="s">
        <v>7389</v>
      </c>
      <c r="G18" s="7" t="s">
        <v>3</v>
      </c>
      <c r="H18" s="15">
        <f>AVERAGEIF(processedData!$H$2:$H$2401,G18,processedData!$J$2:$J$2401)</f>
        <v>0.25</v>
      </c>
    </row>
    <row r="19" spans="2:8" x14ac:dyDescent="0.2">
      <c r="B19" s="6" t="s">
        <v>418</v>
      </c>
      <c r="C19" s="6">
        <f>AVERAGEIF(processedData!$D$2:$D$2401,"*england*",processedData!$J$2:$J$2401)</f>
        <v>-2.3809523809523808E-2</v>
      </c>
      <c r="F19" s="7" t="s">
        <v>7390</v>
      </c>
      <c r="G19" s="7" t="s">
        <v>110</v>
      </c>
      <c r="H19" s="15">
        <f>AVERAGEIF(processedData!$H$2:$H$2401,G19,processedData!$J$2:$J$2401)</f>
        <v>9.8039215686274508E-2</v>
      </c>
    </row>
    <row r="20" spans="2:8" x14ac:dyDescent="0.2">
      <c r="B20" s="6" t="s">
        <v>140</v>
      </c>
      <c r="C20" s="6">
        <f>AVERAGEIF(processedData!$D$2:$D$2401,"*france*",processedData!$J$2:$J$2401)</f>
        <v>0.125</v>
      </c>
      <c r="F20" s="7" t="s">
        <v>7391</v>
      </c>
      <c r="G20" s="7" t="s">
        <v>47</v>
      </c>
      <c r="H20" s="15">
        <f>AVERAGEIF(processedData!$H$2:$H$2401,G20,processedData!$J$2:$J$2401)</f>
        <v>3.5087719298245612E-2</v>
      </c>
    </row>
    <row r="21" spans="2:8" x14ac:dyDescent="0.2">
      <c r="B21" s="6" t="s">
        <v>971</v>
      </c>
      <c r="C21" s="6">
        <f>AVERAGEIF(processedData!$D$2:$D$2401,"*germany*",processedData!$J$2:$J$2401)</f>
        <v>-0.14285714285714285</v>
      </c>
      <c r="F21" s="7" t="s">
        <v>7392</v>
      </c>
      <c r="G21" s="7" t="s">
        <v>370</v>
      </c>
      <c r="H21" s="15">
        <f>AVERAGEIF(processedData!$H$2:$H$2401,G21,processedData!$J$2:$J$2401)</f>
        <v>0.27777777777777779</v>
      </c>
    </row>
    <row r="22" spans="2:8" x14ac:dyDescent="0.2">
      <c r="B22" s="6" t="s">
        <v>168</v>
      </c>
      <c r="C22" s="6">
        <f>AVERAGEIF(processedData!$D$2:$D$2401,"*india*",processedData!$J$2:$J$2401)</f>
        <v>-0.11538461538461539</v>
      </c>
      <c r="F22" s="7" t="s">
        <v>7393</v>
      </c>
      <c r="G22" s="7" t="s">
        <v>83</v>
      </c>
      <c r="H22" s="15">
        <f>AVERAGEIF(processedData!$H$2:$H$2401,G22,processedData!$J$2:$J$2401)</f>
        <v>-3.5714285714285712E-2</v>
      </c>
    </row>
    <row r="23" spans="2:8" x14ac:dyDescent="0.2">
      <c r="B23" s="6" t="s">
        <v>487</v>
      </c>
      <c r="C23" s="6">
        <f>AVERAGEIF(processedData!$D$2:$D$2401,"*ireland*",processedData!$J$2:$J$2401)</f>
        <v>0</v>
      </c>
      <c r="F23" s="7" t="s">
        <v>7394</v>
      </c>
      <c r="G23" s="7" t="s">
        <v>641</v>
      </c>
      <c r="H23" s="15">
        <f>AVERAGEIF(processedData!$H$2:$H$2401,G23,processedData!$J$2:$J$2401)</f>
        <v>0.13793103448275862</v>
      </c>
    </row>
    <row r="24" spans="2:8" x14ac:dyDescent="0.2">
      <c r="B24" s="6" t="s">
        <v>212</v>
      </c>
      <c r="C24" s="6">
        <f>AVERAGEIF(processedData!$D$2:$D$2401,"*japan*",processedData!$J$2:$J$2401)</f>
        <v>0.54545454545454541</v>
      </c>
      <c r="F24" s="7" t="s">
        <v>7395</v>
      </c>
      <c r="G24" s="7" t="s">
        <v>73</v>
      </c>
      <c r="H24" s="15">
        <f>AVERAGEIF(processedData!$H$2:$H$2401,G24,processedData!$J$2:$J$2401)</f>
        <v>0</v>
      </c>
    </row>
    <row r="25" spans="2:8" x14ac:dyDescent="0.2">
      <c r="B25" s="6" t="s">
        <v>302</v>
      </c>
      <c r="C25" s="6">
        <f>AVERAGEIF(processedData!$D$2:$D$2401,"*nigeria*",processedData!$J$2:$J$2401)</f>
        <v>0.16666666666666666</v>
      </c>
      <c r="F25" s="7" t="s">
        <v>7396</v>
      </c>
      <c r="G25" s="7" t="s">
        <v>31</v>
      </c>
      <c r="H25" s="15">
        <f>AVERAGEIF(processedData!$H$2:$H$2401,G25,processedData!$J$2:$J$2401)</f>
        <v>0</v>
      </c>
    </row>
    <row r="26" spans="2:8" x14ac:dyDescent="0.2">
      <c r="B26" s="6" t="s">
        <v>39</v>
      </c>
      <c r="C26" s="6">
        <f>AVERAGEIF(processedData!$D$2:$D$2401,"*south africa*",processedData!$J$2:$J$2401)</f>
        <v>0</v>
      </c>
      <c r="F26" s="7" t="s">
        <v>7397</v>
      </c>
      <c r="G26" s="7" t="s">
        <v>359</v>
      </c>
      <c r="H26" s="15">
        <f>AVERAGEIF(processedData!$H$2:$H$2401,G26,processedData!$J$2:$J$2401)</f>
        <v>0.1</v>
      </c>
    </row>
    <row r="27" spans="2:8" x14ac:dyDescent="0.2">
      <c r="B27" s="6" t="s">
        <v>1974</v>
      </c>
      <c r="C27" s="6">
        <f>AVERAGEIF(processedData!$D$2:$D$2401,"*spain*",processedData!$J$2:$J$2401)</f>
        <v>0</v>
      </c>
    </row>
    <row r="28" spans="2:8" x14ac:dyDescent="0.2">
      <c r="B28" s="6" t="s">
        <v>1813</v>
      </c>
      <c r="C28" s="6">
        <f>AVERAGEIF(processedData!$D$2:$D$2401,"*USA*",processedData!$J$2:$J$2401)</f>
        <v>0.14285714285714285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4"/>
  <sheetViews>
    <sheetView workbookViewId="0">
      <selection activeCell="F36" sqref="F36"/>
    </sheetView>
  </sheetViews>
  <sheetFormatPr baseColWidth="10" defaultRowHeight="16" x14ac:dyDescent="0.2"/>
  <sheetData>
    <row r="1" spans="1:2" s="2" customFormat="1" x14ac:dyDescent="0.2">
      <c r="A1" s="2" t="s">
        <v>7270</v>
      </c>
      <c r="B1" s="2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6524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Xie</dc:creator>
  <cp:lastModifiedBy>Emily Xie</cp:lastModifiedBy>
  <dcterms:created xsi:type="dcterms:W3CDTF">2020-04-28T21:53:33Z</dcterms:created>
  <dcterms:modified xsi:type="dcterms:W3CDTF">2022-01-10T01:45:07Z</dcterms:modified>
</cp:coreProperties>
</file>